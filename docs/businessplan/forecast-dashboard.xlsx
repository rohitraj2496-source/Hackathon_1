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Relationships>
</file>

<file path=xl/workbook.xml><?xml version="1.0" encoding="utf-8"?>
<workbook xmlns="http://schemas.openxmlformats.org/spreadsheetml/2006/main" xmlns:r="http://schemas.openxmlformats.org/officeDocument/2006/relationships">
  <workbookPr date1904="0"/>
  <sheets>
    <sheet name="Haq — Three-scenario comparison" sheetId="1" r:id="rId1"/>
    <sheet name="Model inputs" sheetId="2" r:id="rId2"/>
    <sheet name="Export notes" sheetId="3" r:id="rId3"/>
  </sheets>
  <calcPr calcMode="auto" fullCalcOnLoad="1" forceFullCalc="1"/>
</workbook>
</file>

<file path=xl/styles.xml><?xml version="1.0" encoding="utf-8"?>
<styleSheet xmlns="http://schemas.openxmlformats.org/spreadsheetml/2006/main">
  <numFmts count="2">
    <numFmt numFmtId="164" formatCode="#,##0.###;(#,##0.###)"/>
    <numFmt numFmtId="165" formatCode="&quot;INR &quot;#,##0;(&quot;INR &quot;#,##0)"/>
  </numFmts>
  <fonts count="5">
    <font>
      <sz val="10"/>
      <color rgb="FF352F29"/>
      <name val="Aptos"/>
    </font>
    <font>
      <b/>
      <sz val="16"/>
      <color rgb="FFFFFFFF"/>
      <name val="Aptos"/>
    </font>
    <font>
      <sz val="9"/>
      <color rgb="FF817B73"/>
      <name val="Aptos"/>
    </font>
    <font>
      <b/>
      <sz val="10"/>
      <color rgb="FF352F29"/>
      <name val="Aptos"/>
    </font>
    <font>
      <sz val="10"/>
      <color rgb="FF817B73"/>
      <name val="Aptos"/>
    </font>
  </fonts>
  <fills count="7">
    <fill>
      <patternFill patternType="none"/>
    </fill>
    <fill>
      <patternFill patternType="gray125"/>
    </fill>
    <fill>
      <patternFill patternType="solid">
        <fgColor rgb="FF352F29"/>
        <bgColor indexed="64"/>
      </patternFill>
    </fill>
    <fill>
      <patternFill patternType="solid">
        <fgColor rgb="FFF0EDE8"/>
        <bgColor indexed="64"/>
      </patternFill>
    </fill>
    <fill>
      <patternFill patternType="solid">
        <fgColor rgb="FFF5F2EC"/>
        <bgColor indexed="64"/>
      </patternFill>
    </fill>
    <fill>
      <patternFill patternType="solid">
        <fgColor rgb="FFE6E0D7"/>
        <bgColor indexed="64"/>
      </patternFill>
    </fill>
    <fill>
      <patternFill patternType="solid">
        <fgColor rgb="FFF7F9FC"/>
        <bgColor indexed="64"/>
      </patternFill>
    </fill>
  </fills>
  <borders count="2">
    <border>
      <left/>
      <right/>
      <top/>
      <bottom/>
      <diagonal/>
    </border>
    <border>
      <left/>
      <right/>
      <top/>
      <bottom style="thin">
        <color rgb="FFE7E3DD"/>
      </bottom>
      <diagonal/>
    </border>
  </borders>
  <cellStyleXfs count="1">
    <xf numFmtId="0" fontId="0" fillId="0" borderId="0"/>
  </cellStyleXfs>
  <cellXfs count="16">
    <xf numFmtId="0" fontId="0" fillId="0" borderId="0" xfId="0"/>
    <xf numFmtId="0" fontId="1" fillId="2" borderId="0" xfId="0" applyFill="1" applyFont="1" applyAlignment="1">
      <alignment vertical="center" horizontal="left" indent="1"/>
    </xf>
    <xf numFmtId="0" fontId="2" fillId="0" borderId="0" xfId="0" applyFont="1"/>
    <xf numFmtId="0" fontId="3" fillId="3" borderId="1" xfId="0" applyFill="1" applyFont="1" applyBorder="1" applyAlignment="1">
      <alignment vertical="center" horizontal="left"/>
    </xf>
    <xf numFmtId="0" fontId="3" fillId="3" borderId="1" xfId="0" applyFill="1" applyFont="1" applyBorder="1" applyAlignment="1">
      <alignment vertical="center" horizontal="right"/>
    </xf>
    <xf numFmtId="0" fontId="3" fillId="4" borderId="1" xfId="0" applyFill="1" applyFont="1" applyBorder="1" applyAlignment="1">
      <alignment vertical="center" horizontal="left"/>
    </xf>
    <xf numFmtId="164" fontId="3" fillId="4" borderId="1" xfId="0" applyNumberFormat="1" applyFill="1" applyFont="1" applyBorder="1" applyAlignment="1">
      <alignment vertical="center" horizontal="right"/>
    </xf>
    <xf numFmtId="0" fontId="0" fillId="0" borderId="0" xfId="0" applyAlignment="1">
      <alignment vertical="center" horizontal="left"/>
    </xf>
    <xf numFmtId="164" fontId="0" fillId="0" borderId="0" xfId="0" applyNumberFormat="1" applyAlignment="1">
      <alignment vertical="center" horizontal="right"/>
    </xf>
    <xf numFmtId="165" fontId="0" fillId="0" borderId="0" xfId="0" applyNumberFormat="1" applyAlignment="1">
      <alignment vertical="center" horizontal="right"/>
    </xf>
    <xf numFmtId="165" fontId="3" fillId="4" borderId="1" xfId="0" applyNumberFormat="1" applyFill="1" applyFont="1" applyBorder="1" applyAlignment="1">
      <alignment vertical="center" horizontal="right"/>
    </xf>
    <xf numFmtId="0" fontId="3" fillId="4" borderId="1" xfId="0" applyFill="1" applyFont="1" applyBorder="1"/>
    <xf numFmtId="0" fontId="3" fillId="5" borderId="1" xfId="0" applyFill="1" applyFont="1" applyBorder="1" applyAlignment="1">
      <alignment vertical="center" horizontal="right"/>
    </xf>
    <xf numFmtId="0" fontId="3" fillId="6" borderId="0" xfId="0" applyFill="1" applyFont="1" applyAlignment="1">
      <alignment vertical="center" horizontal="left"/>
    </xf>
    <xf numFmtId="0" fontId="0" fillId="6" borderId="0" xfId="0" applyFill="1" applyAlignment="1">
      <alignment vertical="center" horizontal="left" indent="1"/>
    </xf>
    <xf numFmtId="0" fontId="4" fillId="0" borderId="0" xfId="0" applyFont="1" applyAlignment="1">
      <alignment vertical="center" horizontal="left"/>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worksheet" Target="worksheets/sheet3.xml"></Relationship><Relationship Id="rId4" Type="http://schemas.openxmlformats.org/officeDocument/2006/relationships/styles" Target="styles.xml"></Relationship></Relationships>
</file>

<file path=xl/worksheets/sheet1.xml><?xml version="1.0" encoding="utf-8"?>
<worksheet xmlns="http://schemas.openxmlformats.org/spreadsheetml/2006/main">
  <dimension ref="A1:D11"/>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s>
  <sheetData>
    <row r="1" ht="32" customHeight="1">
      <c r="A1" t="inlineStr" s="1">
        <is>
          <t xml:space="preserve">Haq — Three-scenario comparison</t>
        </is>
      </c>
    </row>
    <row r="2" ht="20" customHeight="1">
      <c r="A2" t="inlineStr" s="2">
        <is>
          <t xml:space="preserve">Haq — Forecast dashboard · Main Scenario</t>
        </is>
      </c>
    </row>
    <row r="4" ht="22" customHeight="1">
      <c r="A4" t="inlineStr" s="3">
        <is>
          <t xml:space="preserve">Variable / dimension</t>
        </is>
      </c>
      <c r="B4" t="inlineStr" s="4">
        <is>
          <t xml:space="preserve">Value</t>
        </is>
      </c>
      <c r="C4" t="inlineStr" s="4">
        <is>
          <t xml:space="preserve">Value &gt; Conservative</t>
        </is>
      </c>
      <c r="D4" t="inlineStr" s="4">
        <is>
          <t xml:space="preserve">Value &gt; Growth</t>
        </is>
      </c>
    </row>
    <row r="5">
      <c r="A5" t="inlineStr" s="5">
        <is>
          <t xml:space="preserve">Haq Sustained break-even month</t>
        </is>
      </c>
      <c r="B5" s="6">
        <v>16</v>
      </c>
      <c r="C5" s="6">
        <v/>
      </c>
      <c r="D5" s="6">
        <v>10</v>
      </c>
    </row>
    <row r="6">
      <c r="A6" t="inlineStr" s="7">
        <is>
          <t xml:space="preserve">Haq First negative cash month</t>
        </is>
      </c>
      <c r="B6" t="str" s="8">
        <f>IF(AND('Model inputs'!B561="",'Model inputs'!B562="",'Model inputs'!B563="",'Model inputs'!B564="",'Model inputs'!B565="",'Model inputs'!B566="",'Model inputs'!B567="",'Model inputs'!B568="",'Model inputs'!B569="",'Model inputs'!B570="",'Model inputs'!B571="",'Model inputs'!B572="",'Model inputs'!B573="",'Model inputs'!B574="",'Model inputs'!B575="",'Model inputs'!B576="",'Model inputs'!B577="",'Model inputs'!B578="",'Model inputs'!B579="",'Model inputs'!B580="",'Model inputs'!B581="",'Model inputs'!B582="",'Model inputs'!B583="",'Model inputs'!B584="",'Model inputs'!B585="",'Model inputs'!B586="",'Model inputs'!B587="",'Model inputs'!B588="",'Model inputs'!B589="",'Model inputs'!B590="",'Model inputs'!B591="",'Model inputs'!B592="",'Model inputs'!B593="",'Model inputs'!B594=""),"",MIN('Model inputs'!B561,'Model inputs'!B562,'Model inputs'!B563,'Model inputs'!B564,'Model inputs'!B565,'Model inputs'!B566,'Model inputs'!B567,'Model inputs'!B568,'Model inputs'!B569,'Model inputs'!B570,'Model inputs'!B571,'Model inputs'!B572,'Model inputs'!B573,'Model inputs'!B574,'Model inputs'!B575,'Model inputs'!B576,'Model inputs'!B577,'Model inputs'!B578,'Model inputs'!B579,'Model inputs'!B580,'Model inputs'!B581,'Model inputs'!B582,'Model inputs'!B583,'Model inputs'!B584,'Model inputs'!B585,'Model inputs'!B586,'Model inputs'!B587,'Model inputs'!B588,'Model inputs'!B589,'Model inputs'!B590,'Model inputs'!B591,'Model inputs'!B592,'Model inputs'!B593,'Model inputs'!B594))</f>
        <v/>
      </c>
      <c r="C6" s="8">
        <f>IF(AND('Model inputs'!B629="",'Model inputs'!B630="",'Model inputs'!B631="",'Model inputs'!B632="",'Model inputs'!B633="",'Model inputs'!B634="",'Model inputs'!B635="",'Model inputs'!B636="",'Model inputs'!B637="",'Model inputs'!B638="",'Model inputs'!B639="",'Model inputs'!B640="",'Model inputs'!B641="",'Model inputs'!B642="",'Model inputs'!B643="",'Model inputs'!B644="",'Model inputs'!B645="",'Model inputs'!B646="",'Model inputs'!B647="",'Model inputs'!B648="",'Model inputs'!B649="",'Model inputs'!B650="",'Model inputs'!B651="",'Model inputs'!B652="",'Model inputs'!B653="",'Model inputs'!B654="",'Model inputs'!B655="",'Model inputs'!B656="",'Model inputs'!B657="",'Model inputs'!B658="",'Model inputs'!B659="",'Model inputs'!B660="",'Model inputs'!B661="",'Model inputs'!B662=""),"",MIN('Model inputs'!B629,'Model inputs'!B630,'Model inputs'!B631,'Model inputs'!B632,'Model inputs'!B633,'Model inputs'!B634,'Model inputs'!B635,'Model inputs'!B636,'Model inputs'!B637,'Model inputs'!B638,'Model inputs'!B639,'Model inputs'!B640,'Model inputs'!B641,'Model inputs'!B642,'Model inputs'!B643,'Model inputs'!B644,'Model inputs'!B645,'Model inputs'!B646,'Model inputs'!B647,'Model inputs'!B648,'Model inputs'!B649,'Model inputs'!B650,'Model inputs'!B651,'Model inputs'!B652,'Model inputs'!B653,'Model inputs'!B654,'Model inputs'!B655,'Model inputs'!B656,'Model inputs'!B657,'Model inputs'!B658,'Model inputs'!B659,'Model inputs'!B660,'Model inputs'!B661,'Model inputs'!B662))</f>
        <v>11</v>
      </c>
      <c r="D6" t="str" s="8">
        <f>IF(AND('Model inputs'!B697="",'Model inputs'!B698="",'Model inputs'!B699="",'Model inputs'!B700="",'Model inputs'!B701="",'Model inputs'!B702="",'Model inputs'!B703="",'Model inputs'!B704="",'Model inputs'!B705="",'Model inputs'!B706="",'Model inputs'!B707="",'Model inputs'!B708="",'Model inputs'!B709="",'Model inputs'!B710="",'Model inputs'!B711="",'Model inputs'!B712="",'Model inputs'!B713="",'Model inputs'!B714="",'Model inputs'!B715="",'Model inputs'!B716="",'Model inputs'!B717="",'Model inputs'!B718="",'Model inputs'!B719="",'Model inputs'!B720="",'Model inputs'!B721="",'Model inputs'!B722="",'Model inputs'!B723="",'Model inputs'!B724="",'Model inputs'!B725="",'Model inputs'!B726="",'Model inputs'!B727="",'Model inputs'!B728="",'Model inputs'!B729="",'Model inputs'!B730=""),"",MIN('Model inputs'!B697,'Model inputs'!B698,'Model inputs'!B699,'Model inputs'!B700,'Model inputs'!B701,'Model inputs'!B702,'Model inputs'!B703,'Model inputs'!B704,'Model inputs'!B705,'Model inputs'!B706,'Model inputs'!B707,'Model inputs'!B708,'Model inputs'!B709,'Model inputs'!B710,'Model inputs'!B711,'Model inputs'!B712,'Model inputs'!B713,'Model inputs'!B714,'Model inputs'!B715,'Model inputs'!B716,'Model inputs'!B717,'Model inputs'!B718,'Model inputs'!B719,'Model inputs'!B720,'Model inputs'!B721,'Model inputs'!B722,'Model inputs'!B723,'Model inputs'!B724,'Model inputs'!B725,'Model inputs'!B726,'Model inputs'!B727,'Model inputs'!B728,'Model inputs'!B729,'Model inputs'!B730))</f>
        <v/>
      </c>
    </row>
    <row r="7">
      <c r="A7" t="inlineStr" s="7">
        <is>
          <t xml:space="preserve">Haq Minimum cash</t>
        </is>
      </c>
      <c r="B7" s="9">
        <f>MIN('Model inputs'!L12,'Model inputs'!M12,'Model inputs'!N12,'Model inputs'!O12,'Model inputs'!P12,'Model inputs'!Q12,'Model inputs'!R12,'Model inputs'!S12,'Model inputs'!T12,'Model inputs'!U12,'Model inputs'!V12,'Model inputs'!W12,'Model inputs'!X12,'Model inputs'!Y12,'Model inputs'!Z12,'Model inputs'!AA12,'Model inputs'!AB12,'Model inputs'!AC12,'Model inputs'!AD12,'Model inputs'!AE12,'Model inputs'!AF12,'Model inputs'!AG12,'Model inputs'!AH12,'Model inputs'!AI12)</f>
        <v>810268.1879082002</v>
      </c>
      <c r="C7" s="9">
        <f>MIN('Model inputs'!L14,'Model inputs'!M14,'Model inputs'!N14,'Model inputs'!O14,'Model inputs'!P14,'Model inputs'!Q14,'Model inputs'!R14,'Model inputs'!S14,'Model inputs'!T14,'Model inputs'!U14,'Model inputs'!V14,'Model inputs'!W14,'Model inputs'!X14,'Model inputs'!Y14,'Model inputs'!Z14,'Model inputs'!AA14,'Model inputs'!AB14,'Model inputs'!AC14,'Model inputs'!AD14,'Model inputs'!AE14,'Model inputs'!AF14,'Model inputs'!AG14,'Model inputs'!AH14,'Model inputs'!AI14)</f>
        <v>-2467217.251282007</v>
      </c>
      <c r="D7" s="9">
        <f>MIN('Model inputs'!L13,'Model inputs'!M13,'Model inputs'!N13,'Model inputs'!O13,'Model inputs'!P13,'Model inputs'!Q13,'Model inputs'!R13,'Model inputs'!S13,'Model inputs'!T13,'Model inputs'!U13,'Model inputs'!V13,'Model inputs'!W13,'Model inputs'!X13,'Model inputs'!Y13,'Model inputs'!Z13,'Model inputs'!AA13,'Model inputs'!AB13,'Model inputs'!AC13,'Model inputs'!AD13,'Model inputs'!AE13,'Model inputs'!AF13,'Model inputs'!AG13,'Model inputs'!AH13,'Model inputs'!AI13)</f>
        <v>1400842.97</v>
      </c>
    </row>
    <row r="8">
      <c r="A8" t="inlineStr" s="7">
        <is>
          <t xml:space="preserve">Haq Additional minimum funding</t>
        </is>
      </c>
      <c r="B8" s="9">
        <f>MAX(-MIN('Model inputs'!L12,'Model inputs'!M12,'Model inputs'!N12,'Model inputs'!O12,'Model inputs'!P12,'Model inputs'!Q12,'Model inputs'!R12,'Model inputs'!S12,'Model inputs'!T12,'Model inputs'!U12,'Model inputs'!V12,'Model inputs'!W12,'Model inputs'!X12,'Model inputs'!Y12,'Model inputs'!Z12,'Model inputs'!AA12,'Model inputs'!AB12,'Model inputs'!AC12,'Model inputs'!AD12,'Model inputs'!AE12,'Model inputs'!AF12,'Model inputs'!AG12,'Model inputs'!AH12,'Model inputs'!AI12),0)</f>
        <v>0</v>
      </c>
      <c r="C8" s="9">
        <f>MAX(-MIN('Model inputs'!L14,'Model inputs'!M14,'Model inputs'!N14,'Model inputs'!O14,'Model inputs'!P14,'Model inputs'!Q14,'Model inputs'!R14,'Model inputs'!S14,'Model inputs'!T14,'Model inputs'!U14,'Model inputs'!V14,'Model inputs'!W14,'Model inputs'!X14,'Model inputs'!Y14,'Model inputs'!Z14,'Model inputs'!AA14,'Model inputs'!AB14,'Model inputs'!AC14,'Model inputs'!AD14,'Model inputs'!AE14,'Model inputs'!AF14,'Model inputs'!AG14,'Model inputs'!AH14,'Model inputs'!AI14),0)</f>
        <v>2467217.251282007</v>
      </c>
      <c r="D8" s="9">
        <f>MAX(-MIN('Model inputs'!L13,'Model inputs'!M13,'Model inputs'!N13,'Model inputs'!O13,'Model inputs'!P13,'Model inputs'!Q13,'Model inputs'!R13,'Model inputs'!S13,'Model inputs'!T13,'Model inputs'!U13,'Model inputs'!V13,'Model inputs'!W13,'Model inputs'!X13,'Model inputs'!Y13,'Model inputs'!Z13,'Model inputs'!AA13,'Model inputs'!AB13,'Model inputs'!AC13,'Model inputs'!AD13,'Model inputs'!AE13,'Model inputs'!AF13,'Model inputs'!AG13,'Model inputs'!AH13,'Model inputs'!AI13),0)</f>
        <v>0</v>
      </c>
    </row>
    <row r="9">
      <c r="A9" t="inlineStr" s="7">
        <is>
          <t xml:space="preserve">Haq Funding with safety reserve</t>
        </is>
      </c>
      <c r="B9" s="9">
        <f>MAX('Model inputs'!AJ63-MIN('Model inputs'!L12,'Model inputs'!M12,'Model inputs'!N12,'Model inputs'!O12,'Model inputs'!P12,'Model inputs'!Q12,'Model inputs'!R12,'Model inputs'!S12,'Model inputs'!T12,'Model inputs'!U12,'Model inputs'!V12,'Model inputs'!W12,'Model inputs'!X12,'Model inputs'!Y12,'Model inputs'!Z12,'Model inputs'!AA12,'Model inputs'!AB12,'Model inputs'!AC12,'Model inputs'!AD12,'Model inputs'!AE12,'Model inputs'!AF12,'Model inputs'!AG12,'Model inputs'!AH12,'Model inputs'!AI12),0)</f>
        <v>189731.8120917998</v>
      </c>
      <c r="C9" s="9">
        <f>MAX('Model inputs'!AJ175-MIN('Model inputs'!L14,'Model inputs'!M14,'Model inputs'!N14,'Model inputs'!O14,'Model inputs'!P14,'Model inputs'!Q14,'Model inputs'!R14,'Model inputs'!S14,'Model inputs'!T14,'Model inputs'!U14,'Model inputs'!V14,'Model inputs'!W14,'Model inputs'!X14,'Model inputs'!Y14,'Model inputs'!Z14,'Model inputs'!AA14,'Model inputs'!AB14,'Model inputs'!AC14,'Model inputs'!AD14,'Model inputs'!AE14,'Model inputs'!AF14,'Model inputs'!AG14,'Model inputs'!AH14,'Model inputs'!AI14),0)</f>
        <v>3467217.251282007</v>
      </c>
      <c r="D9" s="9">
        <f>MAX('Model inputs'!AJ119-MIN('Model inputs'!L13,'Model inputs'!M13,'Model inputs'!N13,'Model inputs'!O13,'Model inputs'!P13,'Model inputs'!Q13,'Model inputs'!R13,'Model inputs'!S13,'Model inputs'!T13,'Model inputs'!U13,'Model inputs'!V13,'Model inputs'!W13,'Model inputs'!X13,'Model inputs'!Y13,'Model inputs'!Z13,'Model inputs'!AA13,'Model inputs'!AB13,'Model inputs'!AC13,'Model inputs'!AD13,'Model inputs'!AE13,'Model inputs'!AF13,'Model inputs'!AG13,'Model inputs'!AH13,'Model inputs'!AI13),0)</f>
        <v>0</v>
      </c>
    </row>
    <row r="10">
      <c r="A10" t="inlineStr" s="7">
        <is>
          <t xml:space="preserve">Haq Extra acquisition spend</t>
        </is>
      </c>
      <c r="B10" s="9">
        <f>SUM('Model inputs'!L6,'Model inputs'!M6,'Model inputs'!N6,'Model inputs'!O6,'Model inputs'!P6,'Model inputs'!Q6,'Model inputs'!R6,'Model inputs'!S6,'Model inputs'!T6,'Model inputs'!U6,'Model inputs'!V6,'Model inputs'!W6,'Model inputs'!X6,'Model inputs'!Y6,'Model inputs'!Z6,'Model inputs'!AA6,'Model inputs'!AB6,'Model inputs'!AC6,'Model inputs'!AD6,'Model inputs'!AE6,'Model inputs'!AF6,'Model inputs'!AG6,'Model inputs'!AH6,'Model inputs'!AI6)</f>
        <v>1227535.668330313</v>
      </c>
      <c r="C10" s="9">
        <f>SUM('Model inputs'!L8,'Model inputs'!M8,'Model inputs'!N8,'Model inputs'!O8,'Model inputs'!P8,'Model inputs'!Q8,'Model inputs'!R8,'Model inputs'!S8,'Model inputs'!T8,'Model inputs'!U8,'Model inputs'!V8,'Model inputs'!W8,'Model inputs'!X8,'Model inputs'!Y8,'Model inputs'!Z8,'Model inputs'!AA8,'Model inputs'!AB8,'Model inputs'!AC8,'Model inputs'!AD8,'Model inputs'!AE8,'Model inputs'!AF8,'Model inputs'!AG8,'Model inputs'!AH8,'Model inputs'!AI8)</f>
        <v>50000</v>
      </c>
      <c r="D10" s="9">
        <f>SUM('Model inputs'!L7,'Model inputs'!M7,'Model inputs'!N7,'Model inputs'!O7,'Model inputs'!P7,'Model inputs'!Q7,'Model inputs'!R7,'Model inputs'!S7,'Model inputs'!T7,'Model inputs'!U7,'Model inputs'!V7,'Model inputs'!W7,'Model inputs'!X7,'Model inputs'!Y7,'Model inputs'!Z7,'Model inputs'!AA7,'Model inputs'!AB7,'Model inputs'!AC7,'Model inputs'!AD7,'Model inputs'!AE7,'Model inputs'!AF7,'Model inputs'!AG7,'Model inputs'!AH7,'Model inputs'!AI7)</f>
        <v>12210692.47116943</v>
      </c>
    </row>
    <row r="11">
      <c r="A11" t="inlineStr" s="5">
        <is>
          <t xml:space="preserve">Haq Gross CSC acquisition demand</t>
        </is>
      </c>
      <c r="B11" s="10">
        <f>SUM('Model inputs'!L9,'Model inputs'!M9,'Model inputs'!N9,'Model inputs'!O9,'Model inputs'!P9,'Model inputs'!Q9,'Model inputs'!R9,'Model inputs'!S9,'Model inputs'!T9,'Model inputs'!U9,'Model inputs'!V9,'Model inputs'!W9,'Model inputs'!X9,'Model inputs'!Y9,'Model inputs'!Z9,'Model inputs'!AA9,'Model inputs'!AB9,'Model inputs'!AC9,'Model inputs'!AD9,'Model inputs'!AE9,'Model inputs'!AF9,'Model inputs'!AG9,'Model inputs'!AH9,'Model inputs'!AI9)*'Model inputs'!AJ25</f>
        <v>2148871.652392813</v>
      </c>
      <c r="C11" s="10">
        <f>SUM('Model inputs'!L11,'Model inputs'!M11,'Model inputs'!N11,'Model inputs'!O11,'Model inputs'!P11,'Model inputs'!Q11,'Model inputs'!R11,'Model inputs'!S11,'Model inputs'!T11,'Model inputs'!U11,'Model inputs'!V11,'Model inputs'!W11,'Model inputs'!X11,'Model inputs'!Y11,'Model inputs'!Z11,'Model inputs'!AA11,'Model inputs'!AB11,'Model inputs'!AC11,'Model inputs'!AD11,'Model inputs'!AE11,'Model inputs'!AF11,'Model inputs'!AG11,'Model inputs'!AH11,'Model inputs'!AI11)*'Model inputs'!AJ137</f>
        <v>368703.7448898047</v>
      </c>
      <c r="D11" s="10">
        <f>SUM('Model inputs'!L10,'Model inputs'!M10,'Model inputs'!N10,'Model inputs'!O10,'Model inputs'!P10,'Model inputs'!Q10,'Model inputs'!R10,'Model inputs'!S10,'Model inputs'!T10,'Model inputs'!U10,'Model inputs'!V10,'Model inputs'!W10,'Model inputs'!X10,'Model inputs'!Y10,'Model inputs'!Z10,'Model inputs'!AA10,'Model inputs'!AB10,'Model inputs'!AC10,'Model inputs'!AD10,'Model inputs'!AE10,'Model inputs'!AF10,'Model inputs'!AG10,'Model inputs'!AH10,'Model inputs'!AI10)*'Model inputs'!AJ81</f>
        <v>13227179.471169429</v>
      </c>
    </row>
  </sheetData>
  <mergeCells count="1">
    <mergeCell ref="A1:D1"/>
  </mergeCells>
</worksheet>
</file>

<file path=xl/worksheets/sheet2.xml><?xml version="1.0" encoding="utf-8"?>
<worksheet xmlns="http://schemas.openxmlformats.org/spreadsheetml/2006/main">
  <dimension ref="A1:BD730"/>
  <sheetViews>
    <sheetView showGridLines="0" workbookViewId="0">
      <pane xSplit="1" ySplit="5" topLeftCell="B6" activePane="bottomRight" state="frozen"/>
      <selection pane="bottomRight" activeCell="B6" sqref="B6"/>
    </sheetView>
  </sheetViews>
  <sheetFormatPr defaultRowHeight="18"/>
  <cols>
    <col min="1" max="1" width="42"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s>
  <sheetData>
    <row r="1" ht="32" customHeight="1">
      <c r="A1" t="inlineStr" s="1">
        <is>
          <t xml:space="preserve">Model inputs</t>
        </is>
      </c>
    </row>
    <row r="2" ht="20" customHeight="1">
      <c r="A2" t="inlineStr" s="2">
        <is>
          <t xml:space="preserve">Integration values are aggregated snapshots; raw source records are not included.</t>
        </is>
      </c>
    </row>
    <row r="4">
      <c r="A4" t="inlineStr" s="11">
        <is>
          <t xml:space="preserve">Variables</t>
        </is>
      </c>
    </row>
    <row r="5" ht="22" customHeight="1">
      <c r="A5" t="inlineStr" s="3">
        <is>
          <t xml:space="preserve">Variable / segment</t>
        </is>
      </c>
      <c r="B5" t="inlineStr" s="12">
        <is>
          <t xml:space="preserve">2026-01</t>
        </is>
      </c>
      <c r="C5" t="inlineStr" s="4">
        <is>
          <t xml:space="preserve">2026-02</t>
        </is>
      </c>
      <c r="D5" t="inlineStr" s="4">
        <is>
          <t xml:space="preserve">2026-03</t>
        </is>
      </c>
      <c r="E5" t="inlineStr" s="12">
        <is>
          <t xml:space="preserve">2026-04</t>
        </is>
      </c>
      <c r="F5" t="inlineStr" s="4">
        <is>
          <t xml:space="preserve">2026-05</t>
        </is>
      </c>
      <c r="G5" t="inlineStr" s="4">
        <is>
          <t xml:space="preserve">2026-06</t>
        </is>
      </c>
      <c r="H5" t="inlineStr" s="12">
        <is>
          <t xml:space="preserve">2026-07</t>
        </is>
      </c>
      <c r="I5" t="inlineStr" s="4">
        <is>
          <t xml:space="preserve">2026-08</t>
        </is>
      </c>
      <c r="J5" t="inlineStr" s="4">
        <is>
          <t xml:space="preserve">2026-09</t>
        </is>
      </c>
      <c r="K5" t="inlineStr" s="12">
        <is>
          <t xml:space="preserve">2026-10</t>
        </is>
      </c>
      <c r="L5" t="inlineStr" s="4">
        <is>
          <t xml:space="preserve">2026-11</t>
        </is>
      </c>
      <c r="M5" t="inlineStr" s="4">
        <is>
          <t xml:space="preserve">2026-12</t>
        </is>
      </c>
      <c r="N5" t="inlineStr" s="12">
        <is>
          <t xml:space="preserve">2027-01</t>
        </is>
      </c>
      <c r="O5" t="inlineStr" s="4">
        <is>
          <t xml:space="preserve">2027-02</t>
        </is>
      </c>
      <c r="P5" t="inlineStr" s="4">
        <is>
          <t xml:space="preserve">2027-03</t>
        </is>
      </c>
      <c r="Q5" t="inlineStr" s="12">
        <is>
          <t xml:space="preserve">2027-04</t>
        </is>
      </c>
      <c r="R5" t="inlineStr" s="4">
        <is>
          <t xml:space="preserve">2027-05</t>
        </is>
      </c>
      <c r="S5" t="inlineStr" s="4">
        <is>
          <t xml:space="preserve">2027-06</t>
        </is>
      </c>
      <c r="T5" t="inlineStr" s="12">
        <is>
          <t xml:space="preserve">2027-07</t>
        </is>
      </c>
      <c r="U5" t="inlineStr" s="4">
        <is>
          <t xml:space="preserve">2027-08</t>
        </is>
      </c>
      <c r="V5" t="inlineStr" s="4">
        <is>
          <t xml:space="preserve">2027-09</t>
        </is>
      </c>
      <c r="W5" t="inlineStr" s="12">
        <is>
          <t xml:space="preserve">2027-10</t>
        </is>
      </c>
      <c r="X5" t="inlineStr" s="4">
        <is>
          <t xml:space="preserve">2027-11</t>
        </is>
      </c>
      <c r="Y5" t="inlineStr" s="4">
        <is>
          <t xml:space="preserve">2027-12</t>
        </is>
      </c>
      <c r="Z5" t="inlineStr" s="12">
        <is>
          <t xml:space="preserve">2028-01</t>
        </is>
      </c>
      <c r="AA5" t="inlineStr" s="4">
        <is>
          <t xml:space="preserve">2028-02</t>
        </is>
      </c>
      <c r="AB5" t="inlineStr" s="4">
        <is>
          <t xml:space="preserve">2028-03</t>
        </is>
      </c>
      <c r="AC5" t="inlineStr" s="12">
        <is>
          <t xml:space="preserve">2028-04</t>
        </is>
      </c>
      <c r="AD5" t="inlineStr" s="4">
        <is>
          <t xml:space="preserve">2028-05</t>
        </is>
      </c>
      <c r="AE5" t="inlineStr" s="4">
        <is>
          <t xml:space="preserve">2028-06</t>
        </is>
      </c>
      <c r="AF5" t="inlineStr" s="12">
        <is>
          <t xml:space="preserve">2028-07</t>
        </is>
      </c>
      <c r="AG5" t="inlineStr" s="4">
        <is>
          <t xml:space="preserve">2028-08</t>
        </is>
      </c>
      <c r="AH5" t="inlineStr" s="4">
        <is>
          <t xml:space="preserve">2028-09</t>
        </is>
      </c>
      <c r="AI5" t="inlineStr" s="12">
        <is>
          <t xml:space="preserve">2028-10</t>
        </is>
      </c>
      <c r="AJ5" t="inlineStr" s="4">
        <is>
          <t xml:space="preserve">Value</t>
        </is>
      </c>
      <c r="AK5" t="inlineStr" s="4">
        <is>
          <t xml:space="preserve">Value</t>
        </is>
      </c>
    </row>
    <row r="6">
      <c r="A6" t="inlineStr" s="13">
        <is>
          <t xml:space="preserve">Haq Acquisition top-up · Main Scenario</t>
        </is>
      </c>
      <c r="B6" s="9">
        <f>MAX('Model inputs'!B9*'Model inputs'!AJ25-'Model inputs'!AJ65*'Model inputs'!AJ64,0)</f>
        <v>0</v>
      </c>
      <c r="C6" s="9">
        <f>MAX('Model inputs'!C9*'Model inputs'!AJ25-'Model inputs'!AJ65*'Model inputs'!AJ64,0)</f>
        <v>0</v>
      </c>
      <c r="D6" s="9">
        <f>MAX('Model inputs'!D9*'Model inputs'!AJ25-'Model inputs'!AJ65*'Model inputs'!AJ64,0)</f>
        <v>0</v>
      </c>
      <c r="E6" s="9">
        <f>MAX('Model inputs'!E9*'Model inputs'!AJ25-'Model inputs'!AJ65*'Model inputs'!AJ64,0)</f>
        <v>0</v>
      </c>
      <c r="F6" s="9">
        <f>MAX('Model inputs'!F9*'Model inputs'!AJ25-'Model inputs'!AJ65*'Model inputs'!AJ64,0)</f>
        <v>0</v>
      </c>
      <c r="G6" s="9">
        <f>MAX('Model inputs'!G9*'Model inputs'!AJ25-'Model inputs'!AJ65*'Model inputs'!AJ64,0)</f>
        <v>0</v>
      </c>
      <c r="H6" s="9">
        <f>MAX('Model inputs'!H9*'Model inputs'!AJ25-'Model inputs'!AJ65*'Model inputs'!AJ64,0)</f>
        <v>0</v>
      </c>
      <c r="I6" s="9">
        <f>MAX('Model inputs'!I9*'Model inputs'!AJ25-'Model inputs'!AJ65*'Model inputs'!AJ64,0)</f>
        <v>0</v>
      </c>
      <c r="J6" s="9">
        <f>MAX('Model inputs'!J9*'Model inputs'!AJ25-'Model inputs'!AJ65*'Model inputs'!AJ64,0)</f>
        <v>0</v>
      </c>
      <c r="K6" s="9">
        <f>MAX('Model inputs'!K9*'Model inputs'!AJ25-'Model inputs'!AJ65*'Model inputs'!AJ64,0)</f>
        <v>0</v>
      </c>
      <c r="L6" s="9">
        <f>MAX('Model inputs'!L9*'Model inputs'!AJ25-'Model inputs'!AJ65*'Model inputs'!AJ64,0)</f>
        <v>0</v>
      </c>
      <c r="M6" s="9">
        <f>MAX('Model inputs'!M9*'Model inputs'!AJ25-'Model inputs'!AJ65*'Model inputs'!AJ64,0)</f>
        <v>0</v>
      </c>
      <c r="N6" s="9">
        <f>MAX('Model inputs'!N9*'Model inputs'!AJ25-'Model inputs'!AJ65*'Model inputs'!AJ64,0)</f>
        <v>0</v>
      </c>
      <c r="O6" s="9">
        <f>MAX('Model inputs'!O9*'Model inputs'!AJ25-'Model inputs'!AJ65*'Model inputs'!AJ64,0)</f>
        <v>50000</v>
      </c>
      <c r="P6" s="9">
        <f>MAX('Model inputs'!P9*'Model inputs'!AJ25-'Model inputs'!AJ65*'Model inputs'!AJ64,0)</f>
        <v>0</v>
      </c>
      <c r="Q6" s="9">
        <f>MAX('Model inputs'!Q9*'Model inputs'!AJ25-'Model inputs'!AJ65*'Model inputs'!AJ64,0)</f>
        <v>0</v>
      </c>
      <c r="R6" s="9">
        <f>MAX('Model inputs'!R9*'Model inputs'!AJ25-'Model inputs'!AJ65*'Model inputs'!AJ64,0)</f>
        <v>0</v>
      </c>
      <c r="S6" s="9">
        <f>MAX('Model inputs'!S9*'Model inputs'!AJ25-'Model inputs'!AJ65*'Model inputs'!AJ64,0)</f>
        <v>0</v>
      </c>
      <c r="T6" s="9">
        <f>MAX('Model inputs'!T9*'Model inputs'!AJ25-'Model inputs'!AJ65*'Model inputs'!AJ64,0)</f>
        <v>0</v>
      </c>
      <c r="U6" s="9">
        <f>MAX('Model inputs'!U9*'Model inputs'!AJ25-'Model inputs'!AJ65*'Model inputs'!AJ64,0)</f>
        <v>0</v>
      </c>
      <c r="V6" s="9">
        <f>MAX('Model inputs'!V9*'Model inputs'!AJ25-'Model inputs'!AJ65*'Model inputs'!AJ64,0)</f>
        <v>0</v>
      </c>
      <c r="W6" s="9">
        <f>MAX('Model inputs'!W9*'Model inputs'!AJ25-'Model inputs'!AJ65*'Model inputs'!AJ64,0)</f>
        <v>3200.397609374966</v>
      </c>
      <c r="X6" s="9">
        <f>MAX('Model inputs'!X9*'Model inputs'!AJ25-'Model inputs'!AJ65*'Model inputs'!AJ64,0)</f>
        <v>11180.457250781212</v>
      </c>
      <c r="Y6" s="9">
        <f>MAX('Model inputs'!Y9*'Model inputs'!AJ25-'Model inputs'!AJ65*'Model inputs'!AJ64,0)</f>
        <v>20357.52583839839</v>
      </c>
      <c r="Z6" s="9">
        <f>MAX('Model inputs'!Z9*'Model inputs'!AJ25-'Model inputs'!AJ65*'Model inputs'!AJ64,0)</f>
        <v>30911.15471415814</v>
      </c>
      <c r="AA6" s="9">
        <f>MAX('Model inputs'!AA9*'Model inputs'!AJ25-'Model inputs'!AJ65*'Model inputs'!AJ64,0)</f>
        <v>43047.827921281845</v>
      </c>
      <c r="AB6" s="9">
        <f>MAX('Model inputs'!AB9*'Model inputs'!AJ25-'Model inputs'!AJ65*'Model inputs'!AJ64,0)</f>
        <v>57005.002109474124</v>
      </c>
      <c r="AC6" s="9">
        <f>MAX('Model inputs'!AC9*'Model inputs'!AJ25-'Model inputs'!AJ65*'Model inputs'!AJ64,0)</f>
        <v>73055.75242589523</v>
      </c>
      <c r="AD6" s="9">
        <f>MAX('Model inputs'!AD9*'Model inputs'!AJ25-'Model inputs'!AJ65*'Model inputs'!AJ64,0)</f>
        <v>91514.1152897795</v>
      </c>
      <c r="AE6" s="9">
        <f>MAX('Model inputs'!AE9*'Model inputs'!AJ25-'Model inputs'!AJ65*'Model inputs'!AJ64,0)</f>
        <v>112741.23258324643</v>
      </c>
      <c r="AF6" s="9">
        <f>MAX('Model inputs'!AF9*'Model inputs'!AJ25-'Model inputs'!AJ65*'Model inputs'!AJ64,0)</f>
        <v>137152.41747073337</v>
      </c>
      <c r="AG6" s="9">
        <f>MAX('Model inputs'!AG9*'Model inputs'!AJ25-'Model inputs'!AJ65*'Model inputs'!AJ64,0)</f>
        <v>165225.28009134336</v>
      </c>
      <c r="AH6" s="9">
        <f>MAX('Model inputs'!AH9*'Model inputs'!AJ25-'Model inputs'!AJ65*'Model inputs'!AJ64,0)</f>
        <v>197509.07210504485</v>
      </c>
      <c r="AI6" s="9">
        <f>MAX('Model inputs'!AI9*'Model inputs'!AJ25-'Model inputs'!AJ65*'Model inputs'!AJ64,0)</f>
        <v>234635.4329208015</v>
      </c>
    </row>
    <row r="7">
      <c r="A7" t="inlineStr" s="13">
        <is>
          <t xml:space="preserve">Haq Acquisition top-up · Growth</t>
        </is>
      </c>
      <c r="B7" s="9">
        <f>MAX('Model inputs'!B10*'Model inputs'!AJ81-'Model inputs'!AJ121*'Model inputs'!AJ120,0)</f>
        <v>0</v>
      </c>
      <c r="C7" s="9">
        <f>MAX('Model inputs'!C10*'Model inputs'!AJ81-'Model inputs'!AJ121*'Model inputs'!AJ120,0)</f>
        <v>0</v>
      </c>
      <c r="D7" s="9">
        <f>MAX('Model inputs'!D10*'Model inputs'!AJ81-'Model inputs'!AJ121*'Model inputs'!AJ120,0)</f>
        <v>0</v>
      </c>
      <c r="E7" s="9">
        <f>MAX('Model inputs'!E10*'Model inputs'!AJ81-'Model inputs'!AJ121*'Model inputs'!AJ120,0)</f>
        <v>0</v>
      </c>
      <c r="F7" s="9">
        <f>MAX('Model inputs'!F10*'Model inputs'!AJ81-'Model inputs'!AJ121*'Model inputs'!AJ120,0)</f>
        <v>0</v>
      </c>
      <c r="G7" s="9">
        <f>MAX('Model inputs'!G10*'Model inputs'!AJ81-'Model inputs'!AJ121*'Model inputs'!AJ120,0)</f>
        <v>0</v>
      </c>
      <c r="H7" s="9">
        <f>MAX('Model inputs'!H10*'Model inputs'!AJ81-'Model inputs'!AJ121*'Model inputs'!AJ120,0)</f>
        <v>0</v>
      </c>
      <c r="I7" s="9">
        <f>MAX('Model inputs'!I10*'Model inputs'!AJ81-'Model inputs'!AJ121*'Model inputs'!AJ120,0)</f>
        <v>0</v>
      </c>
      <c r="J7" s="9">
        <f>MAX('Model inputs'!J10*'Model inputs'!AJ81-'Model inputs'!AJ121*'Model inputs'!AJ120,0)</f>
        <v>0</v>
      </c>
      <c r="K7" s="9">
        <f>MAX('Model inputs'!K10*'Model inputs'!AJ81-'Model inputs'!AJ121*'Model inputs'!AJ120,0)</f>
        <v>0</v>
      </c>
      <c r="L7" s="9">
        <f>MAX('Model inputs'!L10*'Model inputs'!AJ81-'Model inputs'!AJ121*'Model inputs'!AJ120,0)</f>
        <v>0</v>
      </c>
      <c r="M7" s="9">
        <f>MAX('Model inputs'!M10*'Model inputs'!AJ81-'Model inputs'!AJ121*'Model inputs'!AJ120,0)</f>
        <v>0</v>
      </c>
      <c r="N7" s="9">
        <f>MAX('Model inputs'!N10*'Model inputs'!AJ81-'Model inputs'!AJ121*'Model inputs'!AJ120,0)</f>
        <v>0</v>
      </c>
      <c r="O7" s="9">
        <f>MAX('Model inputs'!O10*'Model inputs'!AJ81-'Model inputs'!AJ121*'Model inputs'!AJ120,0)</f>
        <v>50000</v>
      </c>
      <c r="P7" s="9">
        <f>MAX('Model inputs'!P10*'Model inputs'!AJ81-'Model inputs'!AJ121*'Model inputs'!AJ120,0)</f>
        <v>0</v>
      </c>
      <c r="Q7" s="9">
        <f>MAX('Model inputs'!Q10*'Model inputs'!AJ81-'Model inputs'!AJ121*'Model inputs'!AJ120,0)</f>
        <v>0</v>
      </c>
      <c r="R7" s="9">
        <f>MAX('Model inputs'!R10*'Model inputs'!AJ81-'Model inputs'!AJ121*'Model inputs'!AJ120,0)</f>
        <v>0</v>
      </c>
      <c r="S7" s="9">
        <f>MAX('Model inputs'!S10*'Model inputs'!AJ81-'Model inputs'!AJ121*'Model inputs'!AJ120,0)</f>
        <v>11451.489999999998</v>
      </c>
      <c r="T7" s="9">
        <f>MAX('Model inputs'!T10*'Model inputs'!AJ81-'Model inputs'!AJ121*'Model inputs'!AJ120,0)</f>
        <v>28043.392300000007</v>
      </c>
      <c r="U7" s="9">
        <f>MAX('Model inputs'!U10*'Model inputs'!AJ81-'Model inputs'!AJ121*'Model inputs'!AJ120,0)</f>
        <v>49115.10822100002</v>
      </c>
      <c r="V7" s="9">
        <f>MAX('Model inputs'!V10*'Model inputs'!AJ81-'Model inputs'!AJ121*'Model inputs'!AJ120,0)</f>
        <v>75876.18744067001</v>
      </c>
      <c r="W7" s="9">
        <f>MAX('Model inputs'!W10*'Model inputs'!AJ81-'Model inputs'!AJ121*'Model inputs'!AJ120,0)</f>
        <v>109862.7580496509</v>
      </c>
      <c r="X7" s="9">
        <f>MAX('Model inputs'!X10*'Model inputs'!AJ81-'Model inputs'!AJ121*'Model inputs'!AJ120,0)</f>
        <v>153025.70272305663</v>
      </c>
      <c r="Y7" s="9">
        <f>MAX('Model inputs'!Y10*'Model inputs'!AJ81-'Model inputs'!AJ121*'Model inputs'!AJ120,0)</f>
        <v>207842.64245828195</v>
      </c>
      <c r="Z7" s="9">
        <f>MAX('Model inputs'!Z10*'Model inputs'!AJ81-'Model inputs'!AJ121*'Model inputs'!AJ120,0)</f>
        <v>277460.1559220181</v>
      </c>
      <c r="AA7" s="9">
        <f>MAX('Model inputs'!AA10*'Model inputs'!AJ81-'Model inputs'!AJ121*'Model inputs'!AJ120,0)</f>
        <v>365874.39802096295</v>
      </c>
      <c r="AB7" s="9">
        <f>MAX('Model inputs'!AB10*'Model inputs'!AJ81-'Model inputs'!AJ121*'Model inputs'!AJ120,0)</f>
        <v>478160.485486623</v>
      </c>
      <c r="AC7" s="9">
        <f>MAX('Model inputs'!AC10*'Model inputs'!AJ81-'Model inputs'!AJ121*'Model inputs'!AJ120,0)</f>
        <v>620763.8165680111</v>
      </c>
      <c r="AD7" s="9">
        <f>MAX('Model inputs'!AD10*'Model inputs'!AJ81-'Model inputs'!AJ121*'Model inputs'!AJ120,0)</f>
        <v>801870.047041374</v>
      </c>
      <c r="AE7" s="9">
        <f>MAX('Model inputs'!AE10*'Model inputs'!AJ81-'Model inputs'!AJ121*'Model inputs'!AJ120,0)</f>
        <v>1031874.9597425452</v>
      </c>
      <c r="AF7" s="9">
        <f>MAX('Model inputs'!AF10*'Model inputs'!AJ81-'Model inputs'!AJ121*'Model inputs'!AJ120,0)</f>
        <v>1323981.1988730324</v>
      </c>
      <c r="AG7" s="9">
        <f>MAX('Model inputs'!AG10*'Model inputs'!AJ81-'Model inputs'!AJ121*'Model inputs'!AJ120,0)</f>
        <v>1694956.122568751</v>
      </c>
      <c r="AH7" s="9">
        <f>MAX('Model inputs'!AH10*'Model inputs'!AJ81-'Model inputs'!AJ121*'Model inputs'!AJ120,0)</f>
        <v>2166094.275662314</v>
      </c>
      <c r="AI7" s="9">
        <f>MAX('Model inputs'!AI10*'Model inputs'!AJ81-'Model inputs'!AJ121*'Model inputs'!AJ120,0)</f>
        <v>2764439.7300911387</v>
      </c>
    </row>
    <row r="8">
      <c r="A8" t="inlineStr" s="13">
        <is>
          <t xml:space="preserve">Haq Acquisition top-up · Conservative</t>
        </is>
      </c>
      <c r="B8" s="9">
        <f>MAX('Model inputs'!B11*'Model inputs'!AJ137-'Model inputs'!AJ177*'Model inputs'!AJ176,0)</f>
        <v>0</v>
      </c>
      <c r="C8" s="9">
        <f>MAX('Model inputs'!C11*'Model inputs'!AJ137-'Model inputs'!AJ177*'Model inputs'!AJ176,0)</f>
        <v>0</v>
      </c>
      <c r="D8" s="9">
        <f>MAX('Model inputs'!D11*'Model inputs'!AJ137-'Model inputs'!AJ177*'Model inputs'!AJ176,0)</f>
        <v>0</v>
      </c>
      <c r="E8" s="9">
        <f>MAX('Model inputs'!E11*'Model inputs'!AJ137-'Model inputs'!AJ177*'Model inputs'!AJ176,0)</f>
        <v>0</v>
      </c>
      <c r="F8" s="9">
        <f>MAX('Model inputs'!F11*'Model inputs'!AJ137-'Model inputs'!AJ177*'Model inputs'!AJ176,0)</f>
        <v>0</v>
      </c>
      <c r="G8" s="9">
        <f>MAX('Model inputs'!G11*'Model inputs'!AJ137-'Model inputs'!AJ177*'Model inputs'!AJ176,0)</f>
        <v>0</v>
      </c>
      <c r="H8" s="9">
        <f>MAX('Model inputs'!H11*'Model inputs'!AJ137-'Model inputs'!AJ177*'Model inputs'!AJ176,0)</f>
        <v>0</v>
      </c>
      <c r="I8" s="9">
        <f>MAX('Model inputs'!I11*'Model inputs'!AJ137-'Model inputs'!AJ177*'Model inputs'!AJ176,0)</f>
        <v>0</v>
      </c>
      <c r="J8" s="9">
        <f>MAX('Model inputs'!J11*'Model inputs'!AJ137-'Model inputs'!AJ177*'Model inputs'!AJ176,0)</f>
        <v>0</v>
      </c>
      <c r="K8" s="9">
        <f>MAX('Model inputs'!K11*'Model inputs'!AJ137-'Model inputs'!AJ177*'Model inputs'!AJ176,0)</f>
        <v>0</v>
      </c>
      <c r="L8" s="9">
        <f>MAX('Model inputs'!L11*'Model inputs'!AJ137-'Model inputs'!AJ177*'Model inputs'!AJ176,0)</f>
        <v>0</v>
      </c>
      <c r="M8" s="9">
        <f>MAX('Model inputs'!M11*'Model inputs'!AJ137-'Model inputs'!AJ177*'Model inputs'!AJ176,0)</f>
        <v>0</v>
      </c>
      <c r="N8" s="9">
        <f>MAX('Model inputs'!N11*'Model inputs'!AJ137-'Model inputs'!AJ177*'Model inputs'!AJ176,0)</f>
        <v>0</v>
      </c>
      <c r="O8" s="9">
        <f>MAX('Model inputs'!O11*'Model inputs'!AJ137-'Model inputs'!AJ177*'Model inputs'!AJ176,0)</f>
        <v>50000</v>
      </c>
      <c r="P8" s="9">
        <f>MAX('Model inputs'!P11*'Model inputs'!AJ137-'Model inputs'!AJ177*'Model inputs'!AJ176,0)</f>
        <v>0</v>
      </c>
      <c r="Q8" s="9">
        <f>MAX('Model inputs'!Q11*'Model inputs'!AJ137-'Model inputs'!AJ177*'Model inputs'!AJ176,0)</f>
        <v>0</v>
      </c>
      <c r="R8" s="9">
        <f>MAX('Model inputs'!R11*'Model inputs'!AJ137-'Model inputs'!AJ177*'Model inputs'!AJ176,0)</f>
        <v>0</v>
      </c>
      <c r="S8" s="9">
        <f>MAX('Model inputs'!S11*'Model inputs'!AJ137-'Model inputs'!AJ177*'Model inputs'!AJ176,0)</f>
        <v>0</v>
      </c>
      <c r="T8" s="9">
        <f>MAX('Model inputs'!T11*'Model inputs'!AJ137-'Model inputs'!AJ177*'Model inputs'!AJ176,0)</f>
        <v>0</v>
      </c>
      <c r="U8" s="9">
        <f>MAX('Model inputs'!U11*'Model inputs'!AJ137-'Model inputs'!AJ177*'Model inputs'!AJ176,0)</f>
        <v>0</v>
      </c>
      <c r="V8" s="9">
        <f>MAX('Model inputs'!V11*'Model inputs'!AJ137-'Model inputs'!AJ177*'Model inputs'!AJ176,0)</f>
        <v>0</v>
      </c>
      <c r="W8" s="9">
        <f>MAX('Model inputs'!W11*'Model inputs'!AJ137-'Model inputs'!AJ177*'Model inputs'!AJ176,0)</f>
        <v>0</v>
      </c>
      <c r="X8" s="9">
        <f>MAX('Model inputs'!X11*'Model inputs'!AJ137-'Model inputs'!AJ177*'Model inputs'!AJ176,0)</f>
        <v>0</v>
      </c>
      <c r="Y8" s="9">
        <f>MAX('Model inputs'!Y11*'Model inputs'!AJ137-'Model inputs'!AJ177*'Model inputs'!AJ176,0)</f>
        <v>0</v>
      </c>
      <c r="Z8" s="9">
        <f>MAX('Model inputs'!Z11*'Model inputs'!AJ137-'Model inputs'!AJ177*'Model inputs'!AJ176,0)</f>
        <v>0</v>
      </c>
      <c r="AA8" s="9">
        <f>MAX('Model inputs'!AA11*'Model inputs'!AJ137-'Model inputs'!AJ177*'Model inputs'!AJ176,0)</f>
        <v>0</v>
      </c>
      <c r="AB8" s="9">
        <f>MAX('Model inputs'!AB11*'Model inputs'!AJ137-'Model inputs'!AJ177*'Model inputs'!AJ176,0)</f>
        <v>0</v>
      </c>
      <c r="AC8" s="9">
        <f>MAX('Model inputs'!AC11*'Model inputs'!AJ137-'Model inputs'!AJ177*'Model inputs'!AJ176,0)</f>
        <v>0</v>
      </c>
      <c r="AD8" s="9">
        <f>MAX('Model inputs'!AD11*'Model inputs'!AJ137-'Model inputs'!AJ177*'Model inputs'!AJ176,0)</f>
        <v>0</v>
      </c>
      <c r="AE8" s="9">
        <f>MAX('Model inputs'!AE11*'Model inputs'!AJ137-'Model inputs'!AJ177*'Model inputs'!AJ176,0)</f>
        <v>0</v>
      </c>
      <c r="AF8" s="9">
        <f>MAX('Model inputs'!AF11*'Model inputs'!AJ137-'Model inputs'!AJ177*'Model inputs'!AJ176,0)</f>
        <v>0</v>
      </c>
      <c r="AG8" s="9">
        <f>MAX('Model inputs'!AG11*'Model inputs'!AJ137-'Model inputs'!AJ177*'Model inputs'!AJ176,0)</f>
        <v>0</v>
      </c>
      <c r="AH8" s="9">
        <f>MAX('Model inputs'!AH11*'Model inputs'!AJ137-'Model inputs'!AJ177*'Model inputs'!AJ176,0)</f>
        <v>0</v>
      </c>
      <c r="AI8" s="9">
        <f>MAX('Model inputs'!AI11*'Model inputs'!AJ137-'Model inputs'!AJ177*'Model inputs'!AJ176,0)</f>
        <v>0</v>
      </c>
    </row>
    <row r="9">
      <c r="A9" t="inlineStr" s="13">
        <is>
          <t xml:space="preserve">Haq CSC new operators · Main Scenario</t>
        </is>
      </c>
      <c r="B9" s="8">
        <f>IF(IF(IF(ISERROR('Model inputs'!B186='Model inputs'!AJ26),'Model inputs'!B186='Model inputs'!AJ26,IF(OR('Model inputs'!B186="",'Model inputs'!AJ26=""),"",'Model inputs'!B186='Model inputs'!AJ26))="",FALSE,IF(ISERROR('Model inputs'!B186='Model inputs'!AJ26),'Model inputs'!B186='Model inputs'!AJ26,IF(OR('Model inputs'!B186="",'Model inputs'!AJ26=""),"",'Model inputs'!B186='Model inputs'!AJ26))),IF('Model inputs'!AJ27="","",'Model inputs'!AJ27),IF(IF(IF(ISERROR('Model inputs'!B186&gt;'Model inputs'!AJ26),'Model inputs'!B186&gt;'Model inputs'!AJ26,IF(OR('Model inputs'!B186="",'Model inputs'!AJ26=""),"",'Model inputs'!B186&gt;'Model inputs'!AJ26))="",FALSE,IF(ISERROR('Model inputs'!B186&gt;'Model inputs'!AJ26),'Model inputs'!B186&gt;'Model inputs'!AJ26,IF(OR('Model inputs'!B186="",'Model inputs'!AJ26=""),"",'Model inputs'!B186&gt;'Model inputs'!AJ26))),0*'Model inputs'!AJ23,0))</f>
        <v>0</v>
      </c>
      <c r="C9" s="8">
        <f>IF(IF(IF(ISERROR('Model inputs'!C186='Model inputs'!AJ26),'Model inputs'!C186='Model inputs'!AJ26,IF(OR('Model inputs'!C186="",'Model inputs'!AJ26=""),"",'Model inputs'!C186='Model inputs'!AJ26))="",FALSE,IF(ISERROR('Model inputs'!C186='Model inputs'!AJ26),'Model inputs'!C186='Model inputs'!AJ26,IF(OR('Model inputs'!C186="",'Model inputs'!AJ26=""),"",'Model inputs'!C186='Model inputs'!AJ26))),IF('Model inputs'!AJ27="","",'Model inputs'!AJ27),IF(IF(IF(ISERROR('Model inputs'!C186&gt;'Model inputs'!AJ26),'Model inputs'!C186&gt;'Model inputs'!AJ26,IF(OR('Model inputs'!C186="",'Model inputs'!AJ26=""),"",'Model inputs'!C186&gt;'Model inputs'!AJ26))="",FALSE,IF(ISERROR('Model inputs'!C186&gt;'Model inputs'!AJ26),'Model inputs'!C186&gt;'Model inputs'!AJ26,IF(OR('Model inputs'!C186="",'Model inputs'!AJ26=""),"",'Model inputs'!C186&gt;'Model inputs'!AJ26))),'Model inputs'!B189*'Model inputs'!AJ23,0))</f>
        <v>0</v>
      </c>
      <c r="D9" s="8">
        <f>IF(IF(IF(ISERROR('Model inputs'!D186='Model inputs'!AJ26),'Model inputs'!D186='Model inputs'!AJ26,IF(OR('Model inputs'!D186="",'Model inputs'!AJ26=""),"",'Model inputs'!D186='Model inputs'!AJ26))="",FALSE,IF(ISERROR('Model inputs'!D186='Model inputs'!AJ26),'Model inputs'!D186='Model inputs'!AJ26,IF(OR('Model inputs'!D186="",'Model inputs'!AJ26=""),"",'Model inputs'!D186='Model inputs'!AJ26))),IF('Model inputs'!AJ27="","",'Model inputs'!AJ27),IF(IF(IF(ISERROR('Model inputs'!D186&gt;'Model inputs'!AJ26),'Model inputs'!D186&gt;'Model inputs'!AJ26,IF(OR('Model inputs'!D186="",'Model inputs'!AJ26=""),"",'Model inputs'!D186&gt;'Model inputs'!AJ26))="",FALSE,IF(ISERROR('Model inputs'!D186&gt;'Model inputs'!AJ26),'Model inputs'!D186&gt;'Model inputs'!AJ26,IF(OR('Model inputs'!D186="",'Model inputs'!AJ26=""),"",'Model inputs'!D186&gt;'Model inputs'!AJ26))),'Model inputs'!C189*'Model inputs'!AJ23,0))</f>
        <v>0</v>
      </c>
      <c r="E9" s="8">
        <f>IF(IF(IF(ISERROR('Model inputs'!E186='Model inputs'!AJ26),'Model inputs'!E186='Model inputs'!AJ26,IF(OR('Model inputs'!E186="",'Model inputs'!AJ26=""),"",'Model inputs'!E186='Model inputs'!AJ26))="",FALSE,IF(ISERROR('Model inputs'!E186='Model inputs'!AJ26),'Model inputs'!E186='Model inputs'!AJ26,IF(OR('Model inputs'!E186="",'Model inputs'!AJ26=""),"",'Model inputs'!E186='Model inputs'!AJ26))),IF('Model inputs'!AJ27="","",'Model inputs'!AJ27),IF(IF(IF(ISERROR('Model inputs'!E186&gt;'Model inputs'!AJ26),'Model inputs'!E186&gt;'Model inputs'!AJ26,IF(OR('Model inputs'!E186="",'Model inputs'!AJ26=""),"",'Model inputs'!E186&gt;'Model inputs'!AJ26))="",FALSE,IF(ISERROR('Model inputs'!E186&gt;'Model inputs'!AJ26),'Model inputs'!E186&gt;'Model inputs'!AJ26,IF(OR('Model inputs'!E186="",'Model inputs'!AJ26=""),"",'Model inputs'!E186&gt;'Model inputs'!AJ26))),'Model inputs'!D189*'Model inputs'!AJ23,0))</f>
        <v>0</v>
      </c>
      <c r="F9" s="8">
        <f>IF(IF(IF(ISERROR('Model inputs'!F186='Model inputs'!AJ26),'Model inputs'!F186='Model inputs'!AJ26,IF(OR('Model inputs'!F186="",'Model inputs'!AJ26=""),"",'Model inputs'!F186='Model inputs'!AJ26))="",FALSE,IF(ISERROR('Model inputs'!F186='Model inputs'!AJ26),'Model inputs'!F186='Model inputs'!AJ26,IF(OR('Model inputs'!F186="",'Model inputs'!AJ26=""),"",'Model inputs'!F186='Model inputs'!AJ26))),IF('Model inputs'!AJ27="","",'Model inputs'!AJ27),IF(IF(IF(ISERROR('Model inputs'!F186&gt;'Model inputs'!AJ26),'Model inputs'!F186&gt;'Model inputs'!AJ26,IF(OR('Model inputs'!F186="",'Model inputs'!AJ26=""),"",'Model inputs'!F186&gt;'Model inputs'!AJ26))="",FALSE,IF(ISERROR('Model inputs'!F186&gt;'Model inputs'!AJ26),'Model inputs'!F186&gt;'Model inputs'!AJ26,IF(OR('Model inputs'!F186="",'Model inputs'!AJ26=""),"",'Model inputs'!F186&gt;'Model inputs'!AJ26))),'Model inputs'!E189*'Model inputs'!AJ23,0))</f>
        <v>0</v>
      </c>
      <c r="G9" s="8">
        <f>IF(IF(IF(ISERROR('Model inputs'!G186='Model inputs'!AJ26),'Model inputs'!G186='Model inputs'!AJ26,IF(OR('Model inputs'!G186="",'Model inputs'!AJ26=""),"",'Model inputs'!G186='Model inputs'!AJ26))="",FALSE,IF(ISERROR('Model inputs'!G186='Model inputs'!AJ26),'Model inputs'!G186='Model inputs'!AJ26,IF(OR('Model inputs'!G186="",'Model inputs'!AJ26=""),"",'Model inputs'!G186='Model inputs'!AJ26))),IF('Model inputs'!AJ27="","",'Model inputs'!AJ27),IF(IF(IF(ISERROR('Model inputs'!G186&gt;'Model inputs'!AJ26),'Model inputs'!G186&gt;'Model inputs'!AJ26,IF(OR('Model inputs'!G186="",'Model inputs'!AJ26=""),"",'Model inputs'!G186&gt;'Model inputs'!AJ26))="",FALSE,IF(ISERROR('Model inputs'!G186&gt;'Model inputs'!AJ26),'Model inputs'!G186&gt;'Model inputs'!AJ26,IF(OR('Model inputs'!G186="",'Model inputs'!AJ26=""),"",'Model inputs'!G186&gt;'Model inputs'!AJ26))),'Model inputs'!F189*'Model inputs'!AJ23,0))</f>
        <v>0</v>
      </c>
      <c r="H9" s="8">
        <f>IF(IF(IF(ISERROR('Model inputs'!H186='Model inputs'!AJ26),'Model inputs'!H186='Model inputs'!AJ26,IF(OR('Model inputs'!H186="",'Model inputs'!AJ26=""),"",'Model inputs'!H186='Model inputs'!AJ26))="",FALSE,IF(ISERROR('Model inputs'!H186='Model inputs'!AJ26),'Model inputs'!H186='Model inputs'!AJ26,IF(OR('Model inputs'!H186="",'Model inputs'!AJ26=""),"",'Model inputs'!H186='Model inputs'!AJ26))),IF('Model inputs'!AJ27="","",'Model inputs'!AJ27),IF(IF(IF(ISERROR('Model inputs'!H186&gt;'Model inputs'!AJ26),'Model inputs'!H186&gt;'Model inputs'!AJ26,IF(OR('Model inputs'!H186="",'Model inputs'!AJ26=""),"",'Model inputs'!H186&gt;'Model inputs'!AJ26))="",FALSE,IF(ISERROR('Model inputs'!H186&gt;'Model inputs'!AJ26),'Model inputs'!H186&gt;'Model inputs'!AJ26,IF(OR('Model inputs'!H186="",'Model inputs'!AJ26=""),"",'Model inputs'!H186&gt;'Model inputs'!AJ26))),'Model inputs'!G189*'Model inputs'!AJ23,0))</f>
        <v>0</v>
      </c>
      <c r="I9" s="8">
        <f>IF(IF(IF(ISERROR('Model inputs'!I186='Model inputs'!AJ26),'Model inputs'!I186='Model inputs'!AJ26,IF(OR('Model inputs'!I186="",'Model inputs'!AJ26=""),"",'Model inputs'!I186='Model inputs'!AJ26))="",FALSE,IF(ISERROR('Model inputs'!I186='Model inputs'!AJ26),'Model inputs'!I186='Model inputs'!AJ26,IF(OR('Model inputs'!I186="",'Model inputs'!AJ26=""),"",'Model inputs'!I186='Model inputs'!AJ26))),IF('Model inputs'!AJ27="","",'Model inputs'!AJ27),IF(IF(IF(ISERROR('Model inputs'!I186&gt;'Model inputs'!AJ26),'Model inputs'!I186&gt;'Model inputs'!AJ26,IF(OR('Model inputs'!I186="",'Model inputs'!AJ26=""),"",'Model inputs'!I186&gt;'Model inputs'!AJ26))="",FALSE,IF(ISERROR('Model inputs'!I186&gt;'Model inputs'!AJ26),'Model inputs'!I186&gt;'Model inputs'!AJ26,IF(OR('Model inputs'!I186="",'Model inputs'!AJ26=""),"",'Model inputs'!I186&gt;'Model inputs'!AJ26))),'Model inputs'!H189*'Model inputs'!AJ23,0))</f>
        <v>0</v>
      </c>
      <c r="J9" s="8">
        <f>IF(IF(IF(ISERROR('Model inputs'!J186='Model inputs'!AJ26),'Model inputs'!J186='Model inputs'!AJ26,IF(OR('Model inputs'!J186="",'Model inputs'!AJ26=""),"",'Model inputs'!J186='Model inputs'!AJ26))="",FALSE,IF(ISERROR('Model inputs'!J186='Model inputs'!AJ26),'Model inputs'!J186='Model inputs'!AJ26,IF(OR('Model inputs'!J186="",'Model inputs'!AJ26=""),"",'Model inputs'!J186='Model inputs'!AJ26))),IF('Model inputs'!AJ27="","",'Model inputs'!AJ27),IF(IF(IF(ISERROR('Model inputs'!J186&gt;'Model inputs'!AJ26),'Model inputs'!J186&gt;'Model inputs'!AJ26,IF(OR('Model inputs'!J186="",'Model inputs'!AJ26=""),"",'Model inputs'!J186&gt;'Model inputs'!AJ26))="",FALSE,IF(ISERROR('Model inputs'!J186&gt;'Model inputs'!AJ26),'Model inputs'!J186&gt;'Model inputs'!AJ26,IF(OR('Model inputs'!J186="",'Model inputs'!AJ26=""),"",'Model inputs'!J186&gt;'Model inputs'!AJ26))),'Model inputs'!I189*'Model inputs'!AJ23,0))</f>
        <v>0</v>
      </c>
      <c r="K9" s="8">
        <f>IF(IF(IF(ISERROR('Model inputs'!K186='Model inputs'!AJ26),'Model inputs'!K186='Model inputs'!AJ26,IF(OR('Model inputs'!K186="",'Model inputs'!AJ26=""),"",'Model inputs'!K186='Model inputs'!AJ26))="",FALSE,IF(ISERROR('Model inputs'!K186='Model inputs'!AJ26),'Model inputs'!K186='Model inputs'!AJ26,IF(OR('Model inputs'!K186="",'Model inputs'!AJ26=""),"",'Model inputs'!K186='Model inputs'!AJ26))),IF('Model inputs'!AJ27="","",'Model inputs'!AJ27),IF(IF(IF(ISERROR('Model inputs'!K186&gt;'Model inputs'!AJ26),'Model inputs'!K186&gt;'Model inputs'!AJ26,IF(OR('Model inputs'!K186="",'Model inputs'!AJ26=""),"",'Model inputs'!K186&gt;'Model inputs'!AJ26))="",FALSE,IF(ISERROR('Model inputs'!K186&gt;'Model inputs'!AJ26),'Model inputs'!K186&gt;'Model inputs'!AJ26,IF(OR('Model inputs'!K186="",'Model inputs'!AJ26=""),"",'Model inputs'!K186&gt;'Model inputs'!AJ26))),'Model inputs'!J189*'Model inputs'!AJ23,0))</f>
        <v>0</v>
      </c>
      <c r="L9" s="8">
        <f>IF(IF(IF(ISERROR('Model inputs'!L186='Model inputs'!AJ26),'Model inputs'!L186='Model inputs'!AJ26,IF(OR('Model inputs'!L186="",'Model inputs'!AJ26=""),"",'Model inputs'!L186='Model inputs'!AJ26))="",FALSE,IF(ISERROR('Model inputs'!L186='Model inputs'!AJ26),'Model inputs'!L186='Model inputs'!AJ26,IF(OR('Model inputs'!L186="",'Model inputs'!AJ26=""),"",'Model inputs'!L186='Model inputs'!AJ26))),IF('Model inputs'!AJ27="","",'Model inputs'!AJ27),IF(IF(IF(ISERROR('Model inputs'!L186&gt;'Model inputs'!AJ26),'Model inputs'!L186&gt;'Model inputs'!AJ26,IF(OR('Model inputs'!L186="",'Model inputs'!AJ26=""),"",'Model inputs'!L186&gt;'Model inputs'!AJ26))="",FALSE,IF(ISERROR('Model inputs'!L186&gt;'Model inputs'!AJ26),'Model inputs'!L186&gt;'Model inputs'!AJ26,IF(OR('Model inputs'!L186="",'Model inputs'!AJ26=""),"",'Model inputs'!L186&gt;'Model inputs'!AJ26))),'Model inputs'!K189*'Model inputs'!AJ23,0))</f>
        <v>0</v>
      </c>
      <c r="M9" s="8">
        <f>IF(IF(IF(ISERROR('Model inputs'!M186='Model inputs'!AJ26),'Model inputs'!M186='Model inputs'!AJ26,IF(OR('Model inputs'!M186="",'Model inputs'!AJ26=""),"",'Model inputs'!M186='Model inputs'!AJ26))="",FALSE,IF(ISERROR('Model inputs'!M186='Model inputs'!AJ26),'Model inputs'!M186='Model inputs'!AJ26,IF(OR('Model inputs'!M186="",'Model inputs'!AJ26=""),"",'Model inputs'!M186='Model inputs'!AJ26))),IF('Model inputs'!AJ27="","",'Model inputs'!AJ27),IF(IF(IF(ISERROR('Model inputs'!M186&gt;'Model inputs'!AJ26),'Model inputs'!M186&gt;'Model inputs'!AJ26,IF(OR('Model inputs'!M186="",'Model inputs'!AJ26=""),"",'Model inputs'!M186&gt;'Model inputs'!AJ26))="",FALSE,IF(ISERROR('Model inputs'!M186&gt;'Model inputs'!AJ26),'Model inputs'!M186&gt;'Model inputs'!AJ26,IF(OR('Model inputs'!M186="",'Model inputs'!AJ26=""),"",'Model inputs'!M186&gt;'Model inputs'!AJ26))),'Model inputs'!L189*'Model inputs'!AJ23,0))</f>
        <v>0</v>
      </c>
      <c r="N9" s="8">
        <f>IF(IF(IF(ISERROR('Model inputs'!N186='Model inputs'!AJ26),'Model inputs'!N186='Model inputs'!AJ26,IF(OR('Model inputs'!N186="",'Model inputs'!AJ26=""),"",'Model inputs'!N186='Model inputs'!AJ26))="",FALSE,IF(ISERROR('Model inputs'!N186='Model inputs'!AJ26),'Model inputs'!N186='Model inputs'!AJ26,IF(OR('Model inputs'!N186="",'Model inputs'!AJ26=""),"",'Model inputs'!N186='Model inputs'!AJ26))),IF('Model inputs'!AJ27="","",'Model inputs'!AJ27),IF(IF(IF(ISERROR('Model inputs'!N186&gt;'Model inputs'!AJ26),'Model inputs'!N186&gt;'Model inputs'!AJ26,IF(OR('Model inputs'!N186="",'Model inputs'!AJ26=""),"",'Model inputs'!N186&gt;'Model inputs'!AJ26))="",FALSE,IF(ISERROR('Model inputs'!N186&gt;'Model inputs'!AJ26),'Model inputs'!N186&gt;'Model inputs'!AJ26,IF(OR('Model inputs'!N186="",'Model inputs'!AJ26=""),"",'Model inputs'!N186&gt;'Model inputs'!AJ26))),'Model inputs'!M189*'Model inputs'!AJ23,0))</f>
        <v>0</v>
      </c>
      <c r="O9" s="8">
        <f>IF(IF(IF(ISERROR('Model inputs'!O186='Model inputs'!AJ26),'Model inputs'!O186='Model inputs'!AJ26,IF(OR('Model inputs'!O186="",'Model inputs'!AJ26=""),"",'Model inputs'!O186='Model inputs'!AJ26))="",FALSE,IF(ISERROR('Model inputs'!O186='Model inputs'!AJ26),'Model inputs'!O186='Model inputs'!AJ26,IF(OR('Model inputs'!O186="",'Model inputs'!AJ26=""),"",'Model inputs'!O186='Model inputs'!AJ26))),IF('Model inputs'!AJ27="","",'Model inputs'!AJ27),IF(IF(IF(ISERROR('Model inputs'!O186&gt;'Model inputs'!AJ26),'Model inputs'!O186&gt;'Model inputs'!AJ26,IF(OR('Model inputs'!O186="",'Model inputs'!AJ26=""),"",'Model inputs'!O186&gt;'Model inputs'!AJ26))="",FALSE,IF(ISERROR('Model inputs'!O186&gt;'Model inputs'!AJ26),'Model inputs'!O186&gt;'Model inputs'!AJ26,IF(OR('Model inputs'!O186="",'Model inputs'!AJ26=""),"",'Model inputs'!O186&gt;'Model inputs'!AJ26))),'Model inputs'!N189*'Model inputs'!AJ23,0))</f>
        <v>50</v>
      </c>
      <c r="P9" s="8">
        <f>IF(IF(IF(ISERROR('Model inputs'!P186='Model inputs'!AJ26),'Model inputs'!P186='Model inputs'!AJ26,IF(OR('Model inputs'!P186="",'Model inputs'!AJ26=""),"",'Model inputs'!P186='Model inputs'!AJ26))="",FALSE,IF(ISERROR('Model inputs'!P186='Model inputs'!AJ26),'Model inputs'!P186='Model inputs'!AJ26,IF(OR('Model inputs'!P186="",'Model inputs'!AJ26=""),"",'Model inputs'!P186='Model inputs'!AJ26))),IF('Model inputs'!AJ27="","",'Model inputs'!AJ27),IF(IF(IF(ISERROR('Model inputs'!P186&gt;'Model inputs'!AJ26),'Model inputs'!P186&gt;'Model inputs'!AJ26,IF(OR('Model inputs'!P186="",'Model inputs'!AJ26=""),"",'Model inputs'!P186&gt;'Model inputs'!AJ26))="",FALSE,IF(ISERROR('Model inputs'!P186&gt;'Model inputs'!AJ26),'Model inputs'!P186&gt;'Model inputs'!AJ26,IF(OR('Model inputs'!P186="",'Model inputs'!AJ26=""),"",'Model inputs'!P186&gt;'Model inputs'!AJ26))),'Model inputs'!O189*'Model inputs'!AJ23,0))</f>
        <v>10</v>
      </c>
      <c r="Q9" s="8">
        <f>IF(IF(IF(ISERROR('Model inputs'!Q186='Model inputs'!AJ26),'Model inputs'!Q186='Model inputs'!AJ26,IF(OR('Model inputs'!Q186="",'Model inputs'!AJ26=""),"",'Model inputs'!Q186='Model inputs'!AJ26))="",FALSE,IF(ISERROR('Model inputs'!Q186='Model inputs'!AJ26),'Model inputs'!Q186='Model inputs'!AJ26,IF(OR('Model inputs'!Q186="",'Model inputs'!AJ26=""),"",'Model inputs'!Q186='Model inputs'!AJ26))),IF('Model inputs'!AJ27="","",'Model inputs'!AJ27),IF(IF(IF(ISERROR('Model inputs'!Q186&gt;'Model inputs'!AJ26),'Model inputs'!Q186&gt;'Model inputs'!AJ26,IF(OR('Model inputs'!Q186="",'Model inputs'!AJ26=""),"",'Model inputs'!Q186&gt;'Model inputs'!AJ26))="",FALSE,IF(ISERROR('Model inputs'!Q186&gt;'Model inputs'!AJ26),'Model inputs'!Q186&gt;'Model inputs'!AJ26,IF(OR('Model inputs'!Q186="",'Model inputs'!AJ26=""),"",'Model inputs'!Q186&gt;'Model inputs'!AJ26))),'Model inputs'!P189*'Model inputs'!AJ23,0))</f>
        <v>11.5</v>
      </c>
      <c r="R9" s="8">
        <f>IF(IF(IF(ISERROR('Model inputs'!R186='Model inputs'!AJ26),'Model inputs'!R186='Model inputs'!AJ26,IF(OR('Model inputs'!R186="",'Model inputs'!AJ26=""),"",'Model inputs'!R186='Model inputs'!AJ26))="",FALSE,IF(ISERROR('Model inputs'!R186='Model inputs'!AJ26),'Model inputs'!R186='Model inputs'!AJ26,IF(OR('Model inputs'!R186="",'Model inputs'!AJ26=""),"",'Model inputs'!R186='Model inputs'!AJ26))),IF('Model inputs'!AJ27="","",'Model inputs'!AJ27),IF(IF(IF(ISERROR('Model inputs'!R186&gt;'Model inputs'!AJ26),'Model inputs'!R186&gt;'Model inputs'!AJ26,IF(OR('Model inputs'!R186="",'Model inputs'!AJ26=""),"",'Model inputs'!R186&gt;'Model inputs'!AJ26))="",FALSE,IF(ISERROR('Model inputs'!R186&gt;'Model inputs'!AJ26),'Model inputs'!R186&gt;'Model inputs'!AJ26,IF(OR('Model inputs'!R186="",'Model inputs'!AJ26=""),"",'Model inputs'!R186&gt;'Model inputs'!AJ26))),'Model inputs'!Q189*'Model inputs'!AJ23,0))</f>
        <v>13.224999999999998</v>
      </c>
      <c r="S9" s="8">
        <f>IF(IF(IF(ISERROR('Model inputs'!S186='Model inputs'!AJ26),'Model inputs'!S186='Model inputs'!AJ26,IF(OR('Model inputs'!S186="",'Model inputs'!AJ26=""),"",'Model inputs'!S186='Model inputs'!AJ26))="",FALSE,IF(ISERROR('Model inputs'!S186='Model inputs'!AJ26),'Model inputs'!S186='Model inputs'!AJ26,IF(OR('Model inputs'!S186="",'Model inputs'!AJ26=""),"",'Model inputs'!S186='Model inputs'!AJ26))),IF('Model inputs'!AJ27="","",'Model inputs'!AJ27),IF(IF(IF(ISERROR('Model inputs'!S186&gt;'Model inputs'!AJ26),'Model inputs'!S186&gt;'Model inputs'!AJ26,IF(OR('Model inputs'!S186="",'Model inputs'!AJ26=""),"",'Model inputs'!S186&gt;'Model inputs'!AJ26))="",FALSE,IF(ISERROR('Model inputs'!S186&gt;'Model inputs'!AJ26),'Model inputs'!S186&gt;'Model inputs'!AJ26,IF(OR('Model inputs'!S186="",'Model inputs'!AJ26=""),"",'Model inputs'!S186&gt;'Model inputs'!AJ26))),'Model inputs'!R189*'Model inputs'!AJ23,0))</f>
        <v>15.208749999999995</v>
      </c>
      <c r="T9" s="8">
        <f>IF(IF(IF(ISERROR('Model inputs'!T186='Model inputs'!AJ26),'Model inputs'!T186='Model inputs'!AJ26,IF(OR('Model inputs'!T186="",'Model inputs'!AJ26=""),"",'Model inputs'!T186='Model inputs'!AJ26))="",FALSE,IF(ISERROR('Model inputs'!T186='Model inputs'!AJ26),'Model inputs'!T186='Model inputs'!AJ26,IF(OR('Model inputs'!T186="",'Model inputs'!AJ26=""),"",'Model inputs'!T186='Model inputs'!AJ26))),IF('Model inputs'!AJ27="","",'Model inputs'!AJ27),IF(IF(IF(ISERROR('Model inputs'!T186&gt;'Model inputs'!AJ26),'Model inputs'!T186&gt;'Model inputs'!AJ26,IF(OR('Model inputs'!T186="",'Model inputs'!AJ26=""),"",'Model inputs'!T186&gt;'Model inputs'!AJ26))="",FALSE,IF(ISERROR('Model inputs'!T186&gt;'Model inputs'!AJ26),'Model inputs'!T186&gt;'Model inputs'!AJ26,IF(OR('Model inputs'!T186="",'Model inputs'!AJ26=""),"",'Model inputs'!T186&gt;'Model inputs'!AJ26))),'Model inputs'!S189*'Model inputs'!AJ23,0))</f>
        <v>17.490062499999993</v>
      </c>
      <c r="U9" s="8">
        <f>IF(IF(IF(ISERROR('Model inputs'!U186='Model inputs'!AJ26),'Model inputs'!U186='Model inputs'!AJ26,IF(OR('Model inputs'!U186="",'Model inputs'!AJ26=""),"",'Model inputs'!U186='Model inputs'!AJ26))="",FALSE,IF(ISERROR('Model inputs'!U186='Model inputs'!AJ26),'Model inputs'!U186='Model inputs'!AJ26,IF(OR('Model inputs'!U186="",'Model inputs'!AJ26=""),"",'Model inputs'!U186='Model inputs'!AJ26))),IF('Model inputs'!AJ27="","",'Model inputs'!AJ27),IF(IF(IF(ISERROR('Model inputs'!U186&gt;'Model inputs'!AJ26),'Model inputs'!U186&gt;'Model inputs'!AJ26,IF(OR('Model inputs'!U186="",'Model inputs'!AJ26=""),"",'Model inputs'!U186&gt;'Model inputs'!AJ26))="",FALSE,IF(ISERROR('Model inputs'!U186&gt;'Model inputs'!AJ26),'Model inputs'!U186&gt;'Model inputs'!AJ26,IF(OR('Model inputs'!U186="",'Model inputs'!AJ26=""),"",'Model inputs'!U186&gt;'Model inputs'!AJ26))),'Model inputs'!T189*'Model inputs'!AJ23,0))</f>
        <v>20.11357187499999</v>
      </c>
      <c r="V9" s="8">
        <f>IF(IF(IF(ISERROR('Model inputs'!V186='Model inputs'!AJ26),'Model inputs'!V186='Model inputs'!AJ26,IF(OR('Model inputs'!V186="",'Model inputs'!AJ26=""),"",'Model inputs'!V186='Model inputs'!AJ26))="",FALSE,IF(ISERROR('Model inputs'!V186='Model inputs'!AJ26),'Model inputs'!V186='Model inputs'!AJ26,IF(OR('Model inputs'!V186="",'Model inputs'!AJ26=""),"",'Model inputs'!V186='Model inputs'!AJ26))),IF('Model inputs'!AJ27="","",'Model inputs'!AJ27),IF(IF(IF(ISERROR('Model inputs'!V186&gt;'Model inputs'!AJ26),'Model inputs'!V186&gt;'Model inputs'!AJ26,IF(OR('Model inputs'!V186="",'Model inputs'!AJ26=""),"",'Model inputs'!V186&gt;'Model inputs'!AJ26))="",FALSE,IF(ISERROR('Model inputs'!V186&gt;'Model inputs'!AJ26),'Model inputs'!V186&gt;'Model inputs'!AJ26,IF(OR('Model inputs'!V186="",'Model inputs'!AJ26=""),"",'Model inputs'!V186&gt;'Model inputs'!AJ26))),'Model inputs'!U189*'Model inputs'!AJ23,0))</f>
        <v>23.13060765624999</v>
      </c>
      <c r="W9" s="8">
        <f>IF(IF(IF(ISERROR('Model inputs'!W186='Model inputs'!AJ26),'Model inputs'!W186='Model inputs'!AJ26,IF(OR('Model inputs'!W186="",'Model inputs'!AJ26=""),"",'Model inputs'!W186='Model inputs'!AJ26))="",FALSE,IF(ISERROR('Model inputs'!W186='Model inputs'!AJ26),'Model inputs'!W186='Model inputs'!AJ26,IF(OR('Model inputs'!W186="",'Model inputs'!AJ26=""),"",'Model inputs'!W186='Model inputs'!AJ26))),IF('Model inputs'!AJ27="","",'Model inputs'!AJ27),IF(IF(IF(ISERROR('Model inputs'!W186&gt;'Model inputs'!AJ26),'Model inputs'!W186&gt;'Model inputs'!AJ26,IF(OR('Model inputs'!W186="",'Model inputs'!AJ26=""),"",'Model inputs'!W186&gt;'Model inputs'!AJ26))="",FALSE,IF(ISERROR('Model inputs'!W186&gt;'Model inputs'!AJ26),'Model inputs'!W186&gt;'Model inputs'!AJ26,IF(OR('Model inputs'!W186="",'Model inputs'!AJ26=""),"",'Model inputs'!W186&gt;'Model inputs'!AJ26))),'Model inputs'!V189*'Model inputs'!AJ23,0))</f>
        <v>26.600198804687484</v>
      </c>
      <c r="X9" s="8">
        <f>IF(IF(IF(ISERROR('Model inputs'!X186='Model inputs'!AJ26),'Model inputs'!X186='Model inputs'!AJ26,IF(OR('Model inputs'!X186="",'Model inputs'!AJ26=""),"",'Model inputs'!X186='Model inputs'!AJ26))="",FALSE,IF(ISERROR('Model inputs'!X186='Model inputs'!AJ26),'Model inputs'!X186='Model inputs'!AJ26,IF(OR('Model inputs'!X186="",'Model inputs'!AJ26=""),"",'Model inputs'!X186='Model inputs'!AJ26))),IF('Model inputs'!AJ27="","",'Model inputs'!AJ27),IF(IF(IF(ISERROR('Model inputs'!X186&gt;'Model inputs'!AJ26),'Model inputs'!X186&gt;'Model inputs'!AJ26,IF(OR('Model inputs'!X186="",'Model inputs'!AJ26=""),"",'Model inputs'!X186&gt;'Model inputs'!AJ26))="",FALSE,IF(ISERROR('Model inputs'!X186&gt;'Model inputs'!AJ26),'Model inputs'!X186&gt;'Model inputs'!AJ26,IF(OR('Model inputs'!X186="",'Model inputs'!AJ26=""),"",'Model inputs'!X186&gt;'Model inputs'!AJ26))),'Model inputs'!W189*'Model inputs'!AJ23,0))</f>
        <v>30.590228625390605</v>
      </c>
      <c r="Y9" s="8">
        <f>IF(IF(IF(ISERROR('Model inputs'!Y186='Model inputs'!AJ26),'Model inputs'!Y186='Model inputs'!AJ26,IF(OR('Model inputs'!Y186="",'Model inputs'!AJ26=""),"",'Model inputs'!Y186='Model inputs'!AJ26))="",FALSE,IF(ISERROR('Model inputs'!Y186='Model inputs'!AJ26),'Model inputs'!Y186='Model inputs'!AJ26,IF(OR('Model inputs'!Y186="",'Model inputs'!AJ26=""),"",'Model inputs'!Y186='Model inputs'!AJ26))),IF('Model inputs'!AJ27="","",'Model inputs'!AJ27),IF(IF(IF(ISERROR('Model inputs'!Y186&gt;'Model inputs'!AJ26),'Model inputs'!Y186&gt;'Model inputs'!AJ26,IF(OR('Model inputs'!Y186="",'Model inputs'!AJ26=""),"",'Model inputs'!Y186&gt;'Model inputs'!AJ26))="",FALSE,IF(ISERROR('Model inputs'!Y186&gt;'Model inputs'!AJ26),'Model inputs'!Y186&gt;'Model inputs'!AJ26,IF(OR('Model inputs'!Y186="",'Model inputs'!AJ26=""),"",'Model inputs'!Y186&gt;'Model inputs'!AJ26))),'Model inputs'!X189*'Model inputs'!AJ23,0))</f>
        <v>35.178762919199194</v>
      </c>
      <c r="Z9" s="8">
        <f>IF(IF(IF(ISERROR('Model inputs'!Z186='Model inputs'!AJ26),'Model inputs'!Z186='Model inputs'!AJ26,IF(OR('Model inputs'!Z186="",'Model inputs'!AJ26=""),"",'Model inputs'!Z186='Model inputs'!AJ26))="",FALSE,IF(ISERROR('Model inputs'!Z186='Model inputs'!AJ26),'Model inputs'!Z186='Model inputs'!AJ26,IF(OR('Model inputs'!Z186="",'Model inputs'!AJ26=""),"",'Model inputs'!Z186='Model inputs'!AJ26))),IF('Model inputs'!AJ27="","",'Model inputs'!AJ27),IF(IF(IF(ISERROR('Model inputs'!Z186&gt;'Model inputs'!AJ26),'Model inputs'!Z186&gt;'Model inputs'!AJ26,IF(OR('Model inputs'!Z186="",'Model inputs'!AJ26=""),"",'Model inputs'!Z186&gt;'Model inputs'!AJ26))="",FALSE,IF(ISERROR('Model inputs'!Z186&gt;'Model inputs'!AJ26),'Model inputs'!Z186&gt;'Model inputs'!AJ26,IF(OR('Model inputs'!Z186="",'Model inputs'!AJ26=""),"",'Model inputs'!Z186&gt;'Model inputs'!AJ26))),'Model inputs'!Y189*'Model inputs'!AJ23,0))</f>
        <v>40.45557735707907</v>
      </c>
      <c r="AA9" s="8">
        <f>IF(IF(IF(ISERROR('Model inputs'!AA186='Model inputs'!AJ26),'Model inputs'!AA186='Model inputs'!AJ26,IF(OR('Model inputs'!AA186="",'Model inputs'!AJ26=""),"",'Model inputs'!AA186='Model inputs'!AJ26))="",FALSE,IF(ISERROR('Model inputs'!AA186='Model inputs'!AJ26),'Model inputs'!AA186='Model inputs'!AJ26,IF(OR('Model inputs'!AA186="",'Model inputs'!AJ26=""),"",'Model inputs'!AA186='Model inputs'!AJ26))),IF('Model inputs'!AJ27="","",'Model inputs'!AJ27),IF(IF(IF(ISERROR('Model inputs'!AA186&gt;'Model inputs'!AJ26),'Model inputs'!AA186&gt;'Model inputs'!AJ26,IF(OR('Model inputs'!AA186="",'Model inputs'!AJ26=""),"",'Model inputs'!AA186&gt;'Model inputs'!AJ26))="",FALSE,IF(ISERROR('Model inputs'!AA186&gt;'Model inputs'!AJ26),'Model inputs'!AA186&gt;'Model inputs'!AJ26,IF(OR('Model inputs'!AA186="",'Model inputs'!AJ26=""),"",'Model inputs'!AA186&gt;'Model inputs'!AJ26))),'Model inputs'!Z189*'Model inputs'!AJ23,0))</f>
        <v>46.523913960640925</v>
      </c>
      <c r="AB9" s="8">
        <f>IF(IF(IF(ISERROR('Model inputs'!AB186='Model inputs'!AJ26),'Model inputs'!AB186='Model inputs'!AJ26,IF(OR('Model inputs'!AB186="",'Model inputs'!AJ26=""),"",'Model inputs'!AB186='Model inputs'!AJ26))="",FALSE,IF(ISERROR('Model inputs'!AB186='Model inputs'!AJ26),'Model inputs'!AB186='Model inputs'!AJ26,IF(OR('Model inputs'!AB186="",'Model inputs'!AJ26=""),"",'Model inputs'!AB186='Model inputs'!AJ26))),IF('Model inputs'!AJ27="","",'Model inputs'!AJ27),IF(IF(IF(ISERROR('Model inputs'!AB186&gt;'Model inputs'!AJ26),'Model inputs'!AB186&gt;'Model inputs'!AJ26,IF(OR('Model inputs'!AB186="",'Model inputs'!AJ26=""),"",'Model inputs'!AB186&gt;'Model inputs'!AJ26))="",FALSE,IF(ISERROR('Model inputs'!AB186&gt;'Model inputs'!AJ26),'Model inputs'!AB186&gt;'Model inputs'!AJ26,IF(OR('Model inputs'!AB186="",'Model inputs'!AJ26=""),"",'Model inputs'!AB186&gt;'Model inputs'!AJ26))),'Model inputs'!AA189*'Model inputs'!AJ23,0))</f>
        <v>53.50250105473706</v>
      </c>
      <c r="AC9" s="8">
        <f>IF(IF(IF(ISERROR('Model inputs'!AC186='Model inputs'!AJ26),'Model inputs'!AC186='Model inputs'!AJ26,IF(OR('Model inputs'!AC186="",'Model inputs'!AJ26=""),"",'Model inputs'!AC186='Model inputs'!AJ26))="",FALSE,IF(ISERROR('Model inputs'!AC186='Model inputs'!AJ26),'Model inputs'!AC186='Model inputs'!AJ26,IF(OR('Model inputs'!AC186="",'Model inputs'!AJ26=""),"",'Model inputs'!AC186='Model inputs'!AJ26))),IF('Model inputs'!AJ27="","",'Model inputs'!AJ27),IF(IF(IF(ISERROR('Model inputs'!AC186&gt;'Model inputs'!AJ26),'Model inputs'!AC186&gt;'Model inputs'!AJ26,IF(OR('Model inputs'!AC186="",'Model inputs'!AJ26=""),"",'Model inputs'!AC186&gt;'Model inputs'!AJ26))="",FALSE,IF(ISERROR('Model inputs'!AC186&gt;'Model inputs'!AJ26),'Model inputs'!AC186&gt;'Model inputs'!AJ26,IF(OR('Model inputs'!AC186="",'Model inputs'!AJ26=""),"",'Model inputs'!AC186&gt;'Model inputs'!AJ26))),'Model inputs'!AB189*'Model inputs'!AJ23,0))</f>
        <v>61.52787621294762</v>
      </c>
      <c r="AD9" s="8">
        <f>IF(IF(IF(ISERROR('Model inputs'!AD186='Model inputs'!AJ26),'Model inputs'!AD186='Model inputs'!AJ26,IF(OR('Model inputs'!AD186="",'Model inputs'!AJ26=""),"",'Model inputs'!AD186='Model inputs'!AJ26))="",FALSE,IF(ISERROR('Model inputs'!AD186='Model inputs'!AJ26),'Model inputs'!AD186='Model inputs'!AJ26,IF(OR('Model inputs'!AD186="",'Model inputs'!AJ26=""),"",'Model inputs'!AD186='Model inputs'!AJ26))),IF('Model inputs'!AJ27="","",'Model inputs'!AJ27),IF(IF(IF(ISERROR('Model inputs'!AD186&gt;'Model inputs'!AJ26),'Model inputs'!AD186&gt;'Model inputs'!AJ26,IF(OR('Model inputs'!AD186="",'Model inputs'!AJ26=""),"",'Model inputs'!AD186&gt;'Model inputs'!AJ26))="",FALSE,IF(ISERROR('Model inputs'!AD186&gt;'Model inputs'!AJ26),'Model inputs'!AD186&gt;'Model inputs'!AJ26,IF(OR('Model inputs'!AD186="",'Model inputs'!AJ26=""),"",'Model inputs'!AD186&gt;'Model inputs'!AJ26))),'Model inputs'!AC189*'Model inputs'!AJ23,0))</f>
        <v>70.75705764488976</v>
      </c>
      <c r="AE9" s="8">
        <f>IF(IF(IF(ISERROR('Model inputs'!AE186='Model inputs'!AJ26),'Model inputs'!AE186='Model inputs'!AJ26,IF(OR('Model inputs'!AE186="",'Model inputs'!AJ26=""),"",'Model inputs'!AE186='Model inputs'!AJ26))="",FALSE,IF(ISERROR('Model inputs'!AE186='Model inputs'!AJ26),'Model inputs'!AE186='Model inputs'!AJ26,IF(OR('Model inputs'!AE186="",'Model inputs'!AJ26=""),"",'Model inputs'!AE186='Model inputs'!AJ26))),IF('Model inputs'!AJ27="","",'Model inputs'!AJ27),IF(IF(IF(ISERROR('Model inputs'!AE186&gt;'Model inputs'!AJ26),'Model inputs'!AE186&gt;'Model inputs'!AJ26,IF(OR('Model inputs'!AE186="",'Model inputs'!AJ26=""),"",'Model inputs'!AE186&gt;'Model inputs'!AJ26))="",FALSE,IF(ISERROR('Model inputs'!AE186&gt;'Model inputs'!AJ26),'Model inputs'!AE186&gt;'Model inputs'!AJ26,IF(OR('Model inputs'!AE186="",'Model inputs'!AJ26=""),"",'Model inputs'!AE186&gt;'Model inputs'!AJ26))),'Model inputs'!AD189*'Model inputs'!AJ23,0))</f>
        <v>81.37061629162321</v>
      </c>
      <c r="AF9" s="8">
        <f>IF(IF(IF(ISERROR('Model inputs'!AF186='Model inputs'!AJ26),'Model inputs'!AF186='Model inputs'!AJ26,IF(OR('Model inputs'!AF186="",'Model inputs'!AJ26=""),"",'Model inputs'!AF186='Model inputs'!AJ26))="",FALSE,IF(ISERROR('Model inputs'!AF186='Model inputs'!AJ26),'Model inputs'!AF186='Model inputs'!AJ26,IF(OR('Model inputs'!AF186="",'Model inputs'!AJ26=""),"",'Model inputs'!AF186='Model inputs'!AJ26))),IF('Model inputs'!AJ27="","",'Model inputs'!AJ27),IF(IF(IF(ISERROR('Model inputs'!AF186&gt;'Model inputs'!AJ26),'Model inputs'!AF186&gt;'Model inputs'!AJ26,IF(OR('Model inputs'!AF186="",'Model inputs'!AJ26=""),"",'Model inputs'!AF186&gt;'Model inputs'!AJ26))="",FALSE,IF(ISERROR('Model inputs'!AF186&gt;'Model inputs'!AJ26),'Model inputs'!AF186&gt;'Model inputs'!AJ26,IF(OR('Model inputs'!AF186="",'Model inputs'!AJ26=""),"",'Model inputs'!AF186&gt;'Model inputs'!AJ26))),'Model inputs'!AE189*'Model inputs'!AJ23,0))</f>
        <v>93.57620873536669</v>
      </c>
      <c r="AG9" s="8">
        <f>IF(IF(IF(ISERROR('Model inputs'!AG186='Model inputs'!AJ26),'Model inputs'!AG186='Model inputs'!AJ26,IF(OR('Model inputs'!AG186="",'Model inputs'!AJ26=""),"",'Model inputs'!AG186='Model inputs'!AJ26))="",FALSE,IF(ISERROR('Model inputs'!AG186='Model inputs'!AJ26),'Model inputs'!AG186='Model inputs'!AJ26,IF(OR('Model inputs'!AG186="",'Model inputs'!AJ26=""),"",'Model inputs'!AG186='Model inputs'!AJ26))),IF('Model inputs'!AJ27="","",'Model inputs'!AJ27),IF(IF(IF(ISERROR('Model inputs'!AG186&gt;'Model inputs'!AJ26),'Model inputs'!AG186&gt;'Model inputs'!AJ26,IF(OR('Model inputs'!AG186="",'Model inputs'!AJ26=""),"",'Model inputs'!AG186&gt;'Model inputs'!AJ26))="",FALSE,IF(ISERROR('Model inputs'!AG186&gt;'Model inputs'!AJ26),'Model inputs'!AG186&gt;'Model inputs'!AJ26,IF(OR('Model inputs'!AG186="",'Model inputs'!AJ26=""),"",'Model inputs'!AG186&gt;'Model inputs'!AJ26))),'Model inputs'!AF189*'Model inputs'!AJ23,0))</f>
        <v>107.61264004567168</v>
      </c>
      <c r="AH9" s="8">
        <f>IF(IF(IF(ISERROR('Model inputs'!AH186='Model inputs'!AJ26),'Model inputs'!AH186='Model inputs'!AJ26,IF(OR('Model inputs'!AH186="",'Model inputs'!AJ26=""),"",'Model inputs'!AH186='Model inputs'!AJ26))="",FALSE,IF(ISERROR('Model inputs'!AH186='Model inputs'!AJ26),'Model inputs'!AH186='Model inputs'!AJ26,IF(OR('Model inputs'!AH186="",'Model inputs'!AJ26=""),"",'Model inputs'!AH186='Model inputs'!AJ26))),IF('Model inputs'!AJ27="","",'Model inputs'!AJ27),IF(IF(IF(ISERROR('Model inputs'!AH186&gt;'Model inputs'!AJ26),'Model inputs'!AH186&gt;'Model inputs'!AJ26,IF(OR('Model inputs'!AH186="",'Model inputs'!AJ26=""),"",'Model inputs'!AH186&gt;'Model inputs'!AJ26))="",FALSE,IF(ISERROR('Model inputs'!AH186&gt;'Model inputs'!AJ26),'Model inputs'!AH186&gt;'Model inputs'!AJ26,IF(OR('Model inputs'!AH186="",'Model inputs'!AJ26=""),"",'Model inputs'!AH186&gt;'Model inputs'!AJ26))),'Model inputs'!AG189*'Model inputs'!AJ23,0))</f>
        <v>123.75453605252243</v>
      </c>
      <c r="AI9" s="8">
        <f>IF(IF(IF(ISERROR('Model inputs'!AI186='Model inputs'!AJ26),'Model inputs'!AI186='Model inputs'!AJ26,IF(OR('Model inputs'!AI186="",'Model inputs'!AJ26=""),"",'Model inputs'!AI186='Model inputs'!AJ26))="",FALSE,IF(ISERROR('Model inputs'!AI186='Model inputs'!AJ26),'Model inputs'!AI186='Model inputs'!AJ26,IF(OR('Model inputs'!AI186="",'Model inputs'!AJ26=""),"",'Model inputs'!AI186='Model inputs'!AJ26))),IF('Model inputs'!AJ27="","",'Model inputs'!AJ27),IF(IF(IF(ISERROR('Model inputs'!AI186&gt;'Model inputs'!AJ26),'Model inputs'!AI186&gt;'Model inputs'!AJ26,IF(OR('Model inputs'!AI186="",'Model inputs'!AJ26=""),"",'Model inputs'!AI186&gt;'Model inputs'!AJ26))="",FALSE,IF(ISERROR('Model inputs'!AI186&gt;'Model inputs'!AJ26),'Model inputs'!AI186&gt;'Model inputs'!AJ26,IF(OR('Model inputs'!AI186="",'Model inputs'!AJ26=""),"",'Model inputs'!AI186&gt;'Model inputs'!AJ26))),'Model inputs'!AH189*'Model inputs'!AJ23,0))</f>
        <v>142.31771646040076</v>
      </c>
    </row>
    <row r="10">
      <c r="A10" t="inlineStr" s="13">
        <is>
          <t xml:space="preserve">Haq CSC new operators · Growth</t>
        </is>
      </c>
      <c r="B10" s="8">
        <f>IF(IF(IF(ISERROR('Model inputs'!B187='Model inputs'!AJ82),'Model inputs'!B187='Model inputs'!AJ82,IF(OR('Model inputs'!B187="",'Model inputs'!AJ82=""),"",'Model inputs'!B187='Model inputs'!AJ82))="",FALSE,IF(ISERROR('Model inputs'!B187='Model inputs'!AJ82),'Model inputs'!B187='Model inputs'!AJ82,IF(OR('Model inputs'!B187="",'Model inputs'!AJ82=""),"",'Model inputs'!B187='Model inputs'!AJ82))),IF('Model inputs'!AJ83="","",'Model inputs'!AJ83),IF(IF(IF(ISERROR('Model inputs'!B187&gt;'Model inputs'!AJ82),'Model inputs'!B187&gt;'Model inputs'!AJ82,IF(OR('Model inputs'!B187="",'Model inputs'!AJ82=""),"",'Model inputs'!B187&gt;'Model inputs'!AJ82))="",FALSE,IF(ISERROR('Model inputs'!B187&gt;'Model inputs'!AJ82),'Model inputs'!B187&gt;'Model inputs'!AJ82,IF(OR('Model inputs'!B187="",'Model inputs'!AJ82=""),"",'Model inputs'!B187&gt;'Model inputs'!AJ82))),0*'Model inputs'!AJ79,0))</f>
        <v>0</v>
      </c>
      <c r="C10" s="8">
        <f>IF(IF(IF(ISERROR('Model inputs'!C187='Model inputs'!AJ82),'Model inputs'!C187='Model inputs'!AJ82,IF(OR('Model inputs'!C187="",'Model inputs'!AJ82=""),"",'Model inputs'!C187='Model inputs'!AJ82))="",FALSE,IF(ISERROR('Model inputs'!C187='Model inputs'!AJ82),'Model inputs'!C187='Model inputs'!AJ82,IF(OR('Model inputs'!C187="",'Model inputs'!AJ82=""),"",'Model inputs'!C187='Model inputs'!AJ82))),IF('Model inputs'!AJ83="","",'Model inputs'!AJ83),IF(IF(IF(ISERROR('Model inputs'!C187&gt;'Model inputs'!AJ82),'Model inputs'!C187&gt;'Model inputs'!AJ82,IF(OR('Model inputs'!C187="",'Model inputs'!AJ82=""),"",'Model inputs'!C187&gt;'Model inputs'!AJ82))="",FALSE,IF(ISERROR('Model inputs'!C187&gt;'Model inputs'!AJ82),'Model inputs'!C187&gt;'Model inputs'!AJ82,IF(OR('Model inputs'!C187="",'Model inputs'!AJ82=""),"",'Model inputs'!C187&gt;'Model inputs'!AJ82))),'Model inputs'!B190*'Model inputs'!AJ79,0))</f>
        <v>0</v>
      </c>
      <c r="D10" s="8">
        <f>IF(IF(IF(ISERROR('Model inputs'!D187='Model inputs'!AJ82),'Model inputs'!D187='Model inputs'!AJ82,IF(OR('Model inputs'!D187="",'Model inputs'!AJ82=""),"",'Model inputs'!D187='Model inputs'!AJ82))="",FALSE,IF(ISERROR('Model inputs'!D187='Model inputs'!AJ82),'Model inputs'!D187='Model inputs'!AJ82,IF(OR('Model inputs'!D187="",'Model inputs'!AJ82=""),"",'Model inputs'!D187='Model inputs'!AJ82))),IF('Model inputs'!AJ83="","",'Model inputs'!AJ83),IF(IF(IF(ISERROR('Model inputs'!D187&gt;'Model inputs'!AJ82),'Model inputs'!D187&gt;'Model inputs'!AJ82,IF(OR('Model inputs'!D187="",'Model inputs'!AJ82=""),"",'Model inputs'!D187&gt;'Model inputs'!AJ82))="",FALSE,IF(ISERROR('Model inputs'!D187&gt;'Model inputs'!AJ82),'Model inputs'!D187&gt;'Model inputs'!AJ82,IF(OR('Model inputs'!D187="",'Model inputs'!AJ82=""),"",'Model inputs'!D187&gt;'Model inputs'!AJ82))),'Model inputs'!C190*'Model inputs'!AJ79,0))</f>
        <v>0</v>
      </c>
      <c r="E10" s="8">
        <f>IF(IF(IF(ISERROR('Model inputs'!E187='Model inputs'!AJ82),'Model inputs'!E187='Model inputs'!AJ82,IF(OR('Model inputs'!E187="",'Model inputs'!AJ82=""),"",'Model inputs'!E187='Model inputs'!AJ82))="",FALSE,IF(ISERROR('Model inputs'!E187='Model inputs'!AJ82),'Model inputs'!E187='Model inputs'!AJ82,IF(OR('Model inputs'!E187="",'Model inputs'!AJ82=""),"",'Model inputs'!E187='Model inputs'!AJ82))),IF('Model inputs'!AJ83="","",'Model inputs'!AJ83),IF(IF(IF(ISERROR('Model inputs'!E187&gt;'Model inputs'!AJ82),'Model inputs'!E187&gt;'Model inputs'!AJ82,IF(OR('Model inputs'!E187="",'Model inputs'!AJ82=""),"",'Model inputs'!E187&gt;'Model inputs'!AJ82))="",FALSE,IF(ISERROR('Model inputs'!E187&gt;'Model inputs'!AJ82),'Model inputs'!E187&gt;'Model inputs'!AJ82,IF(OR('Model inputs'!E187="",'Model inputs'!AJ82=""),"",'Model inputs'!E187&gt;'Model inputs'!AJ82))),'Model inputs'!D190*'Model inputs'!AJ79,0))</f>
        <v>0</v>
      </c>
      <c r="F10" s="8">
        <f>IF(IF(IF(ISERROR('Model inputs'!F187='Model inputs'!AJ82),'Model inputs'!F187='Model inputs'!AJ82,IF(OR('Model inputs'!F187="",'Model inputs'!AJ82=""),"",'Model inputs'!F187='Model inputs'!AJ82))="",FALSE,IF(ISERROR('Model inputs'!F187='Model inputs'!AJ82),'Model inputs'!F187='Model inputs'!AJ82,IF(OR('Model inputs'!F187="",'Model inputs'!AJ82=""),"",'Model inputs'!F187='Model inputs'!AJ82))),IF('Model inputs'!AJ83="","",'Model inputs'!AJ83),IF(IF(IF(ISERROR('Model inputs'!F187&gt;'Model inputs'!AJ82),'Model inputs'!F187&gt;'Model inputs'!AJ82,IF(OR('Model inputs'!F187="",'Model inputs'!AJ82=""),"",'Model inputs'!F187&gt;'Model inputs'!AJ82))="",FALSE,IF(ISERROR('Model inputs'!F187&gt;'Model inputs'!AJ82),'Model inputs'!F187&gt;'Model inputs'!AJ82,IF(OR('Model inputs'!F187="",'Model inputs'!AJ82=""),"",'Model inputs'!F187&gt;'Model inputs'!AJ82))),'Model inputs'!E190*'Model inputs'!AJ79,0))</f>
        <v>0</v>
      </c>
      <c r="G10" s="8">
        <f>IF(IF(IF(ISERROR('Model inputs'!G187='Model inputs'!AJ82),'Model inputs'!G187='Model inputs'!AJ82,IF(OR('Model inputs'!G187="",'Model inputs'!AJ82=""),"",'Model inputs'!G187='Model inputs'!AJ82))="",FALSE,IF(ISERROR('Model inputs'!G187='Model inputs'!AJ82),'Model inputs'!G187='Model inputs'!AJ82,IF(OR('Model inputs'!G187="",'Model inputs'!AJ82=""),"",'Model inputs'!G187='Model inputs'!AJ82))),IF('Model inputs'!AJ83="","",'Model inputs'!AJ83),IF(IF(IF(ISERROR('Model inputs'!G187&gt;'Model inputs'!AJ82),'Model inputs'!G187&gt;'Model inputs'!AJ82,IF(OR('Model inputs'!G187="",'Model inputs'!AJ82=""),"",'Model inputs'!G187&gt;'Model inputs'!AJ82))="",FALSE,IF(ISERROR('Model inputs'!G187&gt;'Model inputs'!AJ82),'Model inputs'!G187&gt;'Model inputs'!AJ82,IF(OR('Model inputs'!G187="",'Model inputs'!AJ82=""),"",'Model inputs'!G187&gt;'Model inputs'!AJ82))),'Model inputs'!F190*'Model inputs'!AJ79,0))</f>
        <v>0</v>
      </c>
      <c r="H10" s="8">
        <f>IF(IF(IF(ISERROR('Model inputs'!H187='Model inputs'!AJ82),'Model inputs'!H187='Model inputs'!AJ82,IF(OR('Model inputs'!H187="",'Model inputs'!AJ82=""),"",'Model inputs'!H187='Model inputs'!AJ82))="",FALSE,IF(ISERROR('Model inputs'!H187='Model inputs'!AJ82),'Model inputs'!H187='Model inputs'!AJ82,IF(OR('Model inputs'!H187="",'Model inputs'!AJ82=""),"",'Model inputs'!H187='Model inputs'!AJ82))),IF('Model inputs'!AJ83="","",'Model inputs'!AJ83),IF(IF(IF(ISERROR('Model inputs'!H187&gt;'Model inputs'!AJ82),'Model inputs'!H187&gt;'Model inputs'!AJ82,IF(OR('Model inputs'!H187="",'Model inputs'!AJ82=""),"",'Model inputs'!H187&gt;'Model inputs'!AJ82))="",FALSE,IF(ISERROR('Model inputs'!H187&gt;'Model inputs'!AJ82),'Model inputs'!H187&gt;'Model inputs'!AJ82,IF(OR('Model inputs'!H187="",'Model inputs'!AJ82=""),"",'Model inputs'!H187&gt;'Model inputs'!AJ82))),'Model inputs'!G190*'Model inputs'!AJ79,0))</f>
        <v>0</v>
      </c>
      <c r="I10" s="8">
        <f>IF(IF(IF(ISERROR('Model inputs'!I187='Model inputs'!AJ82),'Model inputs'!I187='Model inputs'!AJ82,IF(OR('Model inputs'!I187="",'Model inputs'!AJ82=""),"",'Model inputs'!I187='Model inputs'!AJ82))="",FALSE,IF(ISERROR('Model inputs'!I187='Model inputs'!AJ82),'Model inputs'!I187='Model inputs'!AJ82,IF(OR('Model inputs'!I187="",'Model inputs'!AJ82=""),"",'Model inputs'!I187='Model inputs'!AJ82))),IF('Model inputs'!AJ83="","",'Model inputs'!AJ83),IF(IF(IF(ISERROR('Model inputs'!I187&gt;'Model inputs'!AJ82),'Model inputs'!I187&gt;'Model inputs'!AJ82,IF(OR('Model inputs'!I187="",'Model inputs'!AJ82=""),"",'Model inputs'!I187&gt;'Model inputs'!AJ82))="",FALSE,IF(ISERROR('Model inputs'!I187&gt;'Model inputs'!AJ82),'Model inputs'!I187&gt;'Model inputs'!AJ82,IF(OR('Model inputs'!I187="",'Model inputs'!AJ82=""),"",'Model inputs'!I187&gt;'Model inputs'!AJ82))),'Model inputs'!H190*'Model inputs'!AJ79,0))</f>
        <v>0</v>
      </c>
      <c r="J10" s="8">
        <f>IF(IF(IF(ISERROR('Model inputs'!J187='Model inputs'!AJ82),'Model inputs'!J187='Model inputs'!AJ82,IF(OR('Model inputs'!J187="",'Model inputs'!AJ82=""),"",'Model inputs'!J187='Model inputs'!AJ82))="",FALSE,IF(ISERROR('Model inputs'!J187='Model inputs'!AJ82),'Model inputs'!J187='Model inputs'!AJ82,IF(OR('Model inputs'!J187="",'Model inputs'!AJ82=""),"",'Model inputs'!J187='Model inputs'!AJ82))),IF('Model inputs'!AJ83="","",'Model inputs'!AJ83),IF(IF(IF(ISERROR('Model inputs'!J187&gt;'Model inputs'!AJ82),'Model inputs'!J187&gt;'Model inputs'!AJ82,IF(OR('Model inputs'!J187="",'Model inputs'!AJ82=""),"",'Model inputs'!J187&gt;'Model inputs'!AJ82))="",FALSE,IF(ISERROR('Model inputs'!J187&gt;'Model inputs'!AJ82),'Model inputs'!J187&gt;'Model inputs'!AJ82,IF(OR('Model inputs'!J187="",'Model inputs'!AJ82=""),"",'Model inputs'!J187&gt;'Model inputs'!AJ82))),'Model inputs'!I190*'Model inputs'!AJ79,0))</f>
        <v>0</v>
      </c>
      <c r="K10" s="8">
        <f>IF(IF(IF(ISERROR('Model inputs'!K187='Model inputs'!AJ82),'Model inputs'!K187='Model inputs'!AJ82,IF(OR('Model inputs'!K187="",'Model inputs'!AJ82=""),"",'Model inputs'!K187='Model inputs'!AJ82))="",FALSE,IF(ISERROR('Model inputs'!K187='Model inputs'!AJ82),'Model inputs'!K187='Model inputs'!AJ82,IF(OR('Model inputs'!K187="",'Model inputs'!AJ82=""),"",'Model inputs'!K187='Model inputs'!AJ82))),IF('Model inputs'!AJ83="","",'Model inputs'!AJ83),IF(IF(IF(ISERROR('Model inputs'!K187&gt;'Model inputs'!AJ82),'Model inputs'!K187&gt;'Model inputs'!AJ82,IF(OR('Model inputs'!K187="",'Model inputs'!AJ82=""),"",'Model inputs'!K187&gt;'Model inputs'!AJ82))="",FALSE,IF(ISERROR('Model inputs'!K187&gt;'Model inputs'!AJ82),'Model inputs'!K187&gt;'Model inputs'!AJ82,IF(OR('Model inputs'!K187="",'Model inputs'!AJ82=""),"",'Model inputs'!K187&gt;'Model inputs'!AJ82))),'Model inputs'!J190*'Model inputs'!AJ79,0))</f>
        <v>0</v>
      </c>
      <c r="L10" s="8">
        <f>IF(IF(IF(ISERROR('Model inputs'!L187='Model inputs'!AJ82),'Model inputs'!L187='Model inputs'!AJ82,IF(OR('Model inputs'!L187="",'Model inputs'!AJ82=""),"",'Model inputs'!L187='Model inputs'!AJ82))="",FALSE,IF(ISERROR('Model inputs'!L187='Model inputs'!AJ82),'Model inputs'!L187='Model inputs'!AJ82,IF(OR('Model inputs'!L187="",'Model inputs'!AJ82=""),"",'Model inputs'!L187='Model inputs'!AJ82))),IF('Model inputs'!AJ83="","",'Model inputs'!AJ83),IF(IF(IF(ISERROR('Model inputs'!L187&gt;'Model inputs'!AJ82),'Model inputs'!L187&gt;'Model inputs'!AJ82,IF(OR('Model inputs'!L187="",'Model inputs'!AJ82=""),"",'Model inputs'!L187&gt;'Model inputs'!AJ82))="",FALSE,IF(ISERROR('Model inputs'!L187&gt;'Model inputs'!AJ82),'Model inputs'!L187&gt;'Model inputs'!AJ82,IF(OR('Model inputs'!L187="",'Model inputs'!AJ82=""),"",'Model inputs'!L187&gt;'Model inputs'!AJ82))),'Model inputs'!K190*'Model inputs'!AJ79,0))</f>
        <v>0</v>
      </c>
      <c r="M10" s="8">
        <f>IF(IF(IF(ISERROR('Model inputs'!M187='Model inputs'!AJ82),'Model inputs'!M187='Model inputs'!AJ82,IF(OR('Model inputs'!M187="",'Model inputs'!AJ82=""),"",'Model inputs'!M187='Model inputs'!AJ82))="",FALSE,IF(ISERROR('Model inputs'!M187='Model inputs'!AJ82),'Model inputs'!M187='Model inputs'!AJ82,IF(OR('Model inputs'!M187="",'Model inputs'!AJ82=""),"",'Model inputs'!M187='Model inputs'!AJ82))),IF('Model inputs'!AJ83="","",'Model inputs'!AJ83),IF(IF(IF(ISERROR('Model inputs'!M187&gt;'Model inputs'!AJ82),'Model inputs'!M187&gt;'Model inputs'!AJ82,IF(OR('Model inputs'!M187="",'Model inputs'!AJ82=""),"",'Model inputs'!M187&gt;'Model inputs'!AJ82))="",FALSE,IF(ISERROR('Model inputs'!M187&gt;'Model inputs'!AJ82),'Model inputs'!M187&gt;'Model inputs'!AJ82,IF(OR('Model inputs'!M187="",'Model inputs'!AJ82=""),"",'Model inputs'!M187&gt;'Model inputs'!AJ82))),'Model inputs'!L190*'Model inputs'!AJ79,0))</f>
        <v>0</v>
      </c>
      <c r="N10" s="8">
        <f>IF(IF(IF(ISERROR('Model inputs'!N187='Model inputs'!AJ82),'Model inputs'!N187='Model inputs'!AJ82,IF(OR('Model inputs'!N187="",'Model inputs'!AJ82=""),"",'Model inputs'!N187='Model inputs'!AJ82))="",FALSE,IF(ISERROR('Model inputs'!N187='Model inputs'!AJ82),'Model inputs'!N187='Model inputs'!AJ82,IF(OR('Model inputs'!N187="",'Model inputs'!AJ82=""),"",'Model inputs'!N187='Model inputs'!AJ82))),IF('Model inputs'!AJ83="","",'Model inputs'!AJ83),IF(IF(IF(ISERROR('Model inputs'!N187&gt;'Model inputs'!AJ82),'Model inputs'!N187&gt;'Model inputs'!AJ82,IF(OR('Model inputs'!N187="",'Model inputs'!AJ82=""),"",'Model inputs'!N187&gt;'Model inputs'!AJ82))="",FALSE,IF(ISERROR('Model inputs'!N187&gt;'Model inputs'!AJ82),'Model inputs'!N187&gt;'Model inputs'!AJ82,IF(OR('Model inputs'!N187="",'Model inputs'!AJ82=""),"",'Model inputs'!N187&gt;'Model inputs'!AJ82))),'Model inputs'!M190*'Model inputs'!AJ79,0))</f>
        <v>0</v>
      </c>
      <c r="O10" s="8">
        <f>IF(IF(IF(ISERROR('Model inputs'!O187='Model inputs'!AJ82),'Model inputs'!O187='Model inputs'!AJ82,IF(OR('Model inputs'!O187="",'Model inputs'!AJ82=""),"",'Model inputs'!O187='Model inputs'!AJ82))="",FALSE,IF(ISERROR('Model inputs'!O187='Model inputs'!AJ82),'Model inputs'!O187='Model inputs'!AJ82,IF(OR('Model inputs'!O187="",'Model inputs'!AJ82=""),"",'Model inputs'!O187='Model inputs'!AJ82))),IF('Model inputs'!AJ83="","",'Model inputs'!AJ83),IF(IF(IF(ISERROR('Model inputs'!O187&gt;'Model inputs'!AJ82),'Model inputs'!O187&gt;'Model inputs'!AJ82,IF(OR('Model inputs'!O187="",'Model inputs'!AJ82=""),"",'Model inputs'!O187&gt;'Model inputs'!AJ82))="",FALSE,IF(ISERROR('Model inputs'!O187&gt;'Model inputs'!AJ82),'Model inputs'!O187&gt;'Model inputs'!AJ82,IF(OR('Model inputs'!O187="",'Model inputs'!AJ82=""),"",'Model inputs'!O187&gt;'Model inputs'!AJ82))),'Model inputs'!N190*'Model inputs'!AJ79,0))</f>
        <v>50</v>
      </c>
      <c r="P10" s="8">
        <f>IF(IF(IF(ISERROR('Model inputs'!P187='Model inputs'!AJ82),'Model inputs'!P187='Model inputs'!AJ82,IF(OR('Model inputs'!P187="",'Model inputs'!AJ82=""),"",'Model inputs'!P187='Model inputs'!AJ82))="",FALSE,IF(ISERROR('Model inputs'!P187='Model inputs'!AJ82),'Model inputs'!P187='Model inputs'!AJ82,IF(OR('Model inputs'!P187="",'Model inputs'!AJ82=""),"",'Model inputs'!P187='Model inputs'!AJ82))),IF('Model inputs'!AJ83="","",'Model inputs'!AJ83),IF(IF(IF(ISERROR('Model inputs'!P187&gt;'Model inputs'!AJ82),'Model inputs'!P187&gt;'Model inputs'!AJ82,IF(OR('Model inputs'!P187="",'Model inputs'!AJ82=""),"",'Model inputs'!P187&gt;'Model inputs'!AJ82))="",FALSE,IF(ISERROR('Model inputs'!P187&gt;'Model inputs'!AJ82),'Model inputs'!P187&gt;'Model inputs'!AJ82,IF(OR('Model inputs'!P187="",'Model inputs'!AJ82=""),"",'Model inputs'!P187&gt;'Model inputs'!AJ82))),'Model inputs'!O190*'Model inputs'!AJ79,0))</f>
        <v>15</v>
      </c>
      <c r="Q10" s="8">
        <f>IF(IF(IF(ISERROR('Model inputs'!Q187='Model inputs'!AJ82),'Model inputs'!Q187='Model inputs'!AJ82,IF(OR('Model inputs'!Q187="",'Model inputs'!AJ82=""),"",'Model inputs'!Q187='Model inputs'!AJ82))="",FALSE,IF(ISERROR('Model inputs'!Q187='Model inputs'!AJ82),'Model inputs'!Q187='Model inputs'!AJ82,IF(OR('Model inputs'!Q187="",'Model inputs'!AJ82=""),"",'Model inputs'!Q187='Model inputs'!AJ82))),IF('Model inputs'!AJ83="","",'Model inputs'!AJ83),IF(IF(IF(ISERROR('Model inputs'!Q187&gt;'Model inputs'!AJ82),'Model inputs'!Q187&gt;'Model inputs'!AJ82,IF(OR('Model inputs'!Q187="",'Model inputs'!AJ82=""),"",'Model inputs'!Q187&gt;'Model inputs'!AJ82))="",FALSE,IF(ISERROR('Model inputs'!Q187&gt;'Model inputs'!AJ82),'Model inputs'!Q187&gt;'Model inputs'!AJ82,IF(OR('Model inputs'!Q187="",'Model inputs'!AJ82=""),"",'Model inputs'!Q187&gt;'Model inputs'!AJ82))),'Model inputs'!P190*'Model inputs'!AJ79,0))</f>
        <v>19.05</v>
      </c>
      <c r="R10" s="8">
        <f>IF(IF(IF(ISERROR('Model inputs'!R187='Model inputs'!AJ82),'Model inputs'!R187='Model inputs'!AJ82,IF(OR('Model inputs'!R187="",'Model inputs'!AJ82=""),"",'Model inputs'!R187='Model inputs'!AJ82))="",FALSE,IF(ISERROR('Model inputs'!R187='Model inputs'!AJ82),'Model inputs'!R187='Model inputs'!AJ82,IF(OR('Model inputs'!R187="",'Model inputs'!AJ82=""),"",'Model inputs'!R187='Model inputs'!AJ82))),IF('Model inputs'!AJ83="","",'Model inputs'!AJ83),IF(IF(IF(ISERROR('Model inputs'!R187&gt;'Model inputs'!AJ82),'Model inputs'!R187&gt;'Model inputs'!AJ82,IF(OR('Model inputs'!R187="",'Model inputs'!AJ82=""),"",'Model inputs'!R187&gt;'Model inputs'!AJ82))="",FALSE,IF(ISERROR('Model inputs'!R187&gt;'Model inputs'!AJ82),'Model inputs'!R187&gt;'Model inputs'!AJ82,IF(OR('Model inputs'!R187="",'Model inputs'!AJ82=""),"",'Model inputs'!R187&gt;'Model inputs'!AJ82))),'Model inputs'!Q190*'Model inputs'!AJ79,0))</f>
        <v>24.193499999999997</v>
      </c>
      <c r="S10" s="8">
        <f>IF(IF(IF(ISERROR('Model inputs'!S187='Model inputs'!AJ82),'Model inputs'!S187='Model inputs'!AJ82,IF(OR('Model inputs'!S187="",'Model inputs'!AJ82=""),"",'Model inputs'!S187='Model inputs'!AJ82))="",FALSE,IF(ISERROR('Model inputs'!S187='Model inputs'!AJ82),'Model inputs'!S187='Model inputs'!AJ82,IF(OR('Model inputs'!S187="",'Model inputs'!AJ82=""),"",'Model inputs'!S187='Model inputs'!AJ82))),IF('Model inputs'!AJ83="","",'Model inputs'!AJ83),IF(IF(IF(ISERROR('Model inputs'!S187&gt;'Model inputs'!AJ82),'Model inputs'!S187&gt;'Model inputs'!AJ82,IF(OR('Model inputs'!S187="",'Model inputs'!AJ82=""),"",'Model inputs'!S187&gt;'Model inputs'!AJ82))="",FALSE,IF(ISERROR('Model inputs'!S187&gt;'Model inputs'!AJ82),'Model inputs'!S187&gt;'Model inputs'!AJ82,IF(OR('Model inputs'!S187="",'Model inputs'!AJ82=""),"",'Model inputs'!S187&gt;'Model inputs'!AJ82))),'Model inputs'!R190*'Model inputs'!AJ79,0))</f>
        <v>30.725745</v>
      </c>
      <c r="T10" s="8">
        <f>IF(IF(IF(ISERROR('Model inputs'!T187='Model inputs'!AJ82),'Model inputs'!T187='Model inputs'!AJ82,IF(OR('Model inputs'!T187="",'Model inputs'!AJ82=""),"",'Model inputs'!T187='Model inputs'!AJ82))="",FALSE,IF(ISERROR('Model inputs'!T187='Model inputs'!AJ82),'Model inputs'!T187='Model inputs'!AJ82,IF(OR('Model inputs'!T187="",'Model inputs'!AJ82=""),"",'Model inputs'!T187='Model inputs'!AJ82))),IF('Model inputs'!AJ83="","",'Model inputs'!AJ83),IF(IF(IF(ISERROR('Model inputs'!T187&gt;'Model inputs'!AJ82),'Model inputs'!T187&gt;'Model inputs'!AJ82,IF(OR('Model inputs'!T187="",'Model inputs'!AJ82=""),"",'Model inputs'!T187&gt;'Model inputs'!AJ82))="",FALSE,IF(ISERROR('Model inputs'!T187&gt;'Model inputs'!AJ82),'Model inputs'!T187&gt;'Model inputs'!AJ82,IF(OR('Model inputs'!T187="",'Model inputs'!AJ82=""),"",'Model inputs'!T187&gt;'Model inputs'!AJ82))),'Model inputs'!S190*'Model inputs'!AJ79,0))</f>
        <v>39.021696150000004</v>
      </c>
      <c r="U10" s="8">
        <f>IF(IF(IF(ISERROR('Model inputs'!U187='Model inputs'!AJ82),'Model inputs'!U187='Model inputs'!AJ82,IF(OR('Model inputs'!U187="",'Model inputs'!AJ82=""),"",'Model inputs'!U187='Model inputs'!AJ82))="",FALSE,IF(ISERROR('Model inputs'!U187='Model inputs'!AJ82),'Model inputs'!U187='Model inputs'!AJ82,IF(OR('Model inputs'!U187="",'Model inputs'!AJ82=""),"",'Model inputs'!U187='Model inputs'!AJ82))),IF('Model inputs'!AJ83="","",'Model inputs'!AJ83),IF(IF(IF(ISERROR('Model inputs'!U187&gt;'Model inputs'!AJ82),'Model inputs'!U187&gt;'Model inputs'!AJ82,IF(OR('Model inputs'!U187="",'Model inputs'!AJ82=""),"",'Model inputs'!U187&gt;'Model inputs'!AJ82))="",FALSE,IF(ISERROR('Model inputs'!U187&gt;'Model inputs'!AJ82),'Model inputs'!U187&gt;'Model inputs'!AJ82,IF(OR('Model inputs'!U187="",'Model inputs'!AJ82=""),"",'Model inputs'!U187&gt;'Model inputs'!AJ82))),'Model inputs'!T190*'Model inputs'!AJ79,0))</f>
        <v>49.55755411050001</v>
      </c>
      <c r="V10" s="8">
        <f>IF(IF(IF(ISERROR('Model inputs'!V187='Model inputs'!AJ82),'Model inputs'!V187='Model inputs'!AJ82,IF(OR('Model inputs'!V187="",'Model inputs'!AJ82=""),"",'Model inputs'!V187='Model inputs'!AJ82))="",FALSE,IF(ISERROR('Model inputs'!V187='Model inputs'!AJ82),'Model inputs'!V187='Model inputs'!AJ82,IF(OR('Model inputs'!V187="",'Model inputs'!AJ82=""),"",'Model inputs'!V187='Model inputs'!AJ82))),IF('Model inputs'!AJ83="","",'Model inputs'!AJ83),IF(IF(IF(ISERROR('Model inputs'!V187&gt;'Model inputs'!AJ82),'Model inputs'!V187&gt;'Model inputs'!AJ82,IF(OR('Model inputs'!V187="",'Model inputs'!AJ82=""),"",'Model inputs'!V187&gt;'Model inputs'!AJ82))="",FALSE,IF(ISERROR('Model inputs'!V187&gt;'Model inputs'!AJ82),'Model inputs'!V187&gt;'Model inputs'!AJ82,IF(OR('Model inputs'!V187="",'Model inputs'!AJ82=""),"",'Model inputs'!V187&gt;'Model inputs'!AJ82))),'Model inputs'!U190*'Model inputs'!AJ79,0))</f>
        <v>62.938093720335004</v>
      </c>
      <c r="W10" s="8">
        <f>IF(IF(IF(ISERROR('Model inputs'!W187='Model inputs'!AJ82),'Model inputs'!W187='Model inputs'!AJ82,IF(OR('Model inputs'!W187="",'Model inputs'!AJ82=""),"",'Model inputs'!W187='Model inputs'!AJ82))="",FALSE,IF(ISERROR('Model inputs'!W187='Model inputs'!AJ82),'Model inputs'!W187='Model inputs'!AJ82,IF(OR('Model inputs'!W187="",'Model inputs'!AJ82=""),"",'Model inputs'!W187='Model inputs'!AJ82))),IF('Model inputs'!AJ83="","",'Model inputs'!AJ83),IF(IF(IF(ISERROR('Model inputs'!W187&gt;'Model inputs'!AJ82),'Model inputs'!W187&gt;'Model inputs'!AJ82,IF(OR('Model inputs'!W187="",'Model inputs'!AJ82=""),"",'Model inputs'!W187&gt;'Model inputs'!AJ82))="",FALSE,IF(ISERROR('Model inputs'!W187&gt;'Model inputs'!AJ82),'Model inputs'!W187&gt;'Model inputs'!AJ82,IF(OR('Model inputs'!W187="",'Model inputs'!AJ82=""),"",'Model inputs'!W187&gt;'Model inputs'!AJ82))),'Model inputs'!V190*'Model inputs'!AJ79,0))</f>
        <v>79.93137902482545</v>
      </c>
      <c r="X10" s="8">
        <f>IF(IF(IF(ISERROR('Model inputs'!X187='Model inputs'!AJ82),'Model inputs'!X187='Model inputs'!AJ82,IF(OR('Model inputs'!X187="",'Model inputs'!AJ82=""),"",'Model inputs'!X187='Model inputs'!AJ82))="",FALSE,IF(ISERROR('Model inputs'!X187='Model inputs'!AJ82),'Model inputs'!X187='Model inputs'!AJ82,IF(OR('Model inputs'!X187="",'Model inputs'!AJ82=""),"",'Model inputs'!X187='Model inputs'!AJ82))),IF('Model inputs'!AJ83="","",'Model inputs'!AJ83),IF(IF(IF(ISERROR('Model inputs'!X187&gt;'Model inputs'!AJ82),'Model inputs'!X187&gt;'Model inputs'!AJ82,IF(OR('Model inputs'!X187="",'Model inputs'!AJ82=""),"",'Model inputs'!X187&gt;'Model inputs'!AJ82))="",FALSE,IF(ISERROR('Model inputs'!X187&gt;'Model inputs'!AJ82),'Model inputs'!X187&gt;'Model inputs'!AJ82,IF(OR('Model inputs'!X187="",'Model inputs'!AJ82=""),"",'Model inputs'!X187&gt;'Model inputs'!AJ82))),'Model inputs'!W190*'Model inputs'!AJ79,0))</f>
        <v>101.51285136152832</v>
      </c>
      <c r="Y10" s="8">
        <f>IF(IF(IF(ISERROR('Model inputs'!Y187='Model inputs'!AJ82),'Model inputs'!Y187='Model inputs'!AJ82,IF(OR('Model inputs'!Y187="",'Model inputs'!AJ82=""),"",'Model inputs'!Y187='Model inputs'!AJ82))="",FALSE,IF(ISERROR('Model inputs'!Y187='Model inputs'!AJ82),'Model inputs'!Y187='Model inputs'!AJ82,IF(OR('Model inputs'!Y187="",'Model inputs'!AJ82=""),"",'Model inputs'!Y187='Model inputs'!AJ82))),IF('Model inputs'!AJ83="","",'Model inputs'!AJ83),IF(IF(IF(ISERROR('Model inputs'!Y187&gt;'Model inputs'!AJ82),'Model inputs'!Y187&gt;'Model inputs'!AJ82,IF(OR('Model inputs'!Y187="",'Model inputs'!AJ82=""),"",'Model inputs'!Y187&gt;'Model inputs'!AJ82))="",FALSE,IF(ISERROR('Model inputs'!Y187&gt;'Model inputs'!AJ82),'Model inputs'!Y187&gt;'Model inputs'!AJ82,IF(OR('Model inputs'!Y187="",'Model inputs'!AJ82=""),"",'Model inputs'!Y187&gt;'Model inputs'!AJ82))),'Model inputs'!X190*'Model inputs'!AJ79,0))</f>
        <v>128.92132122914097</v>
      </c>
      <c r="Z10" s="8">
        <f>IF(IF(IF(ISERROR('Model inputs'!Z187='Model inputs'!AJ82),'Model inputs'!Z187='Model inputs'!AJ82,IF(OR('Model inputs'!Z187="",'Model inputs'!AJ82=""),"",'Model inputs'!Z187='Model inputs'!AJ82))="",FALSE,IF(ISERROR('Model inputs'!Z187='Model inputs'!AJ82),'Model inputs'!Z187='Model inputs'!AJ82,IF(OR('Model inputs'!Z187="",'Model inputs'!AJ82=""),"",'Model inputs'!Z187='Model inputs'!AJ82))),IF('Model inputs'!AJ83="","",'Model inputs'!AJ83),IF(IF(IF(ISERROR('Model inputs'!Z187&gt;'Model inputs'!AJ82),'Model inputs'!Z187&gt;'Model inputs'!AJ82,IF(OR('Model inputs'!Z187="",'Model inputs'!AJ82=""),"",'Model inputs'!Z187&gt;'Model inputs'!AJ82))="",FALSE,IF(ISERROR('Model inputs'!Z187&gt;'Model inputs'!AJ82),'Model inputs'!Z187&gt;'Model inputs'!AJ82,IF(OR('Model inputs'!Z187="",'Model inputs'!AJ82=""),"",'Model inputs'!Z187&gt;'Model inputs'!AJ82))),'Model inputs'!Y190*'Model inputs'!AJ79,0))</f>
        <v>163.73007796100904</v>
      </c>
      <c r="AA10" s="8">
        <f>IF(IF(IF(ISERROR('Model inputs'!AA187='Model inputs'!AJ82),'Model inputs'!AA187='Model inputs'!AJ82,IF(OR('Model inputs'!AA187="",'Model inputs'!AJ82=""),"",'Model inputs'!AA187='Model inputs'!AJ82))="",FALSE,IF(ISERROR('Model inputs'!AA187='Model inputs'!AJ82),'Model inputs'!AA187='Model inputs'!AJ82,IF(OR('Model inputs'!AA187="",'Model inputs'!AJ82=""),"",'Model inputs'!AA187='Model inputs'!AJ82))),IF('Model inputs'!AJ83="","",'Model inputs'!AJ83),IF(IF(IF(ISERROR('Model inputs'!AA187&gt;'Model inputs'!AJ82),'Model inputs'!AA187&gt;'Model inputs'!AJ82,IF(OR('Model inputs'!AA187="",'Model inputs'!AJ82=""),"",'Model inputs'!AA187&gt;'Model inputs'!AJ82))="",FALSE,IF(ISERROR('Model inputs'!AA187&gt;'Model inputs'!AJ82),'Model inputs'!AA187&gt;'Model inputs'!AJ82,IF(OR('Model inputs'!AA187="",'Model inputs'!AJ82=""),"",'Model inputs'!AA187&gt;'Model inputs'!AJ82))),'Model inputs'!Z190*'Model inputs'!AJ79,0))</f>
        <v>207.93719901048146</v>
      </c>
      <c r="AB10" s="8">
        <f>IF(IF(IF(ISERROR('Model inputs'!AB187='Model inputs'!AJ82),'Model inputs'!AB187='Model inputs'!AJ82,IF(OR('Model inputs'!AB187="",'Model inputs'!AJ82=""),"",'Model inputs'!AB187='Model inputs'!AJ82))="",FALSE,IF(ISERROR('Model inputs'!AB187='Model inputs'!AJ82),'Model inputs'!AB187='Model inputs'!AJ82,IF(OR('Model inputs'!AB187="",'Model inputs'!AJ82=""),"",'Model inputs'!AB187='Model inputs'!AJ82))),IF('Model inputs'!AJ83="","",'Model inputs'!AJ83),IF(IF(IF(ISERROR('Model inputs'!AB187&gt;'Model inputs'!AJ82),'Model inputs'!AB187&gt;'Model inputs'!AJ82,IF(OR('Model inputs'!AB187="",'Model inputs'!AJ82=""),"",'Model inputs'!AB187&gt;'Model inputs'!AJ82))="",FALSE,IF(ISERROR('Model inputs'!AB187&gt;'Model inputs'!AJ82),'Model inputs'!AB187&gt;'Model inputs'!AJ82,IF(OR('Model inputs'!AB187="",'Model inputs'!AJ82=""),"",'Model inputs'!AB187&gt;'Model inputs'!AJ82))),'Model inputs'!AA190*'Model inputs'!AJ79,0))</f>
        <v>264.0802427433115</v>
      </c>
      <c r="AC10" s="8">
        <f>IF(IF(IF(ISERROR('Model inputs'!AC187='Model inputs'!AJ82),'Model inputs'!AC187='Model inputs'!AJ82,IF(OR('Model inputs'!AC187="",'Model inputs'!AJ82=""),"",'Model inputs'!AC187='Model inputs'!AJ82))="",FALSE,IF(ISERROR('Model inputs'!AC187='Model inputs'!AJ82),'Model inputs'!AC187='Model inputs'!AJ82,IF(OR('Model inputs'!AC187="",'Model inputs'!AJ82=""),"",'Model inputs'!AC187='Model inputs'!AJ82))),IF('Model inputs'!AJ83="","",'Model inputs'!AJ83),IF(IF(IF(ISERROR('Model inputs'!AC187&gt;'Model inputs'!AJ82),'Model inputs'!AC187&gt;'Model inputs'!AJ82,IF(OR('Model inputs'!AC187="",'Model inputs'!AJ82=""),"",'Model inputs'!AC187&gt;'Model inputs'!AJ82))="",FALSE,IF(ISERROR('Model inputs'!AC187&gt;'Model inputs'!AJ82),'Model inputs'!AC187&gt;'Model inputs'!AJ82,IF(OR('Model inputs'!AC187="",'Model inputs'!AJ82=""),"",'Model inputs'!AC187&gt;'Model inputs'!AJ82))),'Model inputs'!AB190*'Model inputs'!AJ79,0))</f>
        <v>335.38190828400553</v>
      </c>
      <c r="AD10" s="8">
        <f>IF(IF(IF(ISERROR('Model inputs'!AD187='Model inputs'!AJ82),'Model inputs'!AD187='Model inputs'!AJ82,IF(OR('Model inputs'!AD187="",'Model inputs'!AJ82=""),"",'Model inputs'!AD187='Model inputs'!AJ82))="",FALSE,IF(ISERROR('Model inputs'!AD187='Model inputs'!AJ82),'Model inputs'!AD187='Model inputs'!AJ82,IF(OR('Model inputs'!AD187="",'Model inputs'!AJ82=""),"",'Model inputs'!AD187='Model inputs'!AJ82))),IF('Model inputs'!AJ83="","",'Model inputs'!AJ83),IF(IF(IF(ISERROR('Model inputs'!AD187&gt;'Model inputs'!AJ82),'Model inputs'!AD187&gt;'Model inputs'!AJ82,IF(OR('Model inputs'!AD187="",'Model inputs'!AJ82=""),"",'Model inputs'!AD187&gt;'Model inputs'!AJ82))="",FALSE,IF(ISERROR('Model inputs'!AD187&gt;'Model inputs'!AJ82),'Model inputs'!AD187&gt;'Model inputs'!AJ82,IF(OR('Model inputs'!AD187="",'Model inputs'!AJ82=""),"",'Model inputs'!AD187&gt;'Model inputs'!AJ82))),'Model inputs'!AC190*'Model inputs'!AJ79,0))</f>
        <v>425.935023520687</v>
      </c>
      <c r="AE10" s="8">
        <f>IF(IF(IF(ISERROR('Model inputs'!AE187='Model inputs'!AJ82),'Model inputs'!AE187='Model inputs'!AJ82,IF(OR('Model inputs'!AE187="",'Model inputs'!AJ82=""),"",'Model inputs'!AE187='Model inputs'!AJ82))="",FALSE,IF(ISERROR('Model inputs'!AE187='Model inputs'!AJ82),'Model inputs'!AE187='Model inputs'!AJ82,IF(OR('Model inputs'!AE187="",'Model inputs'!AJ82=""),"",'Model inputs'!AE187='Model inputs'!AJ82))),IF('Model inputs'!AJ83="","",'Model inputs'!AJ83),IF(IF(IF(ISERROR('Model inputs'!AE187&gt;'Model inputs'!AJ82),'Model inputs'!AE187&gt;'Model inputs'!AJ82,IF(OR('Model inputs'!AE187="",'Model inputs'!AJ82=""),"",'Model inputs'!AE187&gt;'Model inputs'!AJ82))="",FALSE,IF(ISERROR('Model inputs'!AE187&gt;'Model inputs'!AJ82),'Model inputs'!AE187&gt;'Model inputs'!AJ82,IF(OR('Model inputs'!AE187="",'Model inputs'!AJ82=""),"",'Model inputs'!AE187&gt;'Model inputs'!AJ82))),'Model inputs'!AD190*'Model inputs'!AJ79,0))</f>
        <v>540.9374798712726</v>
      </c>
      <c r="AF10" s="8">
        <f>IF(IF(IF(ISERROR('Model inputs'!AF187='Model inputs'!AJ82),'Model inputs'!AF187='Model inputs'!AJ82,IF(OR('Model inputs'!AF187="",'Model inputs'!AJ82=""),"",'Model inputs'!AF187='Model inputs'!AJ82))="",FALSE,IF(ISERROR('Model inputs'!AF187='Model inputs'!AJ82),'Model inputs'!AF187='Model inputs'!AJ82,IF(OR('Model inputs'!AF187="",'Model inputs'!AJ82=""),"",'Model inputs'!AF187='Model inputs'!AJ82))),IF('Model inputs'!AJ83="","",'Model inputs'!AJ83),IF(IF(IF(ISERROR('Model inputs'!AF187&gt;'Model inputs'!AJ82),'Model inputs'!AF187&gt;'Model inputs'!AJ82,IF(OR('Model inputs'!AF187="",'Model inputs'!AJ82=""),"",'Model inputs'!AF187&gt;'Model inputs'!AJ82))="",FALSE,IF(ISERROR('Model inputs'!AF187&gt;'Model inputs'!AJ82),'Model inputs'!AF187&gt;'Model inputs'!AJ82,IF(OR('Model inputs'!AF187="",'Model inputs'!AJ82=""),"",'Model inputs'!AF187&gt;'Model inputs'!AJ82))),'Model inputs'!AE190*'Model inputs'!AJ79,0))</f>
        <v>686.9905994365162</v>
      </c>
      <c r="AG10" s="8">
        <f>IF(IF(IF(ISERROR('Model inputs'!AG187='Model inputs'!AJ82),'Model inputs'!AG187='Model inputs'!AJ82,IF(OR('Model inputs'!AG187="",'Model inputs'!AJ82=""),"",'Model inputs'!AG187='Model inputs'!AJ82))="",FALSE,IF(ISERROR('Model inputs'!AG187='Model inputs'!AJ82),'Model inputs'!AG187='Model inputs'!AJ82,IF(OR('Model inputs'!AG187="",'Model inputs'!AJ82=""),"",'Model inputs'!AG187='Model inputs'!AJ82))),IF('Model inputs'!AJ83="","",'Model inputs'!AJ83),IF(IF(IF(ISERROR('Model inputs'!AG187&gt;'Model inputs'!AJ82),'Model inputs'!AG187&gt;'Model inputs'!AJ82,IF(OR('Model inputs'!AG187="",'Model inputs'!AJ82=""),"",'Model inputs'!AG187&gt;'Model inputs'!AJ82))="",FALSE,IF(ISERROR('Model inputs'!AG187&gt;'Model inputs'!AJ82),'Model inputs'!AG187&gt;'Model inputs'!AJ82,IF(OR('Model inputs'!AG187="",'Model inputs'!AJ82=""),"",'Model inputs'!AG187&gt;'Model inputs'!AJ82))),'Model inputs'!AF190*'Model inputs'!AJ79,0))</f>
        <v>872.4780612843755</v>
      </c>
      <c r="AH10" s="8">
        <f>IF(IF(IF(ISERROR('Model inputs'!AH187='Model inputs'!AJ82),'Model inputs'!AH187='Model inputs'!AJ82,IF(OR('Model inputs'!AH187="",'Model inputs'!AJ82=""),"",'Model inputs'!AH187='Model inputs'!AJ82))="",FALSE,IF(ISERROR('Model inputs'!AH187='Model inputs'!AJ82),'Model inputs'!AH187='Model inputs'!AJ82,IF(OR('Model inputs'!AH187="",'Model inputs'!AJ82=""),"",'Model inputs'!AH187='Model inputs'!AJ82))),IF('Model inputs'!AJ83="","",'Model inputs'!AJ83),IF(IF(IF(ISERROR('Model inputs'!AH187&gt;'Model inputs'!AJ82),'Model inputs'!AH187&gt;'Model inputs'!AJ82,IF(OR('Model inputs'!AH187="",'Model inputs'!AJ82=""),"",'Model inputs'!AH187&gt;'Model inputs'!AJ82))="",FALSE,IF(ISERROR('Model inputs'!AH187&gt;'Model inputs'!AJ82),'Model inputs'!AH187&gt;'Model inputs'!AJ82,IF(OR('Model inputs'!AH187="",'Model inputs'!AJ82=""),"",'Model inputs'!AH187&gt;'Model inputs'!AJ82))),'Model inputs'!AG190*'Model inputs'!AJ79,0))</f>
        <v>1108.047137831157</v>
      </c>
      <c r="AI10" s="8">
        <f>IF(IF(IF(ISERROR('Model inputs'!AI187='Model inputs'!AJ82),'Model inputs'!AI187='Model inputs'!AJ82,IF(OR('Model inputs'!AI187="",'Model inputs'!AJ82=""),"",'Model inputs'!AI187='Model inputs'!AJ82))="",FALSE,IF(ISERROR('Model inputs'!AI187='Model inputs'!AJ82),'Model inputs'!AI187='Model inputs'!AJ82,IF(OR('Model inputs'!AI187="",'Model inputs'!AJ82=""),"",'Model inputs'!AI187='Model inputs'!AJ82))),IF('Model inputs'!AJ83="","",'Model inputs'!AJ83),IF(IF(IF(ISERROR('Model inputs'!AI187&gt;'Model inputs'!AJ82),'Model inputs'!AI187&gt;'Model inputs'!AJ82,IF(OR('Model inputs'!AI187="",'Model inputs'!AJ82=""),"",'Model inputs'!AI187&gt;'Model inputs'!AJ82))="",FALSE,IF(ISERROR('Model inputs'!AI187&gt;'Model inputs'!AJ82),'Model inputs'!AI187&gt;'Model inputs'!AJ82,IF(OR('Model inputs'!AI187="",'Model inputs'!AJ82=""),"",'Model inputs'!AI187&gt;'Model inputs'!AJ82))),'Model inputs'!AH190*'Model inputs'!AJ79,0))</f>
        <v>1407.2198650455693</v>
      </c>
    </row>
    <row r="11">
      <c r="A11" t="inlineStr" s="13">
        <is>
          <t xml:space="preserve">Haq CSC new operators · Conservative</t>
        </is>
      </c>
      <c r="B11" s="8">
        <f>IF(IF(IF(ISERROR('Model inputs'!B188='Model inputs'!AJ138),'Model inputs'!B188='Model inputs'!AJ138,IF(OR('Model inputs'!B188="",'Model inputs'!AJ138=""),"",'Model inputs'!B188='Model inputs'!AJ138))="",FALSE,IF(ISERROR('Model inputs'!B188='Model inputs'!AJ138),'Model inputs'!B188='Model inputs'!AJ138,IF(OR('Model inputs'!B188="",'Model inputs'!AJ138=""),"",'Model inputs'!B188='Model inputs'!AJ138))),IF('Model inputs'!AJ139="","",'Model inputs'!AJ139),IF(IF(IF(ISERROR('Model inputs'!B188&gt;'Model inputs'!AJ138),'Model inputs'!B188&gt;'Model inputs'!AJ138,IF(OR('Model inputs'!B188="",'Model inputs'!AJ138=""),"",'Model inputs'!B188&gt;'Model inputs'!AJ138))="",FALSE,IF(ISERROR('Model inputs'!B188&gt;'Model inputs'!AJ138),'Model inputs'!B188&gt;'Model inputs'!AJ138,IF(OR('Model inputs'!B188="",'Model inputs'!AJ138=""),"",'Model inputs'!B188&gt;'Model inputs'!AJ138))),0*'Model inputs'!AJ135,0))</f>
        <v>0</v>
      </c>
      <c r="C11" s="8">
        <f>IF(IF(IF(ISERROR('Model inputs'!C188='Model inputs'!AJ138),'Model inputs'!C188='Model inputs'!AJ138,IF(OR('Model inputs'!C188="",'Model inputs'!AJ138=""),"",'Model inputs'!C188='Model inputs'!AJ138))="",FALSE,IF(ISERROR('Model inputs'!C188='Model inputs'!AJ138),'Model inputs'!C188='Model inputs'!AJ138,IF(OR('Model inputs'!C188="",'Model inputs'!AJ138=""),"",'Model inputs'!C188='Model inputs'!AJ138))),IF('Model inputs'!AJ139="","",'Model inputs'!AJ139),IF(IF(IF(ISERROR('Model inputs'!C188&gt;'Model inputs'!AJ138),'Model inputs'!C188&gt;'Model inputs'!AJ138,IF(OR('Model inputs'!C188="",'Model inputs'!AJ138=""),"",'Model inputs'!C188&gt;'Model inputs'!AJ138))="",FALSE,IF(ISERROR('Model inputs'!C188&gt;'Model inputs'!AJ138),'Model inputs'!C188&gt;'Model inputs'!AJ138,IF(OR('Model inputs'!C188="",'Model inputs'!AJ138=""),"",'Model inputs'!C188&gt;'Model inputs'!AJ138))),'Model inputs'!B191*'Model inputs'!AJ135,0))</f>
        <v>0</v>
      </c>
      <c r="D11" s="8">
        <f>IF(IF(IF(ISERROR('Model inputs'!D188='Model inputs'!AJ138),'Model inputs'!D188='Model inputs'!AJ138,IF(OR('Model inputs'!D188="",'Model inputs'!AJ138=""),"",'Model inputs'!D188='Model inputs'!AJ138))="",FALSE,IF(ISERROR('Model inputs'!D188='Model inputs'!AJ138),'Model inputs'!D188='Model inputs'!AJ138,IF(OR('Model inputs'!D188="",'Model inputs'!AJ138=""),"",'Model inputs'!D188='Model inputs'!AJ138))),IF('Model inputs'!AJ139="","",'Model inputs'!AJ139),IF(IF(IF(ISERROR('Model inputs'!D188&gt;'Model inputs'!AJ138),'Model inputs'!D188&gt;'Model inputs'!AJ138,IF(OR('Model inputs'!D188="",'Model inputs'!AJ138=""),"",'Model inputs'!D188&gt;'Model inputs'!AJ138))="",FALSE,IF(ISERROR('Model inputs'!D188&gt;'Model inputs'!AJ138),'Model inputs'!D188&gt;'Model inputs'!AJ138,IF(OR('Model inputs'!D188="",'Model inputs'!AJ138=""),"",'Model inputs'!D188&gt;'Model inputs'!AJ138))),'Model inputs'!C191*'Model inputs'!AJ135,0))</f>
        <v>0</v>
      </c>
      <c r="E11" s="8">
        <f>IF(IF(IF(ISERROR('Model inputs'!E188='Model inputs'!AJ138),'Model inputs'!E188='Model inputs'!AJ138,IF(OR('Model inputs'!E188="",'Model inputs'!AJ138=""),"",'Model inputs'!E188='Model inputs'!AJ138))="",FALSE,IF(ISERROR('Model inputs'!E188='Model inputs'!AJ138),'Model inputs'!E188='Model inputs'!AJ138,IF(OR('Model inputs'!E188="",'Model inputs'!AJ138=""),"",'Model inputs'!E188='Model inputs'!AJ138))),IF('Model inputs'!AJ139="","",'Model inputs'!AJ139),IF(IF(IF(ISERROR('Model inputs'!E188&gt;'Model inputs'!AJ138),'Model inputs'!E188&gt;'Model inputs'!AJ138,IF(OR('Model inputs'!E188="",'Model inputs'!AJ138=""),"",'Model inputs'!E188&gt;'Model inputs'!AJ138))="",FALSE,IF(ISERROR('Model inputs'!E188&gt;'Model inputs'!AJ138),'Model inputs'!E188&gt;'Model inputs'!AJ138,IF(OR('Model inputs'!E188="",'Model inputs'!AJ138=""),"",'Model inputs'!E188&gt;'Model inputs'!AJ138))),'Model inputs'!D191*'Model inputs'!AJ135,0))</f>
        <v>0</v>
      </c>
      <c r="F11" s="8">
        <f>IF(IF(IF(ISERROR('Model inputs'!F188='Model inputs'!AJ138),'Model inputs'!F188='Model inputs'!AJ138,IF(OR('Model inputs'!F188="",'Model inputs'!AJ138=""),"",'Model inputs'!F188='Model inputs'!AJ138))="",FALSE,IF(ISERROR('Model inputs'!F188='Model inputs'!AJ138),'Model inputs'!F188='Model inputs'!AJ138,IF(OR('Model inputs'!F188="",'Model inputs'!AJ138=""),"",'Model inputs'!F188='Model inputs'!AJ138))),IF('Model inputs'!AJ139="","",'Model inputs'!AJ139),IF(IF(IF(ISERROR('Model inputs'!F188&gt;'Model inputs'!AJ138),'Model inputs'!F188&gt;'Model inputs'!AJ138,IF(OR('Model inputs'!F188="",'Model inputs'!AJ138=""),"",'Model inputs'!F188&gt;'Model inputs'!AJ138))="",FALSE,IF(ISERROR('Model inputs'!F188&gt;'Model inputs'!AJ138),'Model inputs'!F188&gt;'Model inputs'!AJ138,IF(OR('Model inputs'!F188="",'Model inputs'!AJ138=""),"",'Model inputs'!F188&gt;'Model inputs'!AJ138))),'Model inputs'!E191*'Model inputs'!AJ135,0))</f>
        <v>0</v>
      </c>
      <c r="G11" s="8">
        <f>IF(IF(IF(ISERROR('Model inputs'!G188='Model inputs'!AJ138),'Model inputs'!G188='Model inputs'!AJ138,IF(OR('Model inputs'!G188="",'Model inputs'!AJ138=""),"",'Model inputs'!G188='Model inputs'!AJ138))="",FALSE,IF(ISERROR('Model inputs'!G188='Model inputs'!AJ138),'Model inputs'!G188='Model inputs'!AJ138,IF(OR('Model inputs'!G188="",'Model inputs'!AJ138=""),"",'Model inputs'!G188='Model inputs'!AJ138))),IF('Model inputs'!AJ139="","",'Model inputs'!AJ139),IF(IF(IF(ISERROR('Model inputs'!G188&gt;'Model inputs'!AJ138),'Model inputs'!G188&gt;'Model inputs'!AJ138,IF(OR('Model inputs'!G188="",'Model inputs'!AJ138=""),"",'Model inputs'!G188&gt;'Model inputs'!AJ138))="",FALSE,IF(ISERROR('Model inputs'!G188&gt;'Model inputs'!AJ138),'Model inputs'!G188&gt;'Model inputs'!AJ138,IF(OR('Model inputs'!G188="",'Model inputs'!AJ138=""),"",'Model inputs'!G188&gt;'Model inputs'!AJ138))),'Model inputs'!F191*'Model inputs'!AJ135,0))</f>
        <v>0</v>
      </c>
      <c r="H11" s="8">
        <f>IF(IF(IF(ISERROR('Model inputs'!H188='Model inputs'!AJ138),'Model inputs'!H188='Model inputs'!AJ138,IF(OR('Model inputs'!H188="",'Model inputs'!AJ138=""),"",'Model inputs'!H188='Model inputs'!AJ138))="",FALSE,IF(ISERROR('Model inputs'!H188='Model inputs'!AJ138),'Model inputs'!H188='Model inputs'!AJ138,IF(OR('Model inputs'!H188="",'Model inputs'!AJ138=""),"",'Model inputs'!H188='Model inputs'!AJ138))),IF('Model inputs'!AJ139="","",'Model inputs'!AJ139),IF(IF(IF(ISERROR('Model inputs'!H188&gt;'Model inputs'!AJ138),'Model inputs'!H188&gt;'Model inputs'!AJ138,IF(OR('Model inputs'!H188="",'Model inputs'!AJ138=""),"",'Model inputs'!H188&gt;'Model inputs'!AJ138))="",FALSE,IF(ISERROR('Model inputs'!H188&gt;'Model inputs'!AJ138),'Model inputs'!H188&gt;'Model inputs'!AJ138,IF(OR('Model inputs'!H188="",'Model inputs'!AJ138=""),"",'Model inputs'!H188&gt;'Model inputs'!AJ138))),'Model inputs'!G191*'Model inputs'!AJ135,0))</f>
        <v>0</v>
      </c>
      <c r="I11" s="8">
        <f>IF(IF(IF(ISERROR('Model inputs'!I188='Model inputs'!AJ138),'Model inputs'!I188='Model inputs'!AJ138,IF(OR('Model inputs'!I188="",'Model inputs'!AJ138=""),"",'Model inputs'!I188='Model inputs'!AJ138))="",FALSE,IF(ISERROR('Model inputs'!I188='Model inputs'!AJ138),'Model inputs'!I188='Model inputs'!AJ138,IF(OR('Model inputs'!I188="",'Model inputs'!AJ138=""),"",'Model inputs'!I188='Model inputs'!AJ138))),IF('Model inputs'!AJ139="","",'Model inputs'!AJ139),IF(IF(IF(ISERROR('Model inputs'!I188&gt;'Model inputs'!AJ138),'Model inputs'!I188&gt;'Model inputs'!AJ138,IF(OR('Model inputs'!I188="",'Model inputs'!AJ138=""),"",'Model inputs'!I188&gt;'Model inputs'!AJ138))="",FALSE,IF(ISERROR('Model inputs'!I188&gt;'Model inputs'!AJ138),'Model inputs'!I188&gt;'Model inputs'!AJ138,IF(OR('Model inputs'!I188="",'Model inputs'!AJ138=""),"",'Model inputs'!I188&gt;'Model inputs'!AJ138))),'Model inputs'!H191*'Model inputs'!AJ135,0))</f>
        <v>0</v>
      </c>
      <c r="J11" s="8">
        <f>IF(IF(IF(ISERROR('Model inputs'!J188='Model inputs'!AJ138),'Model inputs'!J188='Model inputs'!AJ138,IF(OR('Model inputs'!J188="",'Model inputs'!AJ138=""),"",'Model inputs'!J188='Model inputs'!AJ138))="",FALSE,IF(ISERROR('Model inputs'!J188='Model inputs'!AJ138),'Model inputs'!J188='Model inputs'!AJ138,IF(OR('Model inputs'!J188="",'Model inputs'!AJ138=""),"",'Model inputs'!J188='Model inputs'!AJ138))),IF('Model inputs'!AJ139="","",'Model inputs'!AJ139),IF(IF(IF(ISERROR('Model inputs'!J188&gt;'Model inputs'!AJ138),'Model inputs'!J188&gt;'Model inputs'!AJ138,IF(OR('Model inputs'!J188="",'Model inputs'!AJ138=""),"",'Model inputs'!J188&gt;'Model inputs'!AJ138))="",FALSE,IF(ISERROR('Model inputs'!J188&gt;'Model inputs'!AJ138),'Model inputs'!J188&gt;'Model inputs'!AJ138,IF(OR('Model inputs'!J188="",'Model inputs'!AJ138=""),"",'Model inputs'!J188&gt;'Model inputs'!AJ138))),'Model inputs'!I191*'Model inputs'!AJ135,0))</f>
        <v>0</v>
      </c>
      <c r="K11" s="8">
        <f>IF(IF(IF(ISERROR('Model inputs'!K188='Model inputs'!AJ138),'Model inputs'!K188='Model inputs'!AJ138,IF(OR('Model inputs'!K188="",'Model inputs'!AJ138=""),"",'Model inputs'!K188='Model inputs'!AJ138))="",FALSE,IF(ISERROR('Model inputs'!K188='Model inputs'!AJ138),'Model inputs'!K188='Model inputs'!AJ138,IF(OR('Model inputs'!K188="",'Model inputs'!AJ138=""),"",'Model inputs'!K188='Model inputs'!AJ138))),IF('Model inputs'!AJ139="","",'Model inputs'!AJ139),IF(IF(IF(ISERROR('Model inputs'!K188&gt;'Model inputs'!AJ138),'Model inputs'!K188&gt;'Model inputs'!AJ138,IF(OR('Model inputs'!K188="",'Model inputs'!AJ138=""),"",'Model inputs'!K188&gt;'Model inputs'!AJ138))="",FALSE,IF(ISERROR('Model inputs'!K188&gt;'Model inputs'!AJ138),'Model inputs'!K188&gt;'Model inputs'!AJ138,IF(OR('Model inputs'!K188="",'Model inputs'!AJ138=""),"",'Model inputs'!K188&gt;'Model inputs'!AJ138))),'Model inputs'!J191*'Model inputs'!AJ135,0))</f>
        <v>0</v>
      </c>
      <c r="L11" s="8">
        <f>IF(IF(IF(ISERROR('Model inputs'!L188='Model inputs'!AJ138),'Model inputs'!L188='Model inputs'!AJ138,IF(OR('Model inputs'!L188="",'Model inputs'!AJ138=""),"",'Model inputs'!L188='Model inputs'!AJ138))="",FALSE,IF(ISERROR('Model inputs'!L188='Model inputs'!AJ138),'Model inputs'!L188='Model inputs'!AJ138,IF(OR('Model inputs'!L188="",'Model inputs'!AJ138=""),"",'Model inputs'!L188='Model inputs'!AJ138))),IF('Model inputs'!AJ139="","",'Model inputs'!AJ139),IF(IF(IF(ISERROR('Model inputs'!L188&gt;'Model inputs'!AJ138),'Model inputs'!L188&gt;'Model inputs'!AJ138,IF(OR('Model inputs'!L188="",'Model inputs'!AJ138=""),"",'Model inputs'!L188&gt;'Model inputs'!AJ138))="",FALSE,IF(ISERROR('Model inputs'!L188&gt;'Model inputs'!AJ138),'Model inputs'!L188&gt;'Model inputs'!AJ138,IF(OR('Model inputs'!L188="",'Model inputs'!AJ138=""),"",'Model inputs'!L188&gt;'Model inputs'!AJ138))),'Model inputs'!K191*'Model inputs'!AJ135,0))</f>
        <v>0</v>
      </c>
      <c r="M11" s="8">
        <f>IF(IF(IF(ISERROR('Model inputs'!M188='Model inputs'!AJ138),'Model inputs'!M188='Model inputs'!AJ138,IF(OR('Model inputs'!M188="",'Model inputs'!AJ138=""),"",'Model inputs'!M188='Model inputs'!AJ138))="",FALSE,IF(ISERROR('Model inputs'!M188='Model inputs'!AJ138),'Model inputs'!M188='Model inputs'!AJ138,IF(OR('Model inputs'!M188="",'Model inputs'!AJ138=""),"",'Model inputs'!M188='Model inputs'!AJ138))),IF('Model inputs'!AJ139="","",'Model inputs'!AJ139),IF(IF(IF(ISERROR('Model inputs'!M188&gt;'Model inputs'!AJ138),'Model inputs'!M188&gt;'Model inputs'!AJ138,IF(OR('Model inputs'!M188="",'Model inputs'!AJ138=""),"",'Model inputs'!M188&gt;'Model inputs'!AJ138))="",FALSE,IF(ISERROR('Model inputs'!M188&gt;'Model inputs'!AJ138),'Model inputs'!M188&gt;'Model inputs'!AJ138,IF(OR('Model inputs'!M188="",'Model inputs'!AJ138=""),"",'Model inputs'!M188&gt;'Model inputs'!AJ138))),'Model inputs'!L191*'Model inputs'!AJ135,0))</f>
        <v>0</v>
      </c>
      <c r="N11" s="8">
        <f>IF(IF(IF(ISERROR('Model inputs'!N188='Model inputs'!AJ138),'Model inputs'!N188='Model inputs'!AJ138,IF(OR('Model inputs'!N188="",'Model inputs'!AJ138=""),"",'Model inputs'!N188='Model inputs'!AJ138))="",FALSE,IF(ISERROR('Model inputs'!N188='Model inputs'!AJ138),'Model inputs'!N188='Model inputs'!AJ138,IF(OR('Model inputs'!N188="",'Model inputs'!AJ138=""),"",'Model inputs'!N188='Model inputs'!AJ138))),IF('Model inputs'!AJ139="","",'Model inputs'!AJ139),IF(IF(IF(ISERROR('Model inputs'!N188&gt;'Model inputs'!AJ138),'Model inputs'!N188&gt;'Model inputs'!AJ138,IF(OR('Model inputs'!N188="",'Model inputs'!AJ138=""),"",'Model inputs'!N188&gt;'Model inputs'!AJ138))="",FALSE,IF(ISERROR('Model inputs'!N188&gt;'Model inputs'!AJ138),'Model inputs'!N188&gt;'Model inputs'!AJ138,IF(OR('Model inputs'!N188="",'Model inputs'!AJ138=""),"",'Model inputs'!N188&gt;'Model inputs'!AJ138))),'Model inputs'!M191*'Model inputs'!AJ135,0))</f>
        <v>0</v>
      </c>
      <c r="O11" s="8">
        <f>IF(IF(IF(ISERROR('Model inputs'!O188='Model inputs'!AJ138),'Model inputs'!O188='Model inputs'!AJ138,IF(OR('Model inputs'!O188="",'Model inputs'!AJ138=""),"",'Model inputs'!O188='Model inputs'!AJ138))="",FALSE,IF(ISERROR('Model inputs'!O188='Model inputs'!AJ138),'Model inputs'!O188='Model inputs'!AJ138,IF(OR('Model inputs'!O188="",'Model inputs'!AJ138=""),"",'Model inputs'!O188='Model inputs'!AJ138))),IF('Model inputs'!AJ139="","",'Model inputs'!AJ139),IF(IF(IF(ISERROR('Model inputs'!O188&gt;'Model inputs'!AJ138),'Model inputs'!O188&gt;'Model inputs'!AJ138,IF(OR('Model inputs'!O188="",'Model inputs'!AJ138=""),"",'Model inputs'!O188&gt;'Model inputs'!AJ138))="",FALSE,IF(ISERROR('Model inputs'!O188&gt;'Model inputs'!AJ138),'Model inputs'!O188&gt;'Model inputs'!AJ138,IF(OR('Model inputs'!O188="",'Model inputs'!AJ138=""),"",'Model inputs'!O188&gt;'Model inputs'!AJ138))),'Model inputs'!N191*'Model inputs'!AJ135,0))</f>
        <v>50</v>
      </c>
      <c r="P11" s="8">
        <f>IF(IF(IF(ISERROR('Model inputs'!P188='Model inputs'!AJ138),'Model inputs'!P188='Model inputs'!AJ138,IF(OR('Model inputs'!P188="",'Model inputs'!AJ138=""),"",'Model inputs'!P188='Model inputs'!AJ138))="",FALSE,IF(ISERROR('Model inputs'!P188='Model inputs'!AJ138),'Model inputs'!P188='Model inputs'!AJ138,IF(OR('Model inputs'!P188="",'Model inputs'!AJ138=""),"",'Model inputs'!P188='Model inputs'!AJ138))),IF('Model inputs'!AJ139="","",'Model inputs'!AJ139),IF(IF(IF(ISERROR('Model inputs'!P188&gt;'Model inputs'!AJ138),'Model inputs'!P188&gt;'Model inputs'!AJ138,IF(OR('Model inputs'!P188="",'Model inputs'!AJ138=""),"",'Model inputs'!P188&gt;'Model inputs'!AJ138))="",FALSE,IF(ISERROR('Model inputs'!P188&gt;'Model inputs'!AJ138),'Model inputs'!P188&gt;'Model inputs'!AJ138,IF(OR('Model inputs'!P188="",'Model inputs'!AJ138=""),"",'Model inputs'!P188&gt;'Model inputs'!AJ138))),'Model inputs'!O191*'Model inputs'!AJ135,0))</f>
        <v>5</v>
      </c>
      <c r="Q11" s="8">
        <f>IF(IF(IF(ISERROR('Model inputs'!Q188='Model inputs'!AJ138),'Model inputs'!Q188='Model inputs'!AJ138,IF(OR('Model inputs'!Q188="",'Model inputs'!AJ138=""),"",'Model inputs'!Q188='Model inputs'!AJ138))="",FALSE,IF(ISERROR('Model inputs'!Q188='Model inputs'!AJ138),'Model inputs'!Q188='Model inputs'!AJ138,IF(OR('Model inputs'!Q188="",'Model inputs'!AJ138=""),"",'Model inputs'!Q188='Model inputs'!AJ138))),IF('Model inputs'!AJ139="","",'Model inputs'!AJ139),IF(IF(IF(ISERROR('Model inputs'!Q188&gt;'Model inputs'!AJ138),'Model inputs'!Q188&gt;'Model inputs'!AJ138,IF(OR('Model inputs'!Q188="",'Model inputs'!AJ138=""),"",'Model inputs'!Q188&gt;'Model inputs'!AJ138))="",FALSE,IF(ISERROR('Model inputs'!Q188&gt;'Model inputs'!AJ138),'Model inputs'!Q188&gt;'Model inputs'!AJ138,IF(OR('Model inputs'!Q188="",'Model inputs'!AJ138=""),"",'Model inputs'!Q188&gt;'Model inputs'!AJ138))),'Model inputs'!P191*'Model inputs'!AJ135,0))</f>
        <v>5.15</v>
      </c>
      <c r="R11" s="8">
        <f>IF(IF(IF(ISERROR('Model inputs'!R188='Model inputs'!AJ138),'Model inputs'!R188='Model inputs'!AJ138,IF(OR('Model inputs'!R188="",'Model inputs'!AJ138=""),"",'Model inputs'!R188='Model inputs'!AJ138))="",FALSE,IF(ISERROR('Model inputs'!R188='Model inputs'!AJ138),'Model inputs'!R188='Model inputs'!AJ138,IF(OR('Model inputs'!R188="",'Model inputs'!AJ138=""),"",'Model inputs'!R188='Model inputs'!AJ138))),IF('Model inputs'!AJ139="","",'Model inputs'!AJ139),IF(IF(IF(ISERROR('Model inputs'!R188&gt;'Model inputs'!AJ138),'Model inputs'!R188&gt;'Model inputs'!AJ138,IF(OR('Model inputs'!R188="",'Model inputs'!AJ138=""),"",'Model inputs'!R188&gt;'Model inputs'!AJ138))="",FALSE,IF(ISERROR('Model inputs'!R188&gt;'Model inputs'!AJ138),'Model inputs'!R188&gt;'Model inputs'!AJ138,IF(OR('Model inputs'!R188="",'Model inputs'!AJ138=""),"",'Model inputs'!R188&gt;'Model inputs'!AJ138))),'Model inputs'!Q191*'Model inputs'!AJ135,0))</f>
        <v>5.304500000000001</v>
      </c>
      <c r="S11" s="8">
        <f>IF(IF(IF(ISERROR('Model inputs'!S188='Model inputs'!AJ138),'Model inputs'!S188='Model inputs'!AJ138,IF(OR('Model inputs'!S188="",'Model inputs'!AJ138=""),"",'Model inputs'!S188='Model inputs'!AJ138))="",FALSE,IF(ISERROR('Model inputs'!S188='Model inputs'!AJ138),'Model inputs'!S188='Model inputs'!AJ138,IF(OR('Model inputs'!S188="",'Model inputs'!AJ138=""),"",'Model inputs'!S188='Model inputs'!AJ138))),IF('Model inputs'!AJ139="","",'Model inputs'!AJ139),IF(IF(IF(ISERROR('Model inputs'!S188&gt;'Model inputs'!AJ138),'Model inputs'!S188&gt;'Model inputs'!AJ138,IF(OR('Model inputs'!S188="",'Model inputs'!AJ138=""),"",'Model inputs'!S188&gt;'Model inputs'!AJ138))="",FALSE,IF(ISERROR('Model inputs'!S188&gt;'Model inputs'!AJ138),'Model inputs'!S188&gt;'Model inputs'!AJ138,IF(OR('Model inputs'!S188="",'Model inputs'!AJ138=""),"",'Model inputs'!S188&gt;'Model inputs'!AJ138))),'Model inputs'!R191*'Model inputs'!AJ135,0))</f>
        <v>5.463635</v>
      </c>
      <c r="T11" s="8">
        <f>IF(IF(IF(ISERROR('Model inputs'!T188='Model inputs'!AJ138),'Model inputs'!T188='Model inputs'!AJ138,IF(OR('Model inputs'!T188="",'Model inputs'!AJ138=""),"",'Model inputs'!T188='Model inputs'!AJ138))="",FALSE,IF(ISERROR('Model inputs'!T188='Model inputs'!AJ138),'Model inputs'!T188='Model inputs'!AJ138,IF(OR('Model inputs'!T188="",'Model inputs'!AJ138=""),"",'Model inputs'!T188='Model inputs'!AJ138))),IF('Model inputs'!AJ139="","",'Model inputs'!AJ139),IF(IF(IF(ISERROR('Model inputs'!T188&gt;'Model inputs'!AJ138),'Model inputs'!T188&gt;'Model inputs'!AJ138,IF(OR('Model inputs'!T188="",'Model inputs'!AJ138=""),"",'Model inputs'!T188&gt;'Model inputs'!AJ138))="",FALSE,IF(ISERROR('Model inputs'!T188&gt;'Model inputs'!AJ138),'Model inputs'!T188&gt;'Model inputs'!AJ138,IF(OR('Model inputs'!T188="",'Model inputs'!AJ138=""),"",'Model inputs'!T188&gt;'Model inputs'!AJ138))),'Model inputs'!S191*'Model inputs'!AJ135,0))</f>
        <v>5.627544050000001</v>
      </c>
      <c r="U11" s="8">
        <f>IF(IF(IF(ISERROR('Model inputs'!U188='Model inputs'!AJ138),'Model inputs'!U188='Model inputs'!AJ138,IF(OR('Model inputs'!U188="",'Model inputs'!AJ138=""),"",'Model inputs'!U188='Model inputs'!AJ138))="",FALSE,IF(ISERROR('Model inputs'!U188='Model inputs'!AJ138),'Model inputs'!U188='Model inputs'!AJ138,IF(OR('Model inputs'!U188="",'Model inputs'!AJ138=""),"",'Model inputs'!U188='Model inputs'!AJ138))),IF('Model inputs'!AJ139="","",'Model inputs'!AJ139),IF(IF(IF(ISERROR('Model inputs'!U188&gt;'Model inputs'!AJ138),'Model inputs'!U188&gt;'Model inputs'!AJ138,IF(OR('Model inputs'!U188="",'Model inputs'!AJ138=""),"",'Model inputs'!U188&gt;'Model inputs'!AJ138))="",FALSE,IF(ISERROR('Model inputs'!U188&gt;'Model inputs'!AJ138),'Model inputs'!U188&gt;'Model inputs'!AJ138,IF(OR('Model inputs'!U188="",'Model inputs'!AJ138=""),"",'Model inputs'!U188&gt;'Model inputs'!AJ138))),'Model inputs'!T191*'Model inputs'!AJ135,0))</f>
        <v>5.7963703715</v>
      </c>
      <c r="V11" s="8">
        <f>IF(IF(IF(ISERROR('Model inputs'!V188='Model inputs'!AJ138),'Model inputs'!V188='Model inputs'!AJ138,IF(OR('Model inputs'!V188="",'Model inputs'!AJ138=""),"",'Model inputs'!V188='Model inputs'!AJ138))="",FALSE,IF(ISERROR('Model inputs'!V188='Model inputs'!AJ138),'Model inputs'!V188='Model inputs'!AJ138,IF(OR('Model inputs'!V188="",'Model inputs'!AJ138=""),"",'Model inputs'!V188='Model inputs'!AJ138))),IF('Model inputs'!AJ139="","",'Model inputs'!AJ139),IF(IF(IF(ISERROR('Model inputs'!V188&gt;'Model inputs'!AJ138),'Model inputs'!V188&gt;'Model inputs'!AJ138,IF(OR('Model inputs'!V188="",'Model inputs'!AJ138=""),"",'Model inputs'!V188&gt;'Model inputs'!AJ138))="",FALSE,IF(ISERROR('Model inputs'!V188&gt;'Model inputs'!AJ138),'Model inputs'!V188&gt;'Model inputs'!AJ138,IF(OR('Model inputs'!V188="",'Model inputs'!AJ138=""),"",'Model inputs'!V188&gt;'Model inputs'!AJ138))),'Model inputs'!U191*'Model inputs'!AJ135,0))</f>
        <v>5.970261482645</v>
      </c>
      <c r="W11" s="8">
        <f>IF(IF(IF(ISERROR('Model inputs'!W188='Model inputs'!AJ138),'Model inputs'!W188='Model inputs'!AJ138,IF(OR('Model inputs'!W188="",'Model inputs'!AJ138=""),"",'Model inputs'!W188='Model inputs'!AJ138))="",FALSE,IF(ISERROR('Model inputs'!W188='Model inputs'!AJ138),'Model inputs'!W188='Model inputs'!AJ138,IF(OR('Model inputs'!W188="",'Model inputs'!AJ138=""),"",'Model inputs'!W188='Model inputs'!AJ138))),IF('Model inputs'!AJ139="","",'Model inputs'!AJ139),IF(IF(IF(ISERROR('Model inputs'!W188&gt;'Model inputs'!AJ138),'Model inputs'!W188&gt;'Model inputs'!AJ138,IF(OR('Model inputs'!W188="",'Model inputs'!AJ138=""),"",'Model inputs'!W188&gt;'Model inputs'!AJ138))="",FALSE,IF(ISERROR('Model inputs'!W188&gt;'Model inputs'!AJ138),'Model inputs'!W188&gt;'Model inputs'!AJ138,IF(OR('Model inputs'!W188="",'Model inputs'!AJ138=""),"",'Model inputs'!W188&gt;'Model inputs'!AJ138))),'Model inputs'!V191*'Model inputs'!AJ135,0))</f>
        <v>6.149369327124351</v>
      </c>
      <c r="X11" s="8">
        <f>IF(IF(IF(ISERROR('Model inputs'!X188='Model inputs'!AJ138),'Model inputs'!X188='Model inputs'!AJ138,IF(OR('Model inputs'!X188="",'Model inputs'!AJ138=""),"",'Model inputs'!X188='Model inputs'!AJ138))="",FALSE,IF(ISERROR('Model inputs'!X188='Model inputs'!AJ138),'Model inputs'!X188='Model inputs'!AJ138,IF(OR('Model inputs'!X188="",'Model inputs'!AJ138=""),"",'Model inputs'!X188='Model inputs'!AJ138))),IF('Model inputs'!AJ139="","",'Model inputs'!AJ139),IF(IF(IF(ISERROR('Model inputs'!X188&gt;'Model inputs'!AJ138),'Model inputs'!X188&gt;'Model inputs'!AJ138,IF(OR('Model inputs'!X188="",'Model inputs'!AJ138=""),"",'Model inputs'!X188&gt;'Model inputs'!AJ138))="",FALSE,IF(ISERROR('Model inputs'!X188&gt;'Model inputs'!AJ138),'Model inputs'!X188&gt;'Model inputs'!AJ138,IF(OR('Model inputs'!X188="",'Model inputs'!AJ138=""),"",'Model inputs'!X188&gt;'Model inputs'!AJ138))),'Model inputs'!W191*'Model inputs'!AJ135,0))</f>
        <v>6.333850406938081</v>
      </c>
      <c r="Y11" s="8">
        <f>IF(IF(IF(ISERROR('Model inputs'!Y188='Model inputs'!AJ138),'Model inputs'!Y188='Model inputs'!AJ138,IF(OR('Model inputs'!Y188="",'Model inputs'!AJ138=""),"",'Model inputs'!Y188='Model inputs'!AJ138))="",FALSE,IF(ISERROR('Model inputs'!Y188='Model inputs'!AJ138),'Model inputs'!Y188='Model inputs'!AJ138,IF(OR('Model inputs'!Y188="",'Model inputs'!AJ138=""),"",'Model inputs'!Y188='Model inputs'!AJ138))),IF('Model inputs'!AJ139="","",'Model inputs'!AJ139),IF(IF(IF(ISERROR('Model inputs'!Y188&gt;'Model inputs'!AJ138),'Model inputs'!Y188&gt;'Model inputs'!AJ138,IF(OR('Model inputs'!Y188="",'Model inputs'!AJ138=""),"",'Model inputs'!Y188&gt;'Model inputs'!AJ138))="",FALSE,IF(ISERROR('Model inputs'!Y188&gt;'Model inputs'!AJ138),'Model inputs'!Y188&gt;'Model inputs'!AJ138,IF(OR('Model inputs'!Y188="",'Model inputs'!AJ138=""),"",'Model inputs'!Y188&gt;'Model inputs'!AJ138))),'Model inputs'!X191*'Model inputs'!AJ135,0))</f>
        <v>6.523865919146224</v>
      </c>
      <c r="Z11" s="8">
        <f>IF(IF(IF(ISERROR('Model inputs'!Z188='Model inputs'!AJ138),'Model inputs'!Z188='Model inputs'!AJ138,IF(OR('Model inputs'!Z188="",'Model inputs'!AJ138=""),"",'Model inputs'!Z188='Model inputs'!AJ138))="",FALSE,IF(ISERROR('Model inputs'!Z188='Model inputs'!AJ138),'Model inputs'!Z188='Model inputs'!AJ138,IF(OR('Model inputs'!Z188="",'Model inputs'!AJ138=""),"",'Model inputs'!Z188='Model inputs'!AJ138))),IF('Model inputs'!AJ139="","",'Model inputs'!AJ139),IF(IF(IF(ISERROR('Model inputs'!Z188&gt;'Model inputs'!AJ138),'Model inputs'!Z188&gt;'Model inputs'!AJ138,IF(OR('Model inputs'!Z188="",'Model inputs'!AJ138=""),"",'Model inputs'!Z188&gt;'Model inputs'!AJ138))="",FALSE,IF(ISERROR('Model inputs'!Z188&gt;'Model inputs'!AJ138),'Model inputs'!Z188&gt;'Model inputs'!AJ138,IF(OR('Model inputs'!Z188="",'Model inputs'!AJ138=""),"",'Model inputs'!Z188&gt;'Model inputs'!AJ138))),'Model inputs'!Y191*'Model inputs'!AJ135,0))</f>
        <v>6.719581896720611</v>
      </c>
      <c r="AA11" s="8">
        <f>IF(IF(IF(ISERROR('Model inputs'!AA188='Model inputs'!AJ138),'Model inputs'!AA188='Model inputs'!AJ138,IF(OR('Model inputs'!AA188="",'Model inputs'!AJ138=""),"",'Model inputs'!AA188='Model inputs'!AJ138))="",FALSE,IF(ISERROR('Model inputs'!AA188='Model inputs'!AJ138),'Model inputs'!AA188='Model inputs'!AJ138,IF(OR('Model inputs'!AA188="",'Model inputs'!AJ138=""),"",'Model inputs'!AA188='Model inputs'!AJ138))),IF('Model inputs'!AJ139="","",'Model inputs'!AJ139),IF(IF(IF(ISERROR('Model inputs'!AA188&gt;'Model inputs'!AJ138),'Model inputs'!AA188&gt;'Model inputs'!AJ138,IF(OR('Model inputs'!AA188="",'Model inputs'!AJ138=""),"",'Model inputs'!AA188&gt;'Model inputs'!AJ138))="",FALSE,IF(ISERROR('Model inputs'!AA188&gt;'Model inputs'!AJ138),'Model inputs'!AA188&gt;'Model inputs'!AJ138,IF(OR('Model inputs'!AA188="",'Model inputs'!AJ138=""),"",'Model inputs'!AA188&gt;'Model inputs'!AJ138))),'Model inputs'!Z191*'Model inputs'!AJ135,0))</f>
        <v>6.92116935362223</v>
      </c>
      <c r="AB11" s="8">
        <f>IF(IF(IF(ISERROR('Model inputs'!AB188='Model inputs'!AJ138),'Model inputs'!AB188='Model inputs'!AJ138,IF(OR('Model inputs'!AB188="",'Model inputs'!AJ138=""),"",'Model inputs'!AB188='Model inputs'!AJ138))="",FALSE,IF(ISERROR('Model inputs'!AB188='Model inputs'!AJ138),'Model inputs'!AB188='Model inputs'!AJ138,IF(OR('Model inputs'!AB188="",'Model inputs'!AJ138=""),"",'Model inputs'!AB188='Model inputs'!AJ138))),IF('Model inputs'!AJ139="","",'Model inputs'!AJ139),IF(IF(IF(ISERROR('Model inputs'!AB188&gt;'Model inputs'!AJ138),'Model inputs'!AB188&gt;'Model inputs'!AJ138,IF(OR('Model inputs'!AB188="",'Model inputs'!AJ138=""),"",'Model inputs'!AB188&gt;'Model inputs'!AJ138))="",FALSE,IF(ISERROR('Model inputs'!AB188&gt;'Model inputs'!AJ138),'Model inputs'!AB188&gt;'Model inputs'!AJ138,IF(OR('Model inputs'!AB188="",'Model inputs'!AJ138=""),"",'Model inputs'!AB188&gt;'Model inputs'!AJ138))),'Model inputs'!AA191*'Model inputs'!AJ135,0))</f>
        <v>7.128804434230897</v>
      </c>
      <c r="AC11" s="8">
        <f>IF(IF(IF(ISERROR('Model inputs'!AC188='Model inputs'!AJ138),'Model inputs'!AC188='Model inputs'!AJ138,IF(OR('Model inputs'!AC188="",'Model inputs'!AJ138=""),"",'Model inputs'!AC188='Model inputs'!AJ138))="",FALSE,IF(ISERROR('Model inputs'!AC188='Model inputs'!AJ138),'Model inputs'!AC188='Model inputs'!AJ138,IF(OR('Model inputs'!AC188="",'Model inputs'!AJ138=""),"",'Model inputs'!AC188='Model inputs'!AJ138))),IF('Model inputs'!AJ139="","",'Model inputs'!AJ139),IF(IF(IF(ISERROR('Model inputs'!AC188&gt;'Model inputs'!AJ138),'Model inputs'!AC188&gt;'Model inputs'!AJ138,IF(OR('Model inputs'!AC188="",'Model inputs'!AJ138=""),"",'Model inputs'!AC188&gt;'Model inputs'!AJ138))="",FALSE,IF(ISERROR('Model inputs'!AC188&gt;'Model inputs'!AJ138),'Model inputs'!AC188&gt;'Model inputs'!AJ138,IF(OR('Model inputs'!AC188="",'Model inputs'!AJ138=""),"",'Model inputs'!AC188&gt;'Model inputs'!AJ138))),'Model inputs'!AB191*'Model inputs'!AJ135,0))</f>
        <v>7.342668567257824</v>
      </c>
      <c r="AD11" s="8">
        <f>IF(IF(IF(ISERROR('Model inputs'!AD188='Model inputs'!AJ138),'Model inputs'!AD188='Model inputs'!AJ138,IF(OR('Model inputs'!AD188="",'Model inputs'!AJ138=""),"",'Model inputs'!AD188='Model inputs'!AJ138))="",FALSE,IF(ISERROR('Model inputs'!AD188='Model inputs'!AJ138),'Model inputs'!AD188='Model inputs'!AJ138,IF(OR('Model inputs'!AD188="",'Model inputs'!AJ138=""),"",'Model inputs'!AD188='Model inputs'!AJ138))),IF('Model inputs'!AJ139="","",'Model inputs'!AJ139),IF(IF(IF(ISERROR('Model inputs'!AD188&gt;'Model inputs'!AJ138),'Model inputs'!AD188&gt;'Model inputs'!AJ138,IF(OR('Model inputs'!AD188="",'Model inputs'!AJ138=""),"",'Model inputs'!AD188&gt;'Model inputs'!AJ138))="",FALSE,IF(ISERROR('Model inputs'!AD188&gt;'Model inputs'!AJ138),'Model inputs'!AD188&gt;'Model inputs'!AJ138,IF(OR('Model inputs'!AD188="",'Model inputs'!AJ138=""),"",'Model inputs'!AD188&gt;'Model inputs'!AJ138))),'Model inputs'!AC191*'Model inputs'!AJ135,0))</f>
        <v>7.562948624275558</v>
      </c>
      <c r="AE11" s="8">
        <f>IF(IF(IF(ISERROR('Model inputs'!AE188='Model inputs'!AJ138),'Model inputs'!AE188='Model inputs'!AJ138,IF(OR('Model inputs'!AE188="",'Model inputs'!AJ138=""),"",'Model inputs'!AE188='Model inputs'!AJ138))="",FALSE,IF(ISERROR('Model inputs'!AE188='Model inputs'!AJ138),'Model inputs'!AE188='Model inputs'!AJ138,IF(OR('Model inputs'!AE188="",'Model inputs'!AJ138=""),"",'Model inputs'!AE188='Model inputs'!AJ138))),IF('Model inputs'!AJ139="","",'Model inputs'!AJ139),IF(IF(IF(ISERROR('Model inputs'!AE188&gt;'Model inputs'!AJ138),'Model inputs'!AE188&gt;'Model inputs'!AJ138,IF(OR('Model inputs'!AE188="",'Model inputs'!AJ138=""),"",'Model inputs'!AE188&gt;'Model inputs'!AJ138))="",FALSE,IF(ISERROR('Model inputs'!AE188&gt;'Model inputs'!AJ138),'Model inputs'!AE188&gt;'Model inputs'!AJ138,IF(OR('Model inputs'!AE188="",'Model inputs'!AJ138=""),"",'Model inputs'!AE188&gt;'Model inputs'!AJ138))),'Model inputs'!AD191*'Model inputs'!AJ135,0))</f>
        <v>7.789837083003825</v>
      </c>
      <c r="AF11" s="8">
        <f>IF(IF(IF(ISERROR('Model inputs'!AF188='Model inputs'!AJ138),'Model inputs'!AF188='Model inputs'!AJ138,IF(OR('Model inputs'!AF188="",'Model inputs'!AJ138=""),"",'Model inputs'!AF188='Model inputs'!AJ138))="",FALSE,IF(ISERROR('Model inputs'!AF188='Model inputs'!AJ138),'Model inputs'!AF188='Model inputs'!AJ138,IF(OR('Model inputs'!AF188="",'Model inputs'!AJ138=""),"",'Model inputs'!AF188='Model inputs'!AJ138))),IF('Model inputs'!AJ139="","",'Model inputs'!AJ139),IF(IF(IF(ISERROR('Model inputs'!AF188&gt;'Model inputs'!AJ138),'Model inputs'!AF188&gt;'Model inputs'!AJ138,IF(OR('Model inputs'!AF188="",'Model inputs'!AJ138=""),"",'Model inputs'!AF188&gt;'Model inputs'!AJ138))="",FALSE,IF(ISERROR('Model inputs'!AF188&gt;'Model inputs'!AJ138),'Model inputs'!AF188&gt;'Model inputs'!AJ138,IF(OR('Model inputs'!AF188="",'Model inputs'!AJ138=""),"",'Model inputs'!AF188&gt;'Model inputs'!AJ138))),'Model inputs'!AE191*'Model inputs'!AJ135,0))</f>
        <v>8.02353219549394</v>
      </c>
      <c r="AG11" s="8">
        <f>IF(IF(IF(ISERROR('Model inputs'!AG188='Model inputs'!AJ138),'Model inputs'!AG188='Model inputs'!AJ138,IF(OR('Model inputs'!AG188="",'Model inputs'!AJ138=""),"",'Model inputs'!AG188='Model inputs'!AJ138))="",FALSE,IF(ISERROR('Model inputs'!AG188='Model inputs'!AJ138),'Model inputs'!AG188='Model inputs'!AJ138,IF(OR('Model inputs'!AG188="",'Model inputs'!AJ138=""),"",'Model inputs'!AG188='Model inputs'!AJ138))),IF('Model inputs'!AJ139="","",'Model inputs'!AJ139),IF(IF(IF(ISERROR('Model inputs'!AG188&gt;'Model inputs'!AJ138),'Model inputs'!AG188&gt;'Model inputs'!AJ138,IF(OR('Model inputs'!AG188="",'Model inputs'!AJ138=""),"",'Model inputs'!AG188&gt;'Model inputs'!AJ138))="",FALSE,IF(ISERROR('Model inputs'!AG188&gt;'Model inputs'!AJ138),'Model inputs'!AG188&gt;'Model inputs'!AJ138,IF(OR('Model inputs'!AG188="",'Model inputs'!AJ138=""),"",'Model inputs'!AG188&gt;'Model inputs'!AJ138))),'Model inputs'!AF191*'Model inputs'!AJ135,0))</f>
        <v>8.264238161358758</v>
      </c>
      <c r="AH11" s="8">
        <f>IF(IF(IF(ISERROR('Model inputs'!AH188='Model inputs'!AJ138),'Model inputs'!AH188='Model inputs'!AJ138,IF(OR('Model inputs'!AH188="",'Model inputs'!AJ138=""),"",'Model inputs'!AH188='Model inputs'!AJ138))="",FALSE,IF(ISERROR('Model inputs'!AH188='Model inputs'!AJ138),'Model inputs'!AH188='Model inputs'!AJ138,IF(OR('Model inputs'!AH188="",'Model inputs'!AJ138=""),"",'Model inputs'!AH188='Model inputs'!AJ138))),IF('Model inputs'!AJ139="","",'Model inputs'!AJ139),IF(IF(IF(ISERROR('Model inputs'!AH188&gt;'Model inputs'!AJ138),'Model inputs'!AH188&gt;'Model inputs'!AJ138,IF(OR('Model inputs'!AH188="",'Model inputs'!AJ138=""),"",'Model inputs'!AH188&gt;'Model inputs'!AJ138))="",FALSE,IF(ISERROR('Model inputs'!AH188&gt;'Model inputs'!AJ138),'Model inputs'!AH188&gt;'Model inputs'!AJ138,IF(OR('Model inputs'!AH188="",'Model inputs'!AJ138=""),"",'Model inputs'!AH188&gt;'Model inputs'!AJ138))),'Model inputs'!AG191*'Model inputs'!AJ135,0))</f>
        <v>8.51216530619952</v>
      </c>
      <c r="AI11" s="8">
        <f>IF(IF(IF(ISERROR('Model inputs'!AI188='Model inputs'!AJ138),'Model inputs'!AI188='Model inputs'!AJ138,IF(OR('Model inputs'!AI188="",'Model inputs'!AJ138=""),"",'Model inputs'!AI188='Model inputs'!AJ138))="",FALSE,IF(ISERROR('Model inputs'!AI188='Model inputs'!AJ138),'Model inputs'!AI188='Model inputs'!AJ138,IF(OR('Model inputs'!AI188="",'Model inputs'!AJ138=""),"",'Model inputs'!AI188='Model inputs'!AJ138))),IF('Model inputs'!AJ139="","",'Model inputs'!AJ139),IF(IF(IF(ISERROR('Model inputs'!AI188&gt;'Model inputs'!AJ138),'Model inputs'!AI188&gt;'Model inputs'!AJ138,IF(OR('Model inputs'!AI188="",'Model inputs'!AJ138=""),"",'Model inputs'!AI188&gt;'Model inputs'!AJ138))="",FALSE,IF(ISERROR('Model inputs'!AI188&gt;'Model inputs'!AJ138),'Model inputs'!AI188&gt;'Model inputs'!AJ138,IF(OR('Model inputs'!AI188="",'Model inputs'!AJ138=""),"",'Model inputs'!AI188&gt;'Model inputs'!AJ138))),'Model inputs'!AH191*'Model inputs'!AJ135,0))</f>
        <v>8.767530265385506</v>
      </c>
    </row>
    <row r="12">
      <c r="A12" t="inlineStr" s="13">
        <is>
          <t xml:space="preserve">Haq Ending cash · Main Scenario</t>
        </is>
      </c>
      <c r="B12" s="9">
        <f>IF(IF(IF(IF(ISERROR('Model inputs'!B186=1),'Model inputs'!B186=1,IF('Model inputs'!B186="","",'Model inputs'!B186=1))="",FALSE,IF(ISERROR('Model inputs'!B186=1),'Model inputs'!B186=1,IF('Model inputs'!B186="","",'Model inputs'!B186=1))),IF('Model inputs'!AJ72="","",'Model inputs'!AJ72),"")="",0,IF(IF(IF(ISERROR('Model inputs'!B186=1),'Model inputs'!B186=1,IF('Model inputs'!B186="","",'Model inputs'!B186=1))="",FALSE,IF(ISERROR('Model inputs'!B186=1),'Model inputs'!B186=1,IF('Model inputs'!B186="","",'Model inputs'!B186=1))),IF('Model inputs'!AJ72="","",'Model inputs'!AJ72),""))+'Model inputs'!B360</f>
        <v>-75000</v>
      </c>
      <c r="C12" s="9">
        <f>IF(IF(IF(IF(ISERROR('Model inputs'!C186=1),'Model inputs'!C186=1,IF('Model inputs'!C186="","",'Model inputs'!C186=1))="",FALSE,IF(ISERROR('Model inputs'!C186=1),'Model inputs'!C186=1,IF('Model inputs'!C186="","",'Model inputs'!C186=1))),IF('Model inputs'!AJ72="","",'Model inputs'!AJ72),IF('Model inputs'!B12="","",'Model inputs'!B12))="",0,IF(IF(IF(ISERROR('Model inputs'!C186=1),'Model inputs'!C186=1,IF('Model inputs'!C186="","",'Model inputs'!C186=1))="",FALSE,IF(ISERROR('Model inputs'!C186=1),'Model inputs'!C186=1,IF('Model inputs'!C186="","",'Model inputs'!C186=1))),IF('Model inputs'!AJ72="","",'Model inputs'!AJ72),IF('Model inputs'!B12="","",'Model inputs'!B12)))+'Model inputs'!C360</f>
        <v>-150000</v>
      </c>
      <c r="D12" s="9">
        <f>IF(IF(IF(IF(ISERROR('Model inputs'!D186=1),'Model inputs'!D186=1,IF('Model inputs'!D186="","",'Model inputs'!D186=1))="",FALSE,IF(ISERROR('Model inputs'!D186=1),'Model inputs'!D186=1,IF('Model inputs'!D186="","",'Model inputs'!D186=1))),IF('Model inputs'!AJ72="","",'Model inputs'!AJ72),IF('Model inputs'!C12="","",'Model inputs'!C12))="",0,IF(IF(IF(ISERROR('Model inputs'!D186=1),'Model inputs'!D186=1,IF('Model inputs'!D186="","",'Model inputs'!D186=1))="",FALSE,IF(ISERROR('Model inputs'!D186=1),'Model inputs'!D186=1,IF('Model inputs'!D186="","",'Model inputs'!D186=1))),IF('Model inputs'!AJ72="","",'Model inputs'!AJ72),IF('Model inputs'!C12="","",'Model inputs'!C12)))+'Model inputs'!D360</f>
        <v>-225000</v>
      </c>
      <c r="E12" s="9">
        <f>IF(IF(IF(IF(ISERROR('Model inputs'!E186=1),'Model inputs'!E186=1,IF('Model inputs'!E186="","",'Model inputs'!E186=1))="",FALSE,IF(ISERROR('Model inputs'!E186=1),'Model inputs'!E186=1,IF('Model inputs'!E186="","",'Model inputs'!E186=1))),IF('Model inputs'!AJ72="","",'Model inputs'!AJ72),IF('Model inputs'!D12="","",'Model inputs'!D12))="",0,IF(IF(IF(ISERROR('Model inputs'!E186=1),'Model inputs'!E186=1,IF('Model inputs'!E186="","",'Model inputs'!E186=1))="",FALSE,IF(ISERROR('Model inputs'!E186=1),'Model inputs'!E186=1,IF('Model inputs'!E186="","",'Model inputs'!E186=1))),IF('Model inputs'!AJ72="","",'Model inputs'!AJ72),IF('Model inputs'!D12="","",'Model inputs'!D12)))+'Model inputs'!E360</f>
        <v>-300000</v>
      </c>
      <c r="F12" s="9">
        <f>IF(IF(IF(IF(ISERROR('Model inputs'!F186=1),'Model inputs'!F186=1,IF('Model inputs'!F186="","",'Model inputs'!F186=1))="",FALSE,IF(ISERROR('Model inputs'!F186=1),'Model inputs'!F186=1,IF('Model inputs'!F186="","",'Model inputs'!F186=1))),IF('Model inputs'!AJ72="","",'Model inputs'!AJ72),IF('Model inputs'!E12="","",'Model inputs'!E12))="",0,IF(IF(IF(ISERROR('Model inputs'!F186=1),'Model inputs'!F186=1,IF('Model inputs'!F186="","",'Model inputs'!F186=1))="",FALSE,IF(ISERROR('Model inputs'!F186=1),'Model inputs'!F186=1,IF('Model inputs'!F186="","",'Model inputs'!F186=1))),IF('Model inputs'!AJ72="","",'Model inputs'!AJ72),IF('Model inputs'!E12="","",'Model inputs'!E12)))+'Model inputs'!F360</f>
        <v>-375000</v>
      </c>
      <c r="G12" s="9">
        <f>IF(IF(IF(IF(ISERROR('Model inputs'!G186=1),'Model inputs'!G186=1,IF('Model inputs'!G186="","",'Model inputs'!G186=1))="",FALSE,IF(ISERROR('Model inputs'!G186=1),'Model inputs'!G186=1,IF('Model inputs'!G186="","",'Model inputs'!G186=1))),IF('Model inputs'!AJ72="","",'Model inputs'!AJ72),IF('Model inputs'!F12="","",'Model inputs'!F12))="",0,IF(IF(IF(ISERROR('Model inputs'!G186=1),'Model inputs'!G186=1,IF('Model inputs'!G186="","",'Model inputs'!G186=1))="",FALSE,IF(ISERROR('Model inputs'!G186=1),'Model inputs'!G186=1,IF('Model inputs'!G186="","",'Model inputs'!G186=1))),IF('Model inputs'!AJ72="","",'Model inputs'!AJ72),IF('Model inputs'!F12="","",'Model inputs'!F12)))+'Model inputs'!G360</f>
        <v>-450000</v>
      </c>
      <c r="H12" s="9">
        <f>IF(IF(IF(IF(ISERROR('Model inputs'!H186=1),'Model inputs'!H186=1,IF('Model inputs'!H186="","",'Model inputs'!H186=1))="",FALSE,IF(ISERROR('Model inputs'!H186=1),'Model inputs'!H186=1,IF('Model inputs'!H186="","",'Model inputs'!H186=1))),IF('Model inputs'!AJ72="","",'Model inputs'!AJ72),IF('Model inputs'!G12="","",'Model inputs'!G12))="",0,IF(IF(IF(ISERROR('Model inputs'!H186=1),'Model inputs'!H186=1,IF('Model inputs'!H186="","",'Model inputs'!H186=1))="",FALSE,IF(ISERROR('Model inputs'!H186=1),'Model inputs'!H186=1,IF('Model inputs'!H186="","",'Model inputs'!H186=1))),IF('Model inputs'!AJ72="","",'Model inputs'!AJ72),IF('Model inputs'!G12="","",'Model inputs'!G12)))+'Model inputs'!H360</f>
        <v>-525000</v>
      </c>
      <c r="I12" s="9">
        <f>IF(IF(IF(IF(ISERROR('Model inputs'!I186=1),'Model inputs'!I186=1,IF('Model inputs'!I186="","",'Model inputs'!I186=1))="",FALSE,IF(ISERROR('Model inputs'!I186=1),'Model inputs'!I186=1,IF('Model inputs'!I186="","",'Model inputs'!I186=1))),IF('Model inputs'!AJ72="","",'Model inputs'!AJ72),IF('Model inputs'!H12="","",'Model inputs'!H12))="",0,IF(IF(IF(ISERROR('Model inputs'!I186=1),'Model inputs'!I186=1,IF('Model inputs'!I186="","",'Model inputs'!I186=1))="",FALSE,IF(ISERROR('Model inputs'!I186=1),'Model inputs'!I186=1,IF('Model inputs'!I186="","",'Model inputs'!I186=1))),IF('Model inputs'!AJ72="","",'Model inputs'!AJ72),IF('Model inputs'!H12="","",'Model inputs'!H12)))+'Model inputs'!I360</f>
        <v>-600000</v>
      </c>
      <c r="J12" s="9">
        <f>IF(IF(IF(IF(ISERROR('Model inputs'!J186=1),'Model inputs'!J186=1,IF('Model inputs'!J186="","",'Model inputs'!J186=1))="",FALSE,IF(ISERROR('Model inputs'!J186=1),'Model inputs'!J186=1,IF('Model inputs'!J186="","",'Model inputs'!J186=1))),IF('Model inputs'!AJ72="","",'Model inputs'!AJ72),IF('Model inputs'!I12="","",'Model inputs'!I12))="",0,IF(IF(IF(ISERROR('Model inputs'!J186=1),'Model inputs'!J186=1,IF('Model inputs'!J186="","",'Model inputs'!J186=1))="",FALSE,IF(ISERROR('Model inputs'!J186=1),'Model inputs'!J186=1,IF('Model inputs'!J186="","",'Model inputs'!J186=1))),IF('Model inputs'!AJ72="","",'Model inputs'!AJ72),IF('Model inputs'!I12="","",'Model inputs'!I12)))+'Model inputs'!J360</f>
        <v>-675000</v>
      </c>
      <c r="K12" s="9">
        <f>IF(IF(IF(IF(ISERROR('Model inputs'!K186=1),'Model inputs'!K186=1,IF('Model inputs'!K186="","",'Model inputs'!K186=1))="",FALSE,IF(ISERROR('Model inputs'!K186=1),'Model inputs'!K186=1,IF('Model inputs'!K186="","",'Model inputs'!K186=1))),IF('Model inputs'!AJ72="","",'Model inputs'!AJ72),IF('Model inputs'!J12="","",'Model inputs'!J12))="",0,IF(IF(IF(ISERROR('Model inputs'!K186=1),'Model inputs'!K186=1,IF('Model inputs'!K186="","",'Model inputs'!K186=1))="",FALSE,IF(ISERROR('Model inputs'!K186=1),'Model inputs'!K186=1,IF('Model inputs'!K186="","",'Model inputs'!K186=1))),IF('Model inputs'!AJ72="","",'Model inputs'!AJ72),IF('Model inputs'!J12="","",'Model inputs'!J12)))+'Model inputs'!K360</f>
        <v>-750000</v>
      </c>
      <c r="L12" s="9">
        <f>IF(IF(IF(IF(ISERROR('Model inputs'!L186=1),'Model inputs'!L186=1,IF('Model inputs'!L186="","",'Model inputs'!L186=1))="",FALSE,IF(ISERROR('Model inputs'!L186=1),'Model inputs'!L186=1,IF('Model inputs'!L186="","",'Model inputs'!L186=1))),IF('Model inputs'!AJ72="","",'Model inputs'!AJ72),IF('Model inputs'!K12="","",'Model inputs'!K12))="",0,IF(IF(IF(ISERROR('Model inputs'!L186=1),'Model inputs'!L186=1,IF('Model inputs'!L186="","",'Model inputs'!L186=1))="",FALSE,IF(ISERROR('Model inputs'!L186=1),'Model inputs'!L186=1,IF('Model inputs'!L186="","",'Model inputs'!L186=1))),IF('Model inputs'!AJ72="","",'Model inputs'!AJ72),IF('Model inputs'!K12="","",'Model inputs'!K12)))+'Model inputs'!L360</f>
        <v>2275000</v>
      </c>
      <c r="M12" s="9">
        <f>IF(IF(IF(IF(ISERROR('Model inputs'!M186=1),'Model inputs'!M186=1,IF('Model inputs'!M186="","",'Model inputs'!M186=1))="",FALSE,IF(ISERROR('Model inputs'!M186=1),'Model inputs'!M186=1,IF('Model inputs'!M186="","",'Model inputs'!M186=1))),IF('Model inputs'!AJ72="","",'Model inputs'!AJ72),IF('Model inputs'!L12="","",'Model inputs'!L12))="",0,IF(IF(IF(ISERROR('Model inputs'!M186=1),'Model inputs'!M186=1,IF('Model inputs'!M186="","",'Model inputs'!M186=1))="",FALSE,IF(ISERROR('Model inputs'!M186=1),'Model inputs'!M186=1,IF('Model inputs'!M186="","",'Model inputs'!M186=1))),IF('Model inputs'!AJ72="","",'Model inputs'!AJ72),IF('Model inputs'!L12="","",'Model inputs'!L12)))+'Model inputs'!M360</f>
        <v>2050000</v>
      </c>
      <c r="N12" s="9">
        <f>IF(IF(IF(IF(ISERROR('Model inputs'!N186=1),'Model inputs'!N186=1,IF('Model inputs'!N186="","",'Model inputs'!N186=1))="",FALSE,IF(ISERROR('Model inputs'!N186=1),'Model inputs'!N186=1,IF('Model inputs'!N186="","",'Model inputs'!N186=1))),IF('Model inputs'!AJ72="","",'Model inputs'!AJ72),IF('Model inputs'!M12="","",'Model inputs'!M12))="",0,IF(IF(IF(ISERROR('Model inputs'!N186=1),'Model inputs'!N186=1,IF('Model inputs'!N186="","",'Model inputs'!N186=1))="",FALSE,IF(ISERROR('Model inputs'!N186=1),'Model inputs'!N186=1,IF('Model inputs'!N186="","",'Model inputs'!N186=1))),IF('Model inputs'!AJ72="","",'Model inputs'!AJ72),IF('Model inputs'!M12="","",'Model inputs'!M12)))+'Model inputs'!N360</f>
        <v>1825000</v>
      </c>
      <c r="O12" s="9">
        <f>IF(IF(IF(IF(ISERROR('Model inputs'!O186=1),'Model inputs'!O186=1,IF('Model inputs'!O186="","",'Model inputs'!O186=1))="",FALSE,IF(ISERROR('Model inputs'!O186=1),'Model inputs'!O186=1,IF('Model inputs'!O186="","",'Model inputs'!O186=1))),IF('Model inputs'!AJ72="","",'Model inputs'!AJ72),IF('Model inputs'!N12="","",'Model inputs'!N12))="",0,IF(IF(IF(ISERROR('Model inputs'!O186=1),'Model inputs'!O186=1,IF('Model inputs'!O186="","",'Model inputs'!O186=1))="",FALSE,IF(ISERROR('Model inputs'!O186=1),'Model inputs'!O186=1,IF('Model inputs'!O186="","",'Model inputs'!O186=1))),IF('Model inputs'!AJ72="","",'Model inputs'!AJ72),IF('Model inputs'!N12="","",'Model inputs'!N12)))+'Model inputs'!O360</f>
        <v>1583411</v>
      </c>
      <c r="P12" s="9">
        <f>IF(IF(IF(IF(ISERROR('Model inputs'!P186=1),'Model inputs'!P186=1,IF('Model inputs'!P186="","",'Model inputs'!P186=1))="",FALSE,IF(ISERROR('Model inputs'!P186=1),'Model inputs'!P186=1,IF('Model inputs'!P186="","",'Model inputs'!P186=1))),IF('Model inputs'!AJ72="","",'Model inputs'!AJ72),IF('Model inputs'!O12="","",'Model inputs'!O12))="",0,IF(IF(IF(ISERROR('Model inputs'!P186=1),'Model inputs'!P186=1,IF('Model inputs'!P186="","",'Model inputs'!P186=1))="",FALSE,IF(ISERROR('Model inputs'!P186=1),'Model inputs'!P186=1,IF('Model inputs'!P186="","",'Model inputs'!P186=1))),IF('Model inputs'!AJ72="","",'Model inputs'!AJ72),IF('Model inputs'!O12="","",'Model inputs'!O12)))+'Model inputs'!P360</f>
        <v>1396833.65</v>
      </c>
      <c r="Q12" s="9">
        <f>IF(IF(IF(IF(ISERROR('Model inputs'!Q186=1),'Model inputs'!Q186=1,IF('Model inputs'!Q186="","",'Model inputs'!Q186=1))="",FALSE,IF(ISERROR('Model inputs'!Q186=1),'Model inputs'!Q186=1,IF('Model inputs'!Q186="","",'Model inputs'!Q186=1))),IF('Model inputs'!AJ72="","",'Model inputs'!AJ72),IF('Model inputs'!P12="","",'Model inputs'!P12))="",0,IF(IF(IF(ISERROR('Model inputs'!Q186=1),'Model inputs'!Q186=1,IF('Model inputs'!Q186="","",'Model inputs'!Q186=1))="",FALSE,IF(ISERROR('Model inputs'!Q186=1),'Model inputs'!Q186=1,IF('Model inputs'!Q186="","",'Model inputs'!Q186=1))),IF('Model inputs'!AJ72="","",'Model inputs'!AJ72),IF('Model inputs'!P12="","",'Model inputs'!P12)))+'Model inputs'!Q360</f>
        <v>1525165.5308333333</v>
      </c>
      <c r="R12" s="9">
        <f>IF(IF(IF(IF(ISERROR('Model inputs'!R186=1),'Model inputs'!R186=1,IF('Model inputs'!R186="","",'Model inputs'!R186=1))="",FALSE,IF(ISERROR('Model inputs'!R186=1),'Model inputs'!R186=1,IF('Model inputs'!R186="","",'Model inputs'!R186=1))),IF('Model inputs'!AJ72="","",'Model inputs'!AJ72),IF('Model inputs'!Q12="","",'Model inputs'!Q12))="",0,IF(IF(IF(ISERROR('Model inputs'!R186=1),'Model inputs'!R186=1,IF('Model inputs'!R186="","",'Model inputs'!R186=1))="",FALSE,IF(ISERROR('Model inputs'!R186=1),'Model inputs'!R186=1,IF('Model inputs'!R186="","",'Model inputs'!R186=1))),IF('Model inputs'!AJ72="","",'Model inputs'!AJ72),IF('Model inputs'!Q12="","",'Model inputs'!Q12)))+'Model inputs'!R360</f>
        <v>1170125.3187916665</v>
      </c>
      <c r="S12" s="9">
        <f>IF(IF(IF(IF(ISERROR('Model inputs'!S186=1),'Model inputs'!S186=1,IF('Model inputs'!S186="","",'Model inputs'!S186=1))="",FALSE,IF(ISERROR('Model inputs'!S186=1),'Model inputs'!S186=1,IF('Model inputs'!S186="","",'Model inputs'!S186=1))),IF('Model inputs'!AJ72="","",'Model inputs'!AJ72),IF('Model inputs'!R12="","",'Model inputs'!R12))="",0,IF(IF(IF(ISERROR('Model inputs'!S186=1),'Model inputs'!S186=1,IF('Model inputs'!S186="","",'Model inputs'!S186=1))="",FALSE,IF(ISERROR('Model inputs'!S186=1),'Model inputs'!S186=1,IF('Model inputs'!S186="","",'Model inputs'!S186=1))),IF('Model inputs'!AJ72="","",'Model inputs'!AJ72),IF('Model inputs'!R12="","",'Model inputs'!R12)))+'Model inputs'!S360</f>
        <v>822707.1999437499</v>
      </c>
      <c r="T12" s="9">
        <f>IF(IF(IF(IF(ISERROR('Model inputs'!T186=1),'Model inputs'!T186=1,IF('Model inputs'!T186="","",'Model inputs'!T186=1))="",FALSE,IF(ISERROR('Model inputs'!T186=1),'Model inputs'!T186=1,IF('Model inputs'!T186="","",'Model inputs'!T186=1))),IF('Model inputs'!AJ72="","",'Model inputs'!AJ72),IF('Model inputs'!S12="","",'Model inputs'!S12))="",0,IF(IF(IF(ISERROR('Model inputs'!T186=1),'Model inputs'!T186=1,IF('Model inputs'!T186="","",'Model inputs'!T186=1))="",FALSE,IF(ISERROR('Model inputs'!T186=1),'Model inputs'!T186=1,IF('Model inputs'!T186="","",'Model inputs'!T186=1))),IF('Model inputs'!AJ72="","",'Model inputs'!AJ72),IF('Model inputs'!S12="","",'Model inputs'!S12)))+'Model inputs'!T360</f>
        <v>1334858.6549353122</v>
      </c>
      <c r="U12" s="9">
        <f>IF(IF(IF(IF(ISERROR('Model inputs'!U186=1),'Model inputs'!U186=1,IF('Model inputs'!U186="","",'Model inputs'!U186=1))="",FALSE,IF(ISERROR('Model inputs'!U186=1),'Model inputs'!U186=1,IF('Model inputs'!U186="","",'Model inputs'!U186=1))),IF('Model inputs'!AJ72="","",'Model inputs'!AJ72),IF('Model inputs'!T12="","",'Model inputs'!T12))="",0,IF(IF(IF(ISERROR('Model inputs'!U186=1),'Model inputs'!U186=1,IF('Model inputs'!U186="","",'Model inputs'!U186=1))="",FALSE,IF(ISERROR('Model inputs'!U186=1),'Model inputs'!U186=1,IF('Model inputs'!U186="","",'Model inputs'!U186=1))),IF('Model inputs'!AJ72="","",'Model inputs'!AJ72),IF('Model inputs'!T12="","",'Model inputs'!T12)))+'Model inputs'!U360</f>
        <v>1062603.786550609</v>
      </c>
      <c r="V12" s="9">
        <f>IF(IF(IF(IF(ISERROR('Model inputs'!V186=1),'Model inputs'!V186=1,IF('Model inputs'!V186="","",'Model inputs'!V186=1))="",FALSE,IF(ISERROR('Model inputs'!V186=1),'Model inputs'!V186=1,IF('Model inputs'!V186="","",'Model inputs'!V186=1))),IF('Model inputs'!AJ72="","",'Model inputs'!AJ72),IF('Model inputs'!U12="","",'Model inputs'!U12))="",0,IF(IF(IF(ISERROR('Model inputs'!V186=1),'Model inputs'!V186=1,IF('Model inputs'!V186="","",'Model inputs'!V186=1))="",FALSE,IF(ISERROR('Model inputs'!V186=1),'Model inputs'!V186=1,IF('Model inputs'!V186="","",'Model inputs'!V186=1))),IF('Model inputs'!AJ72="","",'Model inputs'!AJ72),IF('Model inputs'!U12="","",'Model inputs'!U12)))+'Model inputs'!V360</f>
        <v>810268.1879082002</v>
      </c>
      <c r="W12" s="9">
        <f>IF(IF(IF(IF(ISERROR('Model inputs'!W186=1),'Model inputs'!W186=1,IF('Model inputs'!W186="","",'Model inputs'!W186=1))="",FALSE,IF(ISERROR('Model inputs'!W186=1),'Model inputs'!W186=1,IF('Model inputs'!W186="","",'Model inputs'!W186=1))),IF('Model inputs'!AJ72="","",'Model inputs'!AJ72),IF('Model inputs'!V12="","",'Model inputs'!V12))="",0,IF(IF(IF(ISERROR('Model inputs'!W186=1),'Model inputs'!W186=1,IF('Model inputs'!W186="","",'Model inputs'!W186=1))="",FALSE,IF(ISERROR('Model inputs'!W186=1),'Model inputs'!W186=1,IF('Model inputs'!W186="","",'Model inputs'!W186=1))),IF('Model inputs'!AJ72="","",'Model inputs'!AJ72),IF('Model inputs'!V12="","",'Model inputs'!V12)))+'Model inputs'!W360</f>
        <v>1445943.518526722</v>
      </c>
      <c r="X12" s="9">
        <f>IF(IF(IF(IF(ISERROR('Model inputs'!X186=1),'Model inputs'!X186=1,IF('Model inputs'!X186="","",'Model inputs'!X186=1))="",FALSE,IF(ISERROR('Model inputs'!X186=1),'Model inputs'!X186=1,IF('Model inputs'!X186="","",'Model inputs'!X186=1))),IF('Model inputs'!AJ72="","",'Model inputs'!AJ72),IF('Model inputs'!W12="","",'Model inputs'!W12))="",0,IF(IF(IF(ISERROR('Model inputs'!X186=1),'Model inputs'!X186=1,IF('Model inputs'!X186="","",'Model inputs'!X186=1))="",FALSE,IF(ISERROR('Model inputs'!X186=1),'Model inputs'!X186=1,IF('Model inputs'!X186="","",'Model inputs'!X186=1))),IF('Model inputs'!AJ72="","",'Model inputs'!AJ72),IF('Model inputs'!W12="","",'Model inputs'!W12)))+'Model inputs'!X360</f>
        <v>1219982.023738022</v>
      </c>
      <c r="Y12" s="9">
        <f>IF(IF(IF(IF(ISERROR('Model inputs'!Y186=1),'Model inputs'!Y186=1,IF('Model inputs'!Y186="","",'Model inputs'!Y186=1))="",FALSE,IF(ISERROR('Model inputs'!Y186=1),'Model inputs'!Y186=1,IF('Model inputs'!Y186="","",'Model inputs'!Y186=1))),IF('Model inputs'!AJ72="","",'Model inputs'!AJ72),IF('Model inputs'!X12="","",'Model inputs'!X12))="",0,IF(IF(IF(ISERROR('Model inputs'!Y186=1),'Model inputs'!Y186=1,IF('Model inputs'!Y186="","",'Model inputs'!Y186=1))="",FALSE,IF(ISERROR('Model inputs'!Y186=1),'Model inputs'!Y186=1,IF('Model inputs'!Y186="","",'Model inputs'!Y186=1))),IF('Model inputs'!AJ72="","",'Model inputs'!AJ72),IF('Model inputs'!X12="","",'Model inputs'!X12)))+'Model inputs'!Y360</f>
        <v>1015138.1797310169</v>
      </c>
      <c r="Z12" s="9">
        <f>IF(IF(IF(IF(ISERROR('Model inputs'!Z186=1),'Model inputs'!Z186=1,IF('Model inputs'!Z186="","",'Model inputs'!Z186=1))="",FALSE,IF(ISERROR('Model inputs'!Z186=1),'Model inputs'!Z186=1,IF('Model inputs'!Z186="","",'Model inputs'!Z186=1))),IF('Model inputs'!AJ72="","",'Model inputs'!AJ72),IF('Model inputs'!Y12="","",'Model inputs'!Y12))="",0,IF(IF(IF(ISERROR('Model inputs'!Z186=1),'Model inputs'!Z186=1,IF('Model inputs'!Z186="","",'Model inputs'!Z186=1))="",FALSE,IF(ISERROR('Model inputs'!Z186=1),'Model inputs'!Z186=1,IF('Model inputs'!Z186="","",'Model inputs'!Z186=1))),IF('Model inputs'!AJ72="","",'Model inputs'!AJ72),IF('Model inputs'!Y12="","",'Model inputs'!Y12)))+'Model inputs'!Z360</f>
        <v>1216225.4674562942</v>
      </c>
      <c r="AA12" s="9">
        <f>IF(IF(IF(IF(ISERROR('Model inputs'!AA186=1),'Model inputs'!AA186=1,IF('Model inputs'!AA186="","",'Model inputs'!AA186=1))="",FALSE,IF(ISERROR('Model inputs'!AA186=1),'Model inputs'!AA186=1,IF('Model inputs'!AA186="","",'Model inputs'!AA186=1))),IF('Model inputs'!AJ72="","",'Model inputs'!AJ72),IF('Model inputs'!Z12="","",'Model inputs'!Z12))="",0,IF(IF(IF(ISERROR('Model inputs'!AA186=1),'Model inputs'!AA186=1,IF('Model inputs'!AA186="","",'Model inputs'!AA186=1))="",FALSE,IF(ISERROR('Model inputs'!AA186=1),'Model inputs'!AA186=1,IF('Model inputs'!AA186="","",'Model inputs'!AA186=1))),IF('Model inputs'!AJ72="","",'Model inputs'!AJ72),IF('Model inputs'!Z12="","",'Model inputs'!Z12)))+'Model inputs'!AA360</f>
        <v>1055240.8483403632</v>
      </c>
      <c r="AB12" s="9">
        <f>IF(IF(IF(IF(ISERROR('Model inputs'!AB186=1),'Model inputs'!AB186=1,IF('Model inputs'!AB186="","",'Model inputs'!AB186=1))="",FALSE,IF(ISERROR('Model inputs'!AB186=1),'Model inputs'!AB186=1,IF('Model inputs'!AB186="","",'Model inputs'!AB186=1))),IF('Model inputs'!AJ72="","",'Model inputs'!AJ72),IF('Model inputs'!AA12="","",'Model inputs'!AA12))="",0,IF(IF(IF(ISERROR('Model inputs'!AB186=1),'Model inputs'!AB186=1,IF('Model inputs'!AB186="","",'Model inputs'!AB186=1))="",FALSE,IF(ISERROR('Model inputs'!AB186=1),'Model inputs'!AB186=1,IF('Model inputs'!AB186="","",'Model inputs'!AB186=1))),IF('Model inputs'!AJ72="","",'Model inputs'!AJ72),IF('Model inputs'!AA12="","",'Model inputs'!AA12)))+'Model inputs'!AB360</f>
        <v>926373.5363570427</v>
      </c>
      <c r="AC12" s="9">
        <f>IF(IF(IF(IF(ISERROR('Model inputs'!AC186=1),'Model inputs'!AC186=1,IF('Model inputs'!AC186="","",'Model inputs'!AC186=1))="",FALSE,IF(ISERROR('Model inputs'!AC186=1),'Model inputs'!AC186=1,IF('Model inputs'!AC186="","",'Model inputs'!AC186=1))),IF('Model inputs'!AJ72="","",'Model inputs'!AJ72),IF('Model inputs'!AB12="","",'Model inputs'!AB12))="",0,IF(IF(IF(ISERROR('Model inputs'!AC186=1),'Model inputs'!AC186=1,IF('Model inputs'!AC186="","",'Model inputs'!AC186=1))="",FALSE,IF(ISERROR('Model inputs'!AC186=1),'Model inputs'!AC186=1,IF('Model inputs'!AC186="","",'Model inputs'!AC186=1))),IF('Model inputs'!AJ72="","",'Model inputs'!AJ72),IF('Model inputs'!AB12="","",'Model inputs'!AB12)))+'Model inputs'!AC360</f>
        <v>2436074.4609095575</v>
      </c>
      <c r="AD12" s="9">
        <f>IF(IF(IF(IF(ISERROR('Model inputs'!AD186=1),'Model inputs'!AD186=1,IF('Model inputs'!AD186="","",'Model inputs'!AD186=1))="",FALSE,IF(ISERROR('Model inputs'!AD186=1),'Model inputs'!AD186=1,IF('Model inputs'!AD186="","",'Model inputs'!AD186=1))),IF('Model inputs'!AJ72="","",'Model inputs'!AJ72),IF('Model inputs'!AC12="","",'Model inputs'!AC12))="",0,IF(IF(IF(ISERROR('Model inputs'!AD186=1),'Model inputs'!AD186=1,IF('Model inputs'!AD186="","",'Model inputs'!AD186=1))="",FALSE,IF(ISERROR('Model inputs'!AD186=1),'Model inputs'!AD186=1,IF('Model inputs'!AD186="","",'Model inputs'!AD186=1))),IF('Model inputs'!AJ72="","",'Model inputs'!AJ72),IF('Model inputs'!AC12="","",'Model inputs'!AC12)))+'Model inputs'!AD360</f>
        <v>2373250.5241449494</v>
      </c>
      <c r="AE12" s="9">
        <f>IF(IF(IF(IF(ISERROR('Model inputs'!AE186=1),'Model inputs'!AE186=1,IF('Model inputs'!AE186="","",'Model inputs'!AE186=1))="",FALSE,IF(ISERROR('Model inputs'!AE186=1),'Model inputs'!AE186=1,IF('Model inputs'!AE186="","",'Model inputs'!AE186=1))),IF('Model inputs'!AJ72="","",'Model inputs'!AJ72),IF('Model inputs'!AD12="","",'Model inputs'!AD12))="",0,IF(IF(IF(ISERROR('Model inputs'!AE186=1),'Model inputs'!AE186=1,IF('Model inputs'!AE186="","",'Model inputs'!AE186=1))="",FALSE,IF(ISERROR('Model inputs'!AE186=1),'Model inputs'!AE186=1,IF('Model inputs'!AE186="","",'Model inputs'!AE186=1))),IF('Model inputs'!AJ72="","",'Model inputs'!AJ72),IF('Model inputs'!AD12="","",'Model inputs'!AD12)))+'Model inputs'!AE360</f>
        <v>2359272.99686565</v>
      </c>
      <c r="AF12" s="9">
        <f>IF(IF(IF(IF(ISERROR('Model inputs'!AF186=1),'Model inputs'!AF186=1,IF('Model inputs'!AF186="","",'Model inputs'!AF186=1))="",FALSE,IF(ISERROR('Model inputs'!AF186=1),'Model inputs'!AF186=1,IF('Model inputs'!AF186="","",'Model inputs'!AF186=1))),IF('Model inputs'!AJ72="","",'Model inputs'!AJ72),IF('Model inputs'!AE12="","",'Model inputs'!AE12))="",0,IF(IF(IF(ISERROR('Model inputs'!AF186=1),'Model inputs'!AF186=1,IF('Model inputs'!AF186="","",'Model inputs'!AF186=1))="",FALSE,IF(ISERROR('Model inputs'!AF186=1),'Model inputs'!AF186=1,IF('Model inputs'!AF186="","",'Model inputs'!AF186=1))),IF('Model inputs'!AJ72="","",'Model inputs'!AJ72),IF('Model inputs'!AE12="","",'Model inputs'!AE12)))+'Model inputs'!AF360</f>
        <v>3763114.673827789</v>
      </c>
      <c r="AG12" s="9">
        <f>IF(IF(IF(IF(ISERROR('Model inputs'!AG186=1),'Model inputs'!AG186=1,IF('Model inputs'!AG186="","",'Model inputs'!AG186=1))="",FALSE,IF(ISERROR('Model inputs'!AG186=1),'Model inputs'!AG186=1,IF('Model inputs'!AG186="","",'Model inputs'!AG186=1))),IF('Model inputs'!AJ72="","",'Model inputs'!AJ72),IF('Model inputs'!AF12="","",'Model inputs'!AF12))="",0,IF(IF(IF(ISERROR('Model inputs'!AG186=1),'Model inputs'!AG186=1,IF('Model inputs'!AG186="","",'Model inputs'!AG186=1))="",FALSE,IF(ISERROR('Model inputs'!AG186=1),'Model inputs'!AG186=1,IF('Model inputs'!AG186="","",'Model inputs'!AG186=1))),IF('Model inputs'!AJ72="","",'Model inputs'!AJ72),IF('Model inputs'!AF12="","",'Model inputs'!AF12)))+'Model inputs'!AG360</f>
        <v>3861555.7273342484</v>
      </c>
      <c r="AH12" s="9">
        <f>IF(IF(IF(IF(ISERROR('Model inputs'!AH186=1),'Model inputs'!AH186=1,IF('Model inputs'!AH186="","",'Model inputs'!AH186=1))="",FALSE,IF(ISERROR('Model inputs'!AH186=1),'Model inputs'!AH186=1,IF('Model inputs'!AH186="","",'Model inputs'!AH186=1))),IF('Model inputs'!AJ72="","",'Model inputs'!AJ72),IF('Model inputs'!AG12="","",'Model inputs'!AG12))="",0,IF(IF(IF(ISERROR('Model inputs'!AH186=1),'Model inputs'!AH186=1,IF('Model inputs'!AH186="","",'Model inputs'!AH186=1))="",FALSE,IF(ISERROR('Model inputs'!AH186=1),'Model inputs'!AH186=1,IF('Model inputs'!AH186="","",'Model inputs'!AH186=1))),IF('Model inputs'!AJ72="","",'Model inputs'!AJ72),IF('Model inputs'!AG12="","",'Model inputs'!AG12)))+'Model inputs'!AH360</f>
        <v>4415931.897200011</v>
      </c>
      <c r="AI12" s="9">
        <f>IF(IF(IF(IF(ISERROR('Model inputs'!AI186=1),'Model inputs'!AI186=1,IF('Model inputs'!AI186="","",'Model inputs'!AI186=1))="",FALSE,IF(ISERROR('Model inputs'!AI186=1),'Model inputs'!AI186=1,IF('Model inputs'!AI186="","",'Model inputs'!AI186=1))),IF('Model inputs'!AJ72="","",'Model inputs'!AJ72),IF('Model inputs'!AH12="","",'Model inputs'!AH12))="",0,IF(IF(IF(ISERROR('Model inputs'!AI186=1),'Model inputs'!AI186=1,IF('Model inputs'!AI186="","",'Model inputs'!AI186=1))="",FALSE,IF(ISERROR('Model inputs'!AI186=1),'Model inputs'!AI186=1,IF('Model inputs'!AI186="","",'Model inputs'!AI186=1))),IF('Model inputs'!AJ72="","",'Model inputs'!AJ72),IF('Model inputs'!AH12="","",'Model inputs'!AH12)))+'Model inputs'!AI360</f>
        <v>6757374.07587897</v>
      </c>
    </row>
    <row r="13">
      <c r="A13" t="inlineStr" s="13">
        <is>
          <t xml:space="preserve">Haq Ending cash · Growth</t>
        </is>
      </c>
      <c r="B13" s="9">
        <f>IF(IF(IF(IF(ISERROR('Model inputs'!B187=1),'Model inputs'!B187=1,IF('Model inputs'!B187="","",'Model inputs'!B187=1))="",FALSE,IF(ISERROR('Model inputs'!B187=1),'Model inputs'!B187=1,IF('Model inputs'!B187="","",'Model inputs'!B187=1))),IF('Model inputs'!AJ128="","",'Model inputs'!AJ128),"")="",0,IF(IF(IF(ISERROR('Model inputs'!B187=1),'Model inputs'!B187=1,IF('Model inputs'!B187="","",'Model inputs'!B187=1))="",FALSE,IF(ISERROR('Model inputs'!B187=1),'Model inputs'!B187=1,IF('Model inputs'!B187="","",'Model inputs'!B187=1))),IF('Model inputs'!AJ128="","",'Model inputs'!AJ128),""))+'Model inputs'!B361</f>
        <v>-75000</v>
      </c>
      <c r="C13" s="9">
        <f>IF(IF(IF(IF(ISERROR('Model inputs'!C187=1),'Model inputs'!C187=1,IF('Model inputs'!C187="","",'Model inputs'!C187=1))="",FALSE,IF(ISERROR('Model inputs'!C187=1),'Model inputs'!C187=1,IF('Model inputs'!C187="","",'Model inputs'!C187=1))),IF('Model inputs'!AJ128="","",'Model inputs'!AJ128),IF('Model inputs'!B13="","",'Model inputs'!B13))="",0,IF(IF(IF(ISERROR('Model inputs'!C187=1),'Model inputs'!C187=1,IF('Model inputs'!C187="","",'Model inputs'!C187=1))="",FALSE,IF(ISERROR('Model inputs'!C187=1),'Model inputs'!C187=1,IF('Model inputs'!C187="","",'Model inputs'!C187=1))),IF('Model inputs'!AJ128="","",'Model inputs'!AJ128),IF('Model inputs'!B13="","",'Model inputs'!B13)))+'Model inputs'!C361</f>
        <v>-150000</v>
      </c>
      <c r="D13" s="9">
        <f>IF(IF(IF(IF(ISERROR('Model inputs'!D187=1),'Model inputs'!D187=1,IF('Model inputs'!D187="","",'Model inputs'!D187=1))="",FALSE,IF(ISERROR('Model inputs'!D187=1),'Model inputs'!D187=1,IF('Model inputs'!D187="","",'Model inputs'!D187=1))),IF('Model inputs'!AJ128="","",'Model inputs'!AJ128),IF('Model inputs'!C13="","",'Model inputs'!C13))="",0,IF(IF(IF(ISERROR('Model inputs'!D187=1),'Model inputs'!D187=1,IF('Model inputs'!D187="","",'Model inputs'!D187=1))="",FALSE,IF(ISERROR('Model inputs'!D187=1),'Model inputs'!D187=1,IF('Model inputs'!D187="","",'Model inputs'!D187=1))),IF('Model inputs'!AJ128="","",'Model inputs'!AJ128),IF('Model inputs'!C13="","",'Model inputs'!C13)))+'Model inputs'!D361</f>
        <v>-225000</v>
      </c>
      <c r="E13" s="9">
        <f>IF(IF(IF(IF(ISERROR('Model inputs'!E187=1),'Model inputs'!E187=1,IF('Model inputs'!E187="","",'Model inputs'!E187=1))="",FALSE,IF(ISERROR('Model inputs'!E187=1),'Model inputs'!E187=1,IF('Model inputs'!E187="","",'Model inputs'!E187=1))),IF('Model inputs'!AJ128="","",'Model inputs'!AJ128),IF('Model inputs'!D13="","",'Model inputs'!D13))="",0,IF(IF(IF(ISERROR('Model inputs'!E187=1),'Model inputs'!E187=1,IF('Model inputs'!E187="","",'Model inputs'!E187=1))="",FALSE,IF(ISERROR('Model inputs'!E187=1),'Model inputs'!E187=1,IF('Model inputs'!E187="","",'Model inputs'!E187=1))),IF('Model inputs'!AJ128="","",'Model inputs'!AJ128),IF('Model inputs'!D13="","",'Model inputs'!D13)))+'Model inputs'!E361</f>
        <v>-300000</v>
      </c>
      <c r="F13" s="9">
        <f>IF(IF(IF(IF(ISERROR('Model inputs'!F187=1),'Model inputs'!F187=1,IF('Model inputs'!F187="","",'Model inputs'!F187=1))="",FALSE,IF(ISERROR('Model inputs'!F187=1),'Model inputs'!F187=1,IF('Model inputs'!F187="","",'Model inputs'!F187=1))),IF('Model inputs'!AJ128="","",'Model inputs'!AJ128),IF('Model inputs'!E13="","",'Model inputs'!E13))="",0,IF(IF(IF(ISERROR('Model inputs'!F187=1),'Model inputs'!F187=1,IF('Model inputs'!F187="","",'Model inputs'!F187=1))="",FALSE,IF(ISERROR('Model inputs'!F187=1),'Model inputs'!F187=1,IF('Model inputs'!F187="","",'Model inputs'!F187=1))),IF('Model inputs'!AJ128="","",'Model inputs'!AJ128),IF('Model inputs'!E13="","",'Model inputs'!E13)))+'Model inputs'!F361</f>
        <v>-375000</v>
      </c>
      <c r="G13" s="9">
        <f>IF(IF(IF(IF(ISERROR('Model inputs'!G187=1),'Model inputs'!G187=1,IF('Model inputs'!G187="","",'Model inputs'!G187=1))="",FALSE,IF(ISERROR('Model inputs'!G187=1),'Model inputs'!G187=1,IF('Model inputs'!G187="","",'Model inputs'!G187=1))),IF('Model inputs'!AJ128="","",'Model inputs'!AJ128),IF('Model inputs'!F13="","",'Model inputs'!F13))="",0,IF(IF(IF(ISERROR('Model inputs'!G187=1),'Model inputs'!G187=1,IF('Model inputs'!G187="","",'Model inputs'!G187=1))="",FALSE,IF(ISERROR('Model inputs'!G187=1),'Model inputs'!G187=1,IF('Model inputs'!G187="","",'Model inputs'!G187=1))),IF('Model inputs'!AJ128="","",'Model inputs'!AJ128),IF('Model inputs'!F13="","",'Model inputs'!F13)))+'Model inputs'!G361</f>
        <v>-450000</v>
      </c>
      <c r="H13" s="9">
        <f>IF(IF(IF(IF(ISERROR('Model inputs'!H187=1),'Model inputs'!H187=1,IF('Model inputs'!H187="","",'Model inputs'!H187=1))="",FALSE,IF(ISERROR('Model inputs'!H187=1),'Model inputs'!H187=1,IF('Model inputs'!H187="","",'Model inputs'!H187=1))),IF('Model inputs'!AJ128="","",'Model inputs'!AJ128),IF('Model inputs'!G13="","",'Model inputs'!G13))="",0,IF(IF(IF(ISERROR('Model inputs'!H187=1),'Model inputs'!H187=1,IF('Model inputs'!H187="","",'Model inputs'!H187=1))="",FALSE,IF(ISERROR('Model inputs'!H187=1),'Model inputs'!H187=1,IF('Model inputs'!H187="","",'Model inputs'!H187=1))),IF('Model inputs'!AJ128="","",'Model inputs'!AJ128),IF('Model inputs'!G13="","",'Model inputs'!G13)))+'Model inputs'!H361</f>
        <v>-525000</v>
      </c>
      <c r="I13" s="9">
        <f>IF(IF(IF(IF(ISERROR('Model inputs'!I187=1),'Model inputs'!I187=1,IF('Model inputs'!I187="","",'Model inputs'!I187=1))="",FALSE,IF(ISERROR('Model inputs'!I187=1),'Model inputs'!I187=1,IF('Model inputs'!I187="","",'Model inputs'!I187=1))),IF('Model inputs'!AJ128="","",'Model inputs'!AJ128),IF('Model inputs'!H13="","",'Model inputs'!H13))="",0,IF(IF(IF(ISERROR('Model inputs'!I187=1),'Model inputs'!I187=1,IF('Model inputs'!I187="","",'Model inputs'!I187=1))="",FALSE,IF(ISERROR('Model inputs'!I187=1),'Model inputs'!I187=1,IF('Model inputs'!I187="","",'Model inputs'!I187=1))),IF('Model inputs'!AJ128="","",'Model inputs'!AJ128),IF('Model inputs'!H13="","",'Model inputs'!H13)))+'Model inputs'!I361</f>
        <v>-600000</v>
      </c>
      <c r="J13" s="9">
        <f>IF(IF(IF(IF(ISERROR('Model inputs'!J187=1),'Model inputs'!J187=1,IF('Model inputs'!J187="","",'Model inputs'!J187=1))="",FALSE,IF(ISERROR('Model inputs'!J187=1),'Model inputs'!J187=1,IF('Model inputs'!J187="","",'Model inputs'!J187=1))),IF('Model inputs'!AJ128="","",'Model inputs'!AJ128),IF('Model inputs'!I13="","",'Model inputs'!I13))="",0,IF(IF(IF(ISERROR('Model inputs'!J187=1),'Model inputs'!J187=1,IF('Model inputs'!J187="","",'Model inputs'!J187=1))="",FALSE,IF(ISERROR('Model inputs'!J187=1),'Model inputs'!J187=1,IF('Model inputs'!J187="","",'Model inputs'!J187=1))),IF('Model inputs'!AJ128="","",'Model inputs'!AJ128),IF('Model inputs'!I13="","",'Model inputs'!I13)))+'Model inputs'!J361</f>
        <v>-675000</v>
      </c>
      <c r="K13" s="9">
        <f>IF(IF(IF(IF(ISERROR('Model inputs'!K187=1),'Model inputs'!K187=1,IF('Model inputs'!K187="","",'Model inputs'!K187=1))="",FALSE,IF(ISERROR('Model inputs'!K187=1),'Model inputs'!K187=1,IF('Model inputs'!K187="","",'Model inputs'!K187=1))),IF('Model inputs'!AJ128="","",'Model inputs'!AJ128),IF('Model inputs'!J13="","",'Model inputs'!J13))="",0,IF(IF(IF(ISERROR('Model inputs'!K187=1),'Model inputs'!K187=1,IF('Model inputs'!K187="","",'Model inputs'!K187=1))="",FALSE,IF(ISERROR('Model inputs'!K187=1),'Model inputs'!K187=1,IF('Model inputs'!K187="","",'Model inputs'!K187=1))),IF('Model inputs'!AJ128="","",'Model inputs'!AJ128),IF('Model inputs'!J13="","",'Model inputs'!J13)))+'Model inputs'!K361</f>
        <v>-750000</v>
      </c>
      <c r="L13" s="9">
        <f>IF(IF(IF(IF(ISERROR('Model inputs'!L187=1),'Model inputs'!L187=1,IF('Model inputs'!L187="","",'Model inputs'!L187=1))="",FALSE,IF(ISERROR('Model inputs'!L187=1),'Model inputs'!L187=1,IF('Model inputs'!L187="","",'Model inputs'!L187=1))),IF('Model inputs'!AJ128="","",'Model inputs'!AJ128),IF('Model inputs'!K13="","",'Model inputs'!K13))="",0,IF(IF(IF(ISERROR('Model inputs'!L187=1),'Model inputs'!L187=1,IF('Model inputs'!L187="","",'Model inputs'!L187=1))="",FALSE,IF(ISERROR('Model inputs'!L187=1),'Model inputs'!L187=1,IF('Model inputs'!L187="","",'Model inputs'!L187=1))),IF('Model inputs'!AJ128="","",'Model inputs'!AJ128),IF('Model inputs'!K13="","",'Model inputs'!K13)))+'Model inputs'!L361</f>
        <v>2275000</v>
      </c>
      <c r="M13" s="9">
        <f>IF(IF(IF(IF(ISERROR('Model inputs'!M187=1),'Model inputs'!M187=1,IF('Model inputs'!M187="","",'Model inputs'!M187=1))="",FALSE,IF(ISERROR('Model inputs'!M187=1),'Model inputs'!M187=1,IF('Model inputs'!M187="","",'Model inputs'!M187=1))),IF('Model inputs'!AJ128="","",'Model inputs'!AJ128),IF('Model inputs'!L13="","",'Model inputs'!L13))="",0,IF(IF(IF(ISERROR('Model inputs'!M187=1),'Model inputs'!M187=1,IF('Model inputs'!M187="","",'Model inputs'!M187=1))="",FALSE,IF(ISERROR('Model inputs'!M187=1),'Model inputs'!M187=1,IF('Model inputs'!M187="","",'Model inputs'!M187=1))),IF('Model inputs'!AJ128="","",'Model inputs'!AJ128),IF('Model inputs'!L13="","",'Model inputs'!L13)))+'Model inputs'!M361</f>
        <v>2050000</v>
      </c>
      <c r="N13" s="9">
        <f>IF(IF(IF(IF(ISERROR('Model inputs'!N187=1),'Model inputs'!N187=1,IF('Model inputs'!N187="","",'Model inputs'!N187=1))="",FALSE,IF(ISERROR('Model inputs'!N187=1),'Model inputs'!N187=1,IF('Model inputs'!N187="","",'Model inputs'!N187=1))),IF('Model inputs'!AJ128="","",'Model inputs'!AJ128),IF('Model inputs'!M13="","",'Model inputs'!M13))="",0,IF(IF(IF(ISERROR('Model inputs'!N187=1),'Model inputs'!N187=1,IF('Model inputs'!N187="","",'Model inputs'!N187=1))="",FALSE,IF(ISERROR('Model inputs'!N187=1),'Model inputs'!N187=1,IF('Model inputs'!N187="","",'Model inputs'!N187=1))),IF('Model inputs'!AJ128="","",'Model inputs'!AJ128),IF('Model inputs'!M13="","",'Model inputs'!M13)))+'Model inputs'!N361</f>
        <v>1825000</v>
      </c>
      <c r="O13" s="9">
        <f>IF(IF(IF(IF(ISERROR('Model inputs'!O187=1),'Model inputs'!O187=1,IF('Model inputs'!O187="","",'Model inputs'!O187=1))="",FALSE,IF(ISERROR('Model inputs'!O187=1),'Model inputs'!O187=1,IF('Model inputs'!O187="","",'Model inputs'!O187=1))),IF('Model inputs'!AJ128="","",'Model inputs'!AJ128),IF('Model inputs'!N13="","",'Model inputs'!N13))="",0,IF(IF(IF(ISERROR('Model inputs'!O187=1),'Model inputs'!O187=1,IF('Model inputs'!O187="","",'Model inputs'!O187=1))="",FALSE,IF(ISERROR('Model inputs'!O187=1),'Model inputs'!O187=1,IF('Model inputs'!O187="","",'Model inputs'!O187=1))),IF('Model inputs'!AJ128="","",'Model inputs'!AJ128),IF('Model inputs'!N13="","",'Model inputs'!N13)))+'Model inputs'!O361</f>
        <v>1583411</v>
      </c>
      <c r="P13" s="9">
        <f>IF(IF(IF(IF(ISERROR('Model inputs'!P187=1),'Model inputs'!P187=1,IF('Model inputs'!P187="","",'Model inputs'!P187=1))="",FALSE,IF(ISERROR('Model inputs'!P187=1),'Model inputs'!P187=1,IF('Model inputs'!P187="","",'Model inputs'!P187=1))),IF('Model inputs'!AJ128="","",'Model inputs'!AJ128),IF('Model inputs'!O13="","",'Model inputs'!O13))="",0,IF(IF(IF(ISERROR('Model inputs'!P187=1),'Model inputs'!P187=1,IF('Model inputs'!P187="","",'Model inputs'!P187=1))="",FALSE,IF(ISERROR('Model inputs'!P187=1),'Model inputs'!P187=1,IF('Model inputs'!P187="","",'Model inputs'!P187=1))),IF('Model inputs'!AJ128="","",'Model inputs'!AJ128),IF('Model inputs'!O13="","",'Model inputs'!O13)))+'Model inputs'!P361</f>
        <v>1400842.97</v>
      </c>
      <c r="Q13" s="9">
        <f>IF(IF(IF(IF(ISERROR('Model inputs'!Q187=1),'Model inputs'!Q187=1,IF('Model inputs'!Q187="","",'Model inputs'!Q187=1))="",FALSE,IF(ISERROR('Model inputs'!Q187=1),'Model inputs'!Q187=1,IF('Model inputs'!Q187="","",'Model inputs'!Q187=1))),IF('Model inputs'!AJ128="","",'Model inputs'!AJ128),IF('Model inputs'!P13="","",'Model inputs'!P13))="",0,IF(IF(IF(ISERROR('Model inputs'!Q187=1),'Model inputs'!Q187=1,IF('Model inputs'!Q187="","",'Model inputs'!Q187=1))="",FALSE,IF(ISERROR('Model inputs'!Q187=1),'Model inputs'!Q187=1,IF('Model inputs'!Q187="","",'Model inputs'!Q187=1))),IF('Model inputs'!AJ128="","",'Model inputs'!AJ128),IF('Model inputs'!P13="","",'Model inputs'!P13)))+'Model inputs'!Q361</f>
        <v>1971732.8385666665</v>
      </c>
      <c r="R13" s="9">
        <f>IF(IF(IF(IF(ISERROR('Model inputs'!R187=1),'Model inputs'!R187=1,IF('Model inputs'!R187="","",'Model inputs'!R187=1))="",FALSE,IF(ISERROR('Model inputs'!R187=1),'Model inputs'!R187=1,IF('Model inputs'!R187="","",'Model inputs'!R187=1))),IF('Model inputs'!AJ128="","",'Model inputs'!AJ128),IF('Model inputs'!Q13="","",'Model inputs'!Q13))="",0,IF(IF(IF(ISERROR('Model inputs'!R187=1),'Model inputs'!R187=1,IF('Model inputs'!R187="","",'Model inputs'!R187=1))="",FALSE,IF(ISERROR('Model inputs'!R187=1),'Model inputs'!R187=1,IF('Model inputs'!R187="","",'Model inputs'!R187=1))),IF('Model inputs'!AJ128="","",'Model inputs'!AJ128),IF('Model inputs'!Q13="","",'Model inputs'!Q13)))+'Model inputs'!R361</f>
        <v>1687624.221646333</v>
      </c>
      <c r="S13" s="9">
        <f>IF(IF(IF(IF(ISERROR('Model inputs'!S187=1),'Model inputs'!S187=1,IF('Model inputs'!S187="","",'Model inputs'!S187=1))="",FALSE,IF(ISERROR('Model inputs'!S187=1),'Model inputs'!S187=1,IF('Model inputs'!S187="","",'Model inputs'!S187=1))),IF('Model inputs'!AJ128="","",'Model inputs'!AJ128),IF('Model inputs'!R13="","",'Model inputs'!R13))="",0,IF(IF(IF(ISERROR('Model inputs'!S187=1),'Model inputs'!S187=1,IF('Model inputs'!S187="","",'Model inputs'!S187=1))="",FALSE,IF(ISERROR('Model inputs'!S187=1),'Model inputs'!S187=1,IF('Model inputs'!S187="","",'Model inputs'!S187=1))),IF('Model inputs'!AJ128="","",'Model inputs'!AJ128),IF('Model inputs'!R13="","",'Model inputs'!R13)))+'Model inputs'!S361</f>
        <v>1423816.0381575099</v>
      </c>
      <c r="T13" s="9">
        <f>IF(IF(IF(IF(ISERROR('Model inputs'!T187=1),'Model inputs'!T187=1,IF('Model inputs'!T187="","",'Model inputs'!T187=1))="",FALSE,IF(ISERROR('Model inputs'!T187=1),'Model inputs'!T187=1,IF('Model inputs'!T187="","",'Model inputs'!T187=1))),IF('Model inputs'!AJ128="","",'Model inputs'!AJ128),IF('Model inputs'!S13="","",'Model inputs'!S13))="",0,IF(IF(IF(ISERROR('Model inputs'!T187=1),'Model inputs'!T187=1,IF('Model inputs'!T187="","",'Model inputs'!T187=1))="",FALSE,IF(ISERROR('Model inputs'!T187=1),'Model inputs'!T187=1,IF('Model inputs'!T187="","",'Model inputs'!T187=1))),IF('Model inputs'!AJ128="","",'Model inputs'!AJ128),IF('Model inputs'!S13="","",'Model inputs'!S13)))+'Model inputs'!T361</f>
        <v>2920349.228460037</v>
      </c>
      <c r="U13" s="9">
        <f>IF(IF(IF(IF(ISERROR('Model inputs'!U187=1),'Model inputs'!U187=1,IF('Model inputs'!U187="","",'Model inputs'!U187=1))="",FALSE,IF(ISERROR('Model inputs'!U187=1),'Model inputs'!U187=1,IF('Model inputs'!U187="","",'Model inputs'!U187=1))),IF('Model inputs'!AJ128="","",'Model inputs'!AJ128),IF('Model inputs'!T13="","",'Model inputs'!T13))="",0,IF(IF(IF(ISERROR('Model inputs'!U187=1),'Model inputs'!U187=1,IF('Model inputs'!U187="","",'Model inputs'!U187=1))="",FALSE,IF(ISERROR('Model inputs'!U187=1),'Model inputs'!U187=1,IF('Model inputs'!U187="","",'Model inputs'!U187=1))),IF('Model inputs'!AJ128="","",'Model inputs'!AJ128),IF('Model inputs'!T13="","",'Model inputs'!T13)))+'Model inputs'!U361</f>
        <v>2687023.3801442473</v>
      </c>
      <c r="V13" s="9">
        <f>IF(IF(IF(IF(ISERROR('Model inputs'!V187=1),'Model inputs'!V187=1,IF('Model inputs'!V187="","",'Model inputs'!V187=1))="",FALSE,IF(ISERROR('Model inputs'!V187=1),'Model inputs'!V187=1,IF('Model inputs'!V187="","",'Model inputs'!V187=1))),IF('Model inputs'!AJ128="","",'Model inputs'!AJ128),IF('Model inputs'!U13="","",'Model inputs'!U13))="",0,IF(IF(IF(ISERROR('Model inputs'!V187=1),'Model inputs'!V187=1,IF('Model inputs'!V187="","",'Model inputs'!V187=1))="",FALSE,IF(ISERROR('Model inputs'!V187=1),'Model inputs'!V187=1,IF('Model inputs'!V187="","",'Model inputs'!V187=1))),IF('Model inputs'!AJ128="","",'Model inputs'!AJ128),IF('Model inputs'!U13="","",'Model inputs'!U13)))+'Model inputs'!V361</f>
        <v>2491976.552783194</v>
      </c>
      <c r="W13" s="9">
        <f>IF(IF(IF(IF(ISERROR('Model inputs'!W187=1),'Model inputs'!W187=1,IF('Model inputs'!W187="","",'Model inputs'!W187=1))="",FALSE,IF(ISERROR('Model inputs'!W187=1),'Model inputs'!W187=1,IF('Model inputs'!W187="","",'Model inputs'!W187=1))),IF('Model inputs'!AJ128="","",'Model inputs'!AJ128),IF('Model inputs'!V13="","",'Model inputs'!V13))="",0,IF(IF(IF(ISERROR('Model inputs'!W187=1),'Model inputs'!W187=1,IF('Model inputs'!W187="","",'Model inputs'!W187=1))="",FALSE,IF(ISERROR('Model inputs'!W187=1),'Model inputs'!W187=1,IF('Model inputs'!W187="","",'Model inputs'!W187=1))),IF('Model inputs'!AJ128="","",'Model inputs'!AJ128),IF('Model inputs'!V13="","",'Model inputs'!V13)))+'Model inputs'!W361</f>
        <v>4082152.41536799</v>
      </c>
      <c r="X13" s="9">
        <f>IF(IF(IF(IF(ISERROR('Model inputs'!X187=1),'Model inputs'!X187=1,IF('Model inputs'!X187="","",'Model inputs'!X187=1))="",FALSE,IF(ISERROR('Model inputs'!X187=1),'Model inputs'!X187=1,IF('Model inputs'!X187="","",'Model inputs'!X187=1))),IF('Model inputs'!AJ128="","",'Model inputs'!AJ128),IF('Model inputs'!W13="","",'Model inputs'!W13))="",0,IF(IF(IF(ISERROR('Model inputs'!X187=1),'Model inputs'!X187=1,IF('Model inputs'!X187="","",'Model inputs'!X187=1))="",FALSE,IF(ISERROR('Model inputs'!X187=1),'Model inputs'!X187=1,IF('Model inputs'!X187="","",'Model inputs'!X187=1))),IF('Model inputs'!AJ128="","",'Model inputs'!AJ128),IF('Model inputs'!W13="","",'Model inputs'!W13)))+'Model inputs'!X361</f>
        <v>3974068.5108506805</v>
      </c>
      <c r="Y13" s="9">
        <f>IF(IF(IF(IF(ISERROR('Model inputs'!Y187=1),'Model inputs'!Y187=1,IF('Model inputs'!Y187="","",'Model inputs'!Y187=1))="",FALSE,IF(ISERROR('Model inputs'!Y187=1),'Model inputs'!Y187=1,IF('Model inputs'!Y187="","",'Model inputs'!Y187=1))),IF('Model inputs'!AJ128="","",'Model inputs'!AJ128),IF('Model inputs'!X13="","",'Model inputs'!X13))="",0,IF(IF(IF(ISERROR('Model inputs'!Y187=1),'Model inputs'!Y187=1,IF('Model inputs'!Y187="","",'Model inputs'!Y187=1))="",FALSE,IF(ISERROR('Model inputs'!Y187=1),'Model inputs'!Y187=1,IF('Model inputs'!Y187="","",'Model inputs'!Y187=1))),IF('Model inputs'!AJ128="","",'Model inputs'!AJ128),IF('Model inputs'!X13="","",'Model inputs'!X13)))+'Model inputs'!Y361</f>
        <v>3944394.7021136982</v>
      </c>
      <c r="Z13" s="9">
        <f>IF(IF(IF(IF(ISERROR('Model inputs'!Z187=1),'Model inputs'!Z187=1,IF('Model inputs'!Z187="","",'Model inputs'!Z187=1))="",FALSE,IF(ISERROR('Model inputs'!Z187=1),'Model inputs'!Z187=1,IF('Model inputs'!Z187="","",'Model inputs'!Z187=1))),IF('Model inputs'!AJ128="","",'Model inputs'!AJ128),IF('Model inputs'!Y13="","",'Model inputs'!Y13))="",0,IF(IF(IF(ISERROR('Model inputs'!Z187=1),'Model inputs'!Z187=1,IF('Model inputs'!Z187="","",'Model inputs'!Z187=1))="",FALSE,IF(ISERROR('Model inputs'!Z187=1),'Model inputs'!Z187=1,IF('Model inputs'!Z187="","",'Model inputs'!Z187=1))),IF('Model inputs'!AJ128="","",'Model inputs'!AJ128),IF('Model inputs'!Y13="","",'Model inputs'!Y13)))+'Model inputs'!Z361</f>
        <v>4777593.381684397</v>
      </c>
      <c r="AA13" s="9">
        <f>IF(IF(IF(IF(ISERROR('Model inputs'!AA187=1),'Model inputs'!AA187=1,IF('Model inputs'!AA187="","",'Model inputs'!AA187=1))="",FALSE,IF(ISERROR('Model inputs'!AA187=1),'Model inputs'!AA187=1,IF('Model inputs'!AA187="","",'Model inputs'!AA187=1))),IF('Model inputs'!AJ128="","",'Model inputs'!AJ128),IF('Model inputs'!Z13="","",'Model inputs'!Z13))="",0,IF(IF(IF(ISERROR('Model inputs'!AA187=1),'Model inputs'!AA187=1,IF('Model inputs'!AA187="","",'Model inputs'!AA187=1))="",FALSE,IF(ISERROR('Model inputs'!AA187=1),'Model inputs'!AA187=1,IF('Model inputs'!AA187="","",'Model inputs'!AA187=1))),IF('Model inputs'!AJ128="","",'Model inputs'!AJ128),IF('Model inputs'!Z13="","",'Model inputs'!Z13)))+'Model inputs'!AA361</f>
        <v>4957259.704739185</v>
      </c>
      <c r="AB13" s="9">
        <f>IF(IF(IF(IF(ISERROR('Model inputs'!AB187=1),'Model inputs'!AB187=1,IF('Model inputs'!AB187="","",'Model inputs'!AB187=1))="",FALSE,IF(ISERROR('Model inputs'!AB187=1),'Model inputs'!AB187=1,IF('Model inputs'!AB187="","",'Model inputs'!AB187=1))),IF('Model inputs'!AJ128="","",'Model inputs'!AJ128),IF('Model inputs'!AA13="","",'Model inputs'!AA13))="",0,IF(IF(IF(ISERROR('Model inputs'!AB187=1),'Model inputs'!AB187=1,IF('Model inputs'!AB187="","",'Model inputs'!AB187=1))="",FALSE,IF(ISERROR('Model inputs'!AB187=1),'Model inputs'!AB187=1,IF('Model inputs'!AB187="","",'Model inputs'!AB187=1))),IF('Model inputs'!AJ128="","",'Model inputs'!AJ128),IF('Model inputs'!AA13="","",'Model inputs'!AA13)))+'Model inputs'!AB361</f>
        <v>5297539.935018765</v>
      </c>
      <c r="AC13" s="9">
        <f>IF(IF(IF(IF(ISERROR('Model inputs'!AC187=1),'Model inputs'!AC187=1,IF('Model inputs'!AC187="","",'Model inputs'!AC187=1))="",FALSE,IF(ISERROR('Model inputs'!AC187=1),'Model inputs'!AC187=1,IF('Model inputs'!AC187="","",'Model inputs'!AC187=1))),IF('Model inputs'!AJ128="","",'Model inputs'!AJ128),IF('Model inputs'!AB13="","",'Model inputs'!AB13))="",0,IF(IF(IF(ISERROR('Model inputs'!AC187=1),'Model inputs'!AC187=1,IF('Model inputs'!AC187="","",'Model inputs'!AC187=1))="",FALSE,IF(ISERROR('Model inputs'!AC187=1),'Model inputs'!AC187=1,IF('Model inputs'!AC187="","",'Model inputs'!AC187=1))),IF('Model inputs'!AJ128="","",'Model inputs'!AJ128),IF('Model inputs'!AB13="","",'Model inputs'!AB13)))+'Model inputs'!AC361</f>
        <v>9045066.494140498</v>
      </c>
      <c r="AD13" s="9">
        <f>IF(IF(IF(IF(ISERROR('Model inputs'!AD187=1),'Model inputs'!AD187=1,IF('Model inputs'!AD187="","",'Model inputs'!AD187=1))="",FALSE,IF(ISERROR('Model inputs'!AD187=1),'Model inputs'!AD187=1,IF('Model inputs'!AD187="","",'Model inputs'!AD187=1))),IF('Model inputs'!AJ128="","",'Model inputs'!AJ128),IF('Model inputs'!AC13="","",'Model inputs'!AC13))="",0,IF(IF(IF(ISERROR('Model inputs'!AD187=1),'Model inputs'!AD187=1,IF('Model inputs'!AD187="","",'Model inputs'!AD187=1))="",FALSE,IF(ISERROR('Model inputs'!AD187=1),'Model inputs'!AD187=1,IF('Model inputs'!AD187="","",'Model inputs'!AD187=1))),IF('Model inputs'!AJ128="","",'Model inputs'!AJ128),IF('Model inputs'!AC13="","",'Model inputs'!AC13)))+'Model inputs'!AD361</f>
        <v>9821647.2242251</v>
      </c>
      <c r="AE13" s="9">
        <f>IF(IF(IF(IF(ISERROR('Model inputs'!AE187=1),'Model inputs'!AE187=1,IF('Model inputs'!AE187="","",'Model inputs'!AE187=1))="",FALSE,IF(ISERROR('Model inputs'!AE187=1),'Model inputs'!AE187=1,IF('Model inputs'!AE187="","",'Model inputs'!AE187=1))),IF('Model inputs'!AJ128="","",'Model inputs'!AJ128),IF('Model inputs'!AD13="","",'Model inputs'!AD13))="",0,IF(IF(IF(ISERROR('Model inputs'!AE187=1),'Model inputs'!AE187=1,IF('Model inputs'!AE187="","",'Model inputs'!AE187=1))="",FALSE,IF(ISERROR('Model inputs'!AE187=1),'Model inputs'!AE187=1,IF('Model inputs'!AE187="","",'Model inputs'!AE187=1))),IF('Model inputs'!AJ128="","",'Model inputs'!AJ128),IF('Model inputs'!AD13="","",'Model inputs'!AD13)))+'Model inputs'!AE361</f>
        <v>10927226.751432544</v>
      </c>
      <c r="AF13" s="9">
        <f>IF(IF(IF(IF(ISERROR('Model inputs'!AF187=1),'Model inputs'!AF187=1,IF('Model inputs'!AF187="","",'Model inputs'!AF187=1))="",FALSE,IF(ISERROR('Model inputs'!AF187=1),'Model inputs'!AF187=1,IF('Model inputs'!AF187="","",'Model inputs'!AF187=1))),IF('Model inputs'!AJ128="","",'Model inputs'!AJ128),IF('Model inputs'!AE13="","",'Model inputs'!AE13))="",0,IF(IF(IF(ISERROR('Model inputs'!AF187=1),'Model inputs'!AF187=1,IF('Model inputs'!AF187="","",'Model inputs'!AF187=1))="",FALSE,IF(ISERROR('Model inputs'!AF187=1),'Model inputs'!AF187=1,IF('Model inputs'!AF187="","",'Model inputs'!AF187=1))),IF('Model inputs'!AJ128="","",'Model inputs'!AJ128),IF('Model inputs'!AE13="","",'Model inputs'!AE13)))+'Model inputs'!AF361</f>
        <v>15173926.417652663</v>
      </c>
      <c r="AG13" s="9">
        <f>IF(IF(IF(IF(ISERROR('Model inputs'!AG187=1),'Model inputs'!AG187=1,IF('Model inputs'!AG187="","",'Model inputs'!AG187=1))="",FALSE,IF(ISERROR('Model inputs'!AG187=1),'Model inputs'!AG187=1,IF('Model inputs'!AG187="","",'Model inputs'!AG187=1))),IF('Model inputs'!AJ128="","",'Model inputs'!AJ128),IF('Model inputs'!AF13="","",'Model inputs'!AF13))="",0,IF(IF(IF(ISERROR('Model inputs'!AG187=1),'Model inputs'!AG187=1,IF('Model inputs'!AG187="","",'Model inputs'!AG187=1))="",FALSE,IF(ISERROR('Model inputs'!AG187=1),'Model inputs'!AG187=1,IF('Model inputs'!AG187="","",'Model inputs'!AG187=1))),IF('Model inputs'!AJ128="","",'Model inputs'!AJ128),IF('Model inputs'!AF13="","",'Model inputs'!AF13)))+'Model inputs'!AG361</f>
        <v>17211268.243752215</v>
      </c>
      <c r="AH13" s="9">
        <f>IF(IF(IF(IF(ISERROR('Model inputs'!AH187=1),'Model inputs'!AH187=1,IF('Model inputs'!AH187="","",'Model inputs'!AH187=1))="",FALSE,IF(ISERROR('Model inputs'!AH187=1),'Model inputs'!AH187=1,IF('Model inputs'!AH187="","",'Model inputs'!AH187=1))),IF('Model inputs'!AJ128="","",'Model inputs'!AJ128),IF('Model inputs'!AG13="","",'Model inputs'!AG13))="",0,IF(IF(IF(ISERROR('Model inputs'!AH187=1),'Model inputs'!AH187=1,IF('Model inputs'!AH187="","",'Model inputs'!AH187=1))="",FALSE,IF(ISERROR('Model inputs'!AH187=1),'Model inputs'!AH187=1,IF('Model inputs'!AH187="","",'Model inputs'!AH187=1))),IF('Model inputs'!AJ128="","",'Model inputs'!AJ128),IF('Model inputs'!AG13="","",'Model inputs'!AG13)))+'Model inputs'!AH361</f>
        <v>20685817.279565312</v>
      </c>
      <c r="AI13" s="9">
        <f>IF(IF(IF(IF(ISERROR('Model inputs'!AI187=1),'Model inputs'!AI187=1,IF('Model inputs'!AI187="","",'Model inputs'!AI187=1))="",FALSE,IF(ISERROR('Model inputs'!AI187=1),'Model inputs'!AI187=1,IF('Model inputs'!AI187="","",'Model inputs'!AI187=1))),IF('Model inputs'!AJ128="","",'Model inputs'!AJ128),IF('Model inputs'!AH13="","",'Model inputs'!AH13))="",0,IF(IF(IF(ISERROR('Model inputs'!AI187=1),'Model inputs'!AI187=1,IF('Model inputs'!AI187="","",'Model inputs'!AI187=1))="",FALSE,IF(ISERROR('Model inputs'!AI187=1),'Model inputs'!AI187=1,IF('Model inputs'!AI187="","",'Model inputs'!AI187=1))),IF('Model inputs'!AJ128="","",'Model inputs'!AJ128),IF('Model inputs'!AH13="","",'Model inputs'!AH13)))+'Model inputs'!AI361</f>
        <v>28419505.721714616</v>
      </c>
    </row>
    <row r="14">
      <c r="A14" t="inlineStr" s="13">
        <is>
          <t xml:space="preserve">Haq Ending cash · Conservative</t>
        </is>
      </c>
      <c r="B14" s="9">
        <f>IF(IF(IF(IF(ISERROR('Model inputs'!B188=1),'Model inputs'!B188=1,IF('Model inputs'!B188="","",'Model inputs'!B188=1))="",FALSE,IF(ISERROR('Model inputs'!B188=1),'Model inputs'!B188=1,IF('Model inputs'!B188="","",'Model inputs'!B188=1))),IF('Model inputs'!AJ184="","",'Model inputs'!AJ184),"")="",0,IF(IF(IF(ISERROR('Model inputs'!B188=1),'Model inputs'!B188=1,IF('Model inputs'!B188="","",'Model inputs'!B188=1))="",FALSE,IF(ISERROR('Model inputs'!B188=1),'Model inputs'!B188=1,IF('Model inputs'!B188="","",'Model inputs'!B188=1))),IF('Model inputs'!AJ184="","",'Model inputs'!AJ184),""))+'Model inputs'!B362</f>
        <v>-75000</v>
      </c>
      <c r="C14" s="9">
        <f>IF(IF(IF(IF(ISERROR('Model inputs'!C188=1),'Model inputs'!C188=1,IF('Model inputs'!C188="","",'Model inputs'!C188=1))="",FALSE,IF(ISERROR('Model inputs'!C188=1),'Model inputs'!C188=1,IF('Model inputs'!C188="","",'Model inputs'!C188=1))),IF('Model inputs'!AJ184="","",'Model inputs'!AJ184),IF('Model inputs'!B14="","",'Model inputs'!B14))="",0,IF(IF(IF(ISERROR('Model inputs'!C188=1),'Model inputs'!C188=1,IF('Model inputs'!C188="","",'Model inputs'!C188=1))="",FALSE,IF(ISERROR('Model inputs'!C188=1),'Model inputs'!C188=1,IF('Model inputs'!C188="","",'Model inputs'!C188=1))),IF('Model inputs'!AJ184="","",'Model inputs'!AJ184),IF('Model inputs'!B14="","",'Model inputs'!B14)))+'Model inputs'!C362</f>
        <v>-150000</v>
      </c>
      <c r="D14" s="9">
        <f>IF(IF(IF(IF(ISERROR('Model inputs'!D188=1),'Model inputs'!D188=1,IF('Model inputs'!D188="","",'Model inputs'!D188=1))="",FALSE,IF(ISERROR('Model inputs'!D188=1),'Model inputs'!D188=1,IF('Model inputs'!D188="","",'Model inputs'!D188=1))),IF('Model inputs'!AJ184="","",'Model inputs'!AJ184),IF('Model inputs'!C14="","",'Model inputs'!C14))="",0,IF(IF(IF(ISERROR('Model inputs'!D188=1),'Model inputs'!D188=1,IF('Model inputs'!D188="","",'Model inputs'!D188=1))="",FALSE,IF(ISERROR('Model inputs'!D188=1),'Model inputs'!D188=1,IF('Model inputs'!D188="","",'Model inputs'!D188=1))),IF('Model inputs'!AJ184="","",'Model inputs'!AJ184),IF('Model inputs'!C14="","",'Model inputs'!C14)))+'Model inputs'!D362</f>
        <v>-225000</v>
      </c>
      <c r="E14" s="9">
        <f>IF(IF(IF(IF(ISERROR('Model inputs'!E188=1),'Model inputs'!E188=1,IF('Model inputs'!E188="","",'Model inputs'!E188=1))="",FALSE,IF(ISERROR('Model inputs'!E188=1),'Model inputs'!E188=1,IF('Model inputs'!E188="","",'Model inputs'!E188=1))),IF('Model inputs'!AJ184="","",'Model inputs'!AJ184),IF('Model inputs'!D14="","",'Model inputs'!D14))="",0,IF(IF(IF(ISERROR('Model inputs'!E188=1),'Model inputs'!E188=1,IF('Model inputs'!E188="","",'Model inputs'!E188=1))="",FALSE,IF(ISERROR('Model inputs'!E188=1),'Model inputs'!E188=1,IF('Model inputs'!E188="","",'Model inputs'!E188=1))),IF('Model inputs'!AJ184="","",'Model inputs'!AJ184),IF('Model inputs'!D14="","",'Model inputs'!D14)))+'Model inputs'!E362</f>
        <v>-300000</v>
      </c>
      <c r="F14" s="9">
        <f>IF(IF(IF(IF(ISERROR('Model inputs'!F188=1),'Model inputs'!F188=1,IF('Model inputs'!F188="","",'Model inputs'!F188=1))="",FALSE,IF(ISERROR('Model inputs'!F188=1),'Model inputs'!F188=1,IF('Model inputs'!F188="","",'Model inputs'!F188=1))),IF('Model inputs'!AJ184="","",'Model inputs'!AJ184),IF('Model inputs'!E14="","",'Model inputs'!E14))="",0,IF(IF(IF(ISERROR('Model inputs'!F188=1),'Model inputs'!F188=1,IF('Model inputs'!F188="","",'Model inputs'!F188=1))="",FALSE,IF(ISERROR('Model inputs'!F188=1),'Model inputs'!F188=1,IF('Model inputs'!F188="","",'Model inputs'!F188=1))),IF('Model inputs'!AJ184="","",'Model inputs'!AJ184),IF('Model inputs'!E14="","",'Model inputs'!E14)))+'Model inputs'!F362</f>
        <v>-375000</v>
      </c>
      <c r="G14" s="9">
        <f>IF(IF(IF(IF(ISERROR('Model inputs'!G188=1),'Model inputs'!G188=1,IF('Model inputs'!G188="","",'Model inputs'!G188=1))="",FALSE,IF(ISERROR('Model inputs'!G188=1),'Model inputs'!G188=1,IF('Model inputs'!G188="","",'Model inputs'!G188=1))),IF('Model inputs'!AJ184="","",'Model inputs'!AJ184),IF('Model inputs'!F14="","",'Model inputs'!F14))="",0,IF(IF(IF(ISERROR('Model inputs'!G188=1),'Model inputs'!G188=1,IF('Model inputs'!G188="","",'Model inputs'!G188=1))="",FALSE,IF(ISERROR('Model inputs'!G188=1),'Model inputs'!G188=1,IF('Model inputs'!G188="","",'Model inputs'!G188=1))),IF('Model inputs'!AJ184="","",'Model inputs'!AJ184),IF('Model inputs'!F14="","",'Model inputs'!F14)))+'Model inputs'!G362</f>
        <v>-450000</v>
      </c>
      <c r="H14" s="9">
        <f>IF(IF(IF(IF(ISERROR('Model inputs'!H188=1),'Model inputs'!H188=1,IF('Model inputs'!H188="","",'Model inputs'!H188=1))="",FALSE,IF(ISERROR('Model inputs'!H188=1),'Model inputs'!H188=1,IF('Model inputs'!H188="","",'Model inputs'!H188=1))),IF('Model inputs'!AJ184="","",'Model inputs'!AJ184),IF('Model inputs'!G14="","",'Model inputs'!G14))="",0,IF(IF(IF(ISERROR('Model inputs'!H188=1),'Model inputs'!H188=1,IF('Model inputs'!H188="","",'Model inputs'!H188=1))="",FALSE,IF(ISERROR('Model inputs'!H188=1),'Model inputs'!H188=1,IF('Model inputs'!H188="","",'Model inputs'!H188=1))),IF('Model inputs'!AJ184="","",'Model inputs'!AJ184),IF('Model inputs'!G14="","",'Model inputs'!G14)))+'Model inputs'!H362</f>
        <v>-525000</v>
      </c>
      <c r="I14" s="9">
        <f>IF(IF(IF(IF(ISERROR('Model inputs'!I188=1),'Model inputs'!I188=1,IF('Model inputs'!I188="","",'Model inputs'!I188=1))="",FALSE,IF(ISERROR('Model inputs'!I188=1),'Model inputs'!I188=1,IF('Model inputs'!I188="","",'Model inputs'!I188=1))),IF('Model inputs'!AJ184="","",'Model inputs'!AJ184),IF('Model inputs'!H14="","",'Model inputs'!H14))="",0,IF(IF(IF(ISERROR('Model inputs'!I188=1),'Model inputs'!I188=1,IF('Model inputs'!I188="","",'Model inputs'!I188=1))="",FALSE,IF(ISERROR('Model inputs'!I188=1),'Model inputs'!I188=1,IF('Model inputs'!I188="","",'Model inputs'!I188=1))),IF('Model inputs'!AJ184="","",'Model inputs'!AJ184),IF('Model inputs'!H14="","",'Model inputs'!H14)))+'Model inputs'!I362</f>
        <v>-600000</v>
      </c>
      <c r="J14" s="9">
        <f>IF(IF(IF(IF(ISERROR('Model inputs'!J188=1),'Model inputs'!J188=1,IF('Model inputs'!J188="","",'Model inputs'!J188=1))="",FALSE,IF(ISERROR('Model inputs'!J188=1),'Model inputs'!J188=1,IF('Model inputs'!J188="","",'Model inputs'!J188=1))),IF('Model inputs'!AJ184="","",'Model inputs'!AJ184),IF('Model inputs'!I14="","",'Model inputs'!I14))="",0,IF(IF(IF(ISERROR('Model inputs'!J188=1),'Model inputs'!J188=1,IF('Model inputs'!J188="","",'Model inputs'!J188=1))="",FALSE,IF(ISERROR('Model inputs'!J188=1),'Model inputs'!J188=1,IF('Model inputs'!J188="","",'Model inputs'!J188=1))),IF('Model inputs'!AJ184="","",'Model inputs'!AJ184),IF('Model inputs'!I14="","",'Model inputs'!I14)))+'Model inputs'!J362</f>
        <v>-675000</v>
      </c>
      <c r="K14" s="9">
        <f>IF(IF(IF(IF(ISERROR('Model inputs'!K188=1),'Model inputs'!K188=1,IF('Model inputs'!K188="","",'Model inputs'!K188=1))="",FALSE,IF(ISERROR('Model inputs'!K188=1),'Model inputs'!K188=1,IF('Model inputs'!K188="","",'Model inputs'!K188=1))),IF('Model inputs'!AJ184="","",'Model inputs'!AJ184),IF('Model inputs'!J14="","",'Model inputs'!J14))="",0,IF(IF(IF(ISERROR('Model inputs'!K188=1),'Model inputs'!K188=1,IF('Model inputs'!K188="","",'Model inputs'!K188=1))="",FALSE,IF(ISERROR('Model inputs'!K188=1),'Model inputs'!K188=1,IF('Model inputs'!K188="","",'Model inputs'!K188=1))),IF('Model inputs'!AJ184="","",'Model inputs'!AJ184),IF('Model inputs'!J14="","",'Model inputs'!J14)))+'Model inputs'!K362</f>
        <v>-750000</v>
      </c>
      <c r="L14" s="9">
        <f>IF(IF(IF(IF(ISERROR('Model inputs'!L188=1),'Model inputs'!L188=1,IF('Model inputs'!L188="","",'Model inputs'!L188=1))="",FALSE,IF(ISERROR('Model inputs'!L188=1),'Model inputs'!L188=1,IF('Model inputs'!L188="","",'Model inputs'!L188=1))),IF('Model inputs'!AJ184="","",'Model inputs'!AJ184),IF('Model inputs'!K14="","",'Model inputs'!K14))="",0,IF(IF(IF(ISERROR('Model inputs'!L188=1),'Model inputs'!L188=1,IF('Model inputs'!L188="","",'Model inputs'!L188=1))="",FALSE,IF(ISERROR('Model inputs'!L188=1),'Model inputs'!L188=1,IF('Model inputs'!L188="","",'Model inputs'!L188=1))),IF('Model inputs'!AJ184="","",'Model inputs'!AJ184),IF('Model inputs'!K14="","",'Model inputs'!K14)))+'Model inputs'!L362</f>
        <v>2275000</v>
      </c>
      <c r="M14" s="9">
        <f>IF(IF(IF(IF(ISERROR('Model inputs'!M188=1),'Model inputs'!M188=1,IF('Model inputs'!M188="","",'Model inputs'!M188=1))="",FALSE,IF(ISERROR('Model inputs'!M188=1),'Model inputs'!M188=1,IF('Model inputs'!M188="","",'Model inputs'!M188=1))),IF('Model inputs'!AJ184="","",'Model inputs'!AJ184),IF('Model inputs'!L14="","",'Model inputs'!L14))="",0,IF(IF(IF(ISERROR('Model inputs'!M188=1),'Model inputs'!M188=1,IF('Model inputs'!M188="","",'Model inputs'!M188=1))="",FALSE,IF(ISERROR('Model inputs'!M188=1),'Model inputs'!M188=1,IF('Model inputs'!M188="","",'Model inputs'!M188=1))),IF('Model inputs'!AJ184="","",'Model inputs'!AJ184),IF('Model inputs'!L14="","",'Model inputs'!L14)))+'Model inputs'!M362</f>
        <v>2050000</v>
      </c>
      <c r="N14" s="9">
        <f>IF(IF(IF(IF(ISERROR('Model inputs'!N188=1),'Model inputs'!N188=1,IF('Model inputs'!N188="","",'Model inputs'!N188=1))="",FALSE,IF(ISERROR('Model inputs'!N188=1),'Model inputs'!N188=1,IF('Model inputs'!N188="","",'Model inputs'!N188=1))),IF('Model inputs'!AJ184="","",'Model inputs'!AJ184),IF('Model inputs'!M14="","",'Model inputs'!M14))="",0,IF(IF(IF(ISERROR('Model inputs'!N188=1),'Model inputs'!N188=1,IF('Model inputs'!N188="","",'Model inputs'!N188=1))="",FALSE,IF(ISERROR('Model inputs'!N188=1),'Model inputs'!N188=1,IF('Model inputs'!N188="","",'Model inputs'!N188=1))),IF('Model inputs'!AJ184="","",'Model inputs'!AJ184),IF('Model inputs'!M14="","",'Model inputs'!M14)))+'Model inputs'!N362</f>
        <v>1825000</v>
      </c>
      <c r="O14" s="9">
        <f>IF(IF(IF(IF(ISERROR('Model inputs'!O188=1),'Model inputs'!O188=1,IF('Model inputs'!O188="","",'Model inputs'!O188=1))="",FALSE,IF(ISERROR('Model inputs'!O188=1),'Model inputs'!O188=1,IF('Model inputs'!O188="","",'Model inputs'!O188=1))),IF('Model inputs'!AJ184="","",'Model inputs'!AJ184),IF('Model inputs'!N14="","",'Model inputs'!N14))="",0,IF(IF(IF(ISERROR('Model inputs'!O188=1),'Model inputs'!O188=1,IF('Model inputs'!O188="","",'Model inputs'!O188=1))="",FALSE,IF(ISERROR('Model inputs'!O188=1),'Model inputs'!O188=1,IF('Model inputs'!O188="","",'Model inputs'!O188=1))),IF('Model inputs'!AJ184="","",'Model inputs'!AJ184),IF('Model inputs'!N14="","",'Model inputs'!N14)))+'Model inputs'!O362</f>
        <v>1583411</v>
      </c>
      <c r="P14" s="9">
        <f>IF(IF(IF(IF(ISERROR('Model inputs'!P188=1),'Model inputs'!P188=1,IF('Model inputs'!P188="","",'Model inputs'!P188=1))="",FALSE,IF(ISERROR('Model inputs'!P188=1),'Model inputs'!P188=1,IF('Model inputs'!P188="","",'Model inputs'!P188=1))),IF('Model inputs'!AJ184="","",'Model inputs'!AJ184),IF('Model inputs'!O14="","",'Model inputs'!O14))="",0,IF(IF(IF(ISERROR('Model inputs'!P188=1),'Model inputs'!P188=1,IF('Model inputs'!P188="","",'Model inputs'!P188=1))="",FALSE,IF(ISERROR('Model inputs'!P188=1),'Model inputs'!P188=1,IF('Model inputs'!P188="","",'Model inputs'!P188=1))),IF('Model inputs'!AJ184="","",'Model inputs'!AJ184),IF('Model inputs'!O14="","",'Model inputs'!O14)))+'Model inputs'!P362</f>
        <v>1392824.33</v>
      </c>
      <c r="Q14" s="9">
        <f>IF(IF(IF(IF(ISERROR('Model inputs'!Q188=1),'Model inputs'!Q188=1,IF('Model inputs'!Q188="","",'Model inputs'!Q188=1))="",FALSE,IF(ISERROR('Model inputs'!Q188=1),'Model inputs'!Q188=1,IF('Model inputs'!Q188="","",'Model inputs'!Q188=1))),IF('Model inputs'!AJ184="","",'Model inputs'!AJ184),IF('Model inputs'!P14="","",'Model inputs'!P14))="",0,IF(IF(IF(ISERROR('Model inputs'!Q188=1),'Model inputs'!Q188=1,IF('Model inputs'!Q188="","",'Model inputs'!Q188=1))="",FALSE,IF(ISERROR('Model inputs'!Q188=1),'Model inputs'!Q188=1,IF('Model inputs'!Q188="","",'Model inputs'!Q188=1))),IF('Model inputs'!AJ184="","",'Model inputs'!AJ184),IF('Model inputs'!P14="","",'Model inputs'!P14)))+'Model inputs'!Q362</f>
        <v>1327842.9765666667</v>
      </c>
      <c r="R14" s="9">
        <f>IF(IF(IF(IF(ISERROR('Model inputs'!R188=1),'Model inputs'!R188=1,IF('Model inputs'!R188="","",'Model inputs'!R188=1))="",FALSE,IF(ISERROR('Model inputs'!R188=1),'Model inputs'!R188=1,IF('Model inputs'!R188="","",'Model inputs'!R188=1))),IF('Model inputs'!AJ184="","",'Model inputs'!AJ184),IF('Model inputs'!Q14="","",'Model inputs'!Q14))="",0,IF(IF(IF(ISERROR('Model inputs'!R188=1),'Model inputs'!R188=1,IF('Model inputs'!R188="","",'Model inputs'!R188=1))="",FALSE,IF(ISERROR('Model inputs'!R188=1),'Model inputs'!R188=1,IF('Model inputs'!R188="","",'Model inputs'!R188=1))),IF('Model inputs'!AJ184="","",'Model inputs'!AJ184),IF('Model inputs'!Q14="","",'Model inputs'!Q14)))+'Model inputs'!R362</f>
        <v>968924.9950303334</v>
      </c>
      <c r="S14" s="9">
        <f>IF(IF(IF(IF(ISERROR('Model inputs'!S188=1),'Model inputs'!S188=1,IF('Model inputs'!S188="","",'Model inputs'!S188=1))="",FALSE,IF(ISERROR('Model inputs'!S188=1),'Model inputs'!S188=1,IF('Model inputs'!S188="","",'Model inputs'!S188=1))),IF('Model inputs'!AJ184="","",'Model inputs'!AJ184),IF('Model inputs'!R14="","",'Model inputs'!R14))="",0,IF(IF(IF(ISERROR('Model inputs'!S188=1),'Model inputs'!S188=1,IF('Model inputs'!S188="","",'Model inputs'!S188=1))="",FALSE,IF(ISERROR('Model inputs'!S188=1),'Model inputs'!S188=1,IF('Model inputs'!S188="","",'Model inputs'!S188=1))),IF('Model inputs'!AJ184="","",'Model inputs'!AJ184),IF('Model inputs'!R14="","",'Model inputs'!R14)))+'Model inputs'!S362</f>
        <v>611102.2865479101</v>
      </c>
      <c r="T14" s="9">
        <f>IF(IF(IF(IF(ISERROR('Model inputs'!T188=1),'Model inputs'!T188=1,IF('Model inputs'!T188="","",'Model inputs'!T188=1))="",FALSE,IF(ISERROR('Model inputs'!T188=1),'Model inputs'!T188=1,IF('Model inputs'!T188="","",'Model inputs'!T188=1))),IF('Model inputs'!AJ184="","",'Model inputs'!AJ184),IF('Model inputs'!S14="","",'Model inputs'!S14))="",0,IF(IF(IF(ISERROR('Model inputs'!T188=1),'Model inputs'!T188=1,IF('Model inputs'!T188="","",'Model inputs'!T188=1))="",FALSE,IF(ISERROR('Model inputs'!T188=1),'Model inputs'!T188=1,IF('Model inputs'!T188="","",'Model inputs'!T188=1))),IF('Model inputs'!AJ184="","",'Model inputs'!AJ184),IF('Model inputs'!S14="","",'Model inputs'!S14)))+'Model inputs'!T362</f>
        <v>679809.7926443473</v>
      </c>
      <c r="U14" s="9">
        <f>IF(IF(IF(IF(ISERROR('Model inputs'!U188=1),'Model inputs'!U188=1,IF('Model inputs'!U188="","",'Model inputs'!U188=1))="",FALSE,IF(ISERROR('Model inputs'!U188=1),'Model inputs'!U188=1,IF('Model inputs'!U188="","",'Model inputs'!U188=1))),IF('Model inputs'!AJ184="","",'Model inputs'!AJ184),IF('Model inputs'!T14="","",'Model inputs'!T14))="",0,IF(IF(IF(ISERROR('Model inputs'!U188=1),'Model inputs'!U188=1,IF('Model inputs'!U188="","",'Model inputs'!U188=1))="",FALSE,IF(ISERROR('Model inputs'!U188=1),'Model inputs'!U188=1,IF('Model inputs'!U188="","",'Model inputs'!U188=1))),IF('Model inputs'!AJ184="","",'Model inputs'!AJ184),IF('Model inputs'!T14="","",'Model inputs'!T14)))+'Model inputs'!U362</f>
        <v>309679.27392367774</v>
      </c>
      <c r="V14" s="9">
        <f>IF(IF(IF(IF(ISERROR('Model inputs'!V188=1),'Model inputs'!V188=1,IF('Model inputs'!V188="","",'Model inputs'!V188=1))="",FALSE,IF(ISERROR('Model inputs'!V188=1),'Model inputs'!V188=1,IF('Model inputs'!V188="","",'Model inputs'!V188=1))),IF('Model inputs'!AJ184="","",'Model inputs'!AJ184),IF('Model inputs'!U14="","",'Model inputs'!U14))="",0,IF(IF(IF(ISERROR('Model inputs'!V188=1),'Model inputs'!V188=1,IF('Model inputs'!V188="","",'Model inputs'!V188=1))="",FALSE,IF(ISERROR('Model inputs'!V188=1),'Model inputs'!V188=1,IF('Model inputs'!V188="","",'Model inputs'!V188=1))),IF('Model inputs'!AJ184="","",'Model inputs'!AJ184),IF('Model inputs'!U14="","",'Model inputs'!U14)))+'Model inputs'!V362</f>
        <v>-59254.41035861196</v>
      </c>
      <c r="W14" s="9">
        <f>IF(IF(IF(IF(ISERROR('Model inputs'!W188=1),'Model inputs'!W188=1,IF('Model inputs'!W188="","",'Model inputs'!W188=1))="",FALSE,IF(ISERROR('Model inputs'!W188=1),'Model inputs'!W188=1,IF('Model inputs'!W188="","",'Model inputs'!W188=1))),IF('Model inputs'!AJ184="","",'Model inputs'!AJ184),IF('Model inputs'!V14="","",'Model inputs'!V14))="",0,IF(IF(IF(ISERROR('Model inputs'!W188=1),'Model inputs'!W188=1,IF('Model inputs'!W188="","",'Model inputs'!W188=1))="",FALSE,IF(ISERROR('Model inputs'!W188=1),'Model inputs'!W188=1,IF('Model inputs'!W188="","",'Model inputs'!W188=1))),IF('Model inputs'!AJ184="","",'Model inputs'!AJ184),IF('Model inputs'!V14="","",'Model inputs'!V14)))+'Model inputs'!W362</f>
        <v>-1553.2718360369909</v>
      </c>
      <c r="X14" s="9">
        <f>IF(IF(IF(IF(ISERROR('Model inputs'!X188=1),'Model inputs'!X188=1,IF('Model inputs'!X188="","",'Model inputs'!X188=1))="",FALSE,IF(ISERROR('Model inputs'!X188=1),'Model inputs'!X188=1,IF('Model inputs'!X188="","",'Model inputs'!X188=1))),IF('Model inputs'!AJ184="","",'Model inputs'!AJ184),IF('Model inputs'!W14="","",'Model inputs'!W14))="",0,IF(IF(IF(ISERROR('Model inputs'!X188=1),'Model inputs'!X188=1,IF('Model inputs'!X188="","",'Model inputs'!X188=1))="",FALSE,IF(ISERROR('Model inputs'!X188=1),'Model inputs'!X188=1,IF('Model inputs'!X188="","",'Model inputs'!X188=1))),IF('Model inputs'!AJ184="","",'Model inputs'!AJ184),IF('Model inputs'!W14="","",'Model inputs'!W14)))+'Model inputs'!X362</f>
        <v>-382582.4116577847</v>
      </c>
      <c r="Y14" s="9">
        <f>IF(IF(IF(IF(ISERROR('Model inputs'!Y188=1),'Model inputs'!Y188=1,IF('Model inputs'!Y188="","",'Model inputs'!Y188=1))="",FALSE,IF(ISERROR('Model inputs'!Y188=1),'Model inputs'!Y188=1,IF('Model inputs'!Y188="","",'Model inputs'!Y188=1))),IF('Model inputs'!AJ184="","",'Model inputs'!AJ184),IF('Model inputs'!X14="","",'Model inputs'!X14))="",0,IF(IF(IF(ISERROR('Model inputs'!Y188=1),'Model inputs'!Y188=1,IF('Model inputs'!Y188="","",'Model inputs'!Y188=1))="",FALSE,IF(ISERROR('Model inputs'!Y188=1),'Model inputs'!Y188=1,IF('Model inputs'!Y188="","",'Model inputs'!Y188=1))),IF('Model inputs'!AJ184="","",'Model inputs'!AJ184),IF('Model inputs'!X14="","",'Model inputs'!X14)))+'Model inputs'!Y362</f>
        <v>-762303.7381741849</v>
      </c>
      <c r="Z14" s="9">
        <f>IF(IF(IF(IF(ISERROR('Model inputs'!Z188=1),'Model inputs'!Z188=1,IF('Model inputs'!Z188="","",'Model inputs'!Z188=1))="",FALSE,IF(ISERROR('Model inputs'!Z188=1),'Model inputs'!Z188=1,IF('Model inputs'!Z188="","",'Model inputs'!Z188=1))),IF('Model inputs'!AJ184="","",'Model inputs'!AJ184),IF('Model inputs'!Y14="","",'Model inputs'!Y14))="",0,IF(IF(IF(ISERROR('Model inputs'!Z188=1),'Model inputs'!Z188=1,IF('Model inputs'!Z188="","",'Model inputs'!Z188=1))="",FALSE,IF(ISERROR('Model inputs'!Z188=1),'Model inputs'!Z188=1,IF('Model inputs'!Z188="","",'Model inputs'!Z188=1))),IF('Model inputs'!AJ184="","",'Model inputs'!AJ184),IF('Model inputs'!Y14="","",'Model inputs'!Y14)))+'Model inputs'!Z362</f>
        <v>-956105.1003194104</v>
      </c>
      <c r="AA14" s="9">
        <f>IF(IF(IF(IF(ISERROR('Model inputs'!AA188=1),'Model inputs'!AA188=1,IF('Model inputs'!AA188="","",'Model inputs'!AA188=1))="",FALSE,IF(ISERROR('Model inputs'!AA188=1),'Model inputs'!AA188=1,IF('Model inputs'!AA188="","",'Model inputs'!AA188=1))),IF('Model inputs'!AJ184="","",'Model inputs'!AJ184),IF('Model inputs'!Z14="","",'Model inputs'!Z14))="",0,IF(IF(IF(ISERROR('Model inputs'!AA188=1),'Model inputs'!AA188=1,IF('Model inputs'!AA188="","",'Model inputs'!AA188=1))="",FALSE,IF(ISERROR('Model inputs'!AA188=1),'Model inputs'!AA188=1,IF('Model inputs'!AA188="","",'Model inputs'!AA188=1))),IF('Model inputs'!AJ184="","",'Model inputs'!AJ184),IF('Model inputs'!Z14="","",'Model inputs'!Z14)))+'Model inputs'!AA362</f>
        <v>-1343519.0033289928</v>
      </c>
      <c r="AB14" s="9">
        <f>IF(IF(IF(IF(ISERROR('Model inputs'!AB188=1),'Model inputs'!AB188=1,IF('Model inputs'!AB188="","",'Model inputs'!AB188=1))="",FALSE,IF(ISERROR('Model inputs'!AB188=1),'Model inputs'!AB188=1,IF('Model inputs'!AB188="","",'Model inputs'!AB188=1))),IF('Model inputs'!AJ184="","",'Model inputs'!AJ184),IF('Model inputs'!AA14="","",'Model inputs'!AA14))="",0,IF(IF(IF(ISERROR('Model inputs'!AB188=1),'Model inputs'!AB188=1,IF('Model inputs'!AB188="","",'Model inputs'!AB188=1))="",FALSE,IF(ISERROR('Model inputs'!AB188=1),'Model inputs'!AB188=1,IF('Model inputs'!AB188="","",'Model inputs'!AB188=1))),IF('Model inputs'!AJ184="","",'Model inputs'!AJ184),IF('Model inputs'!AA14="","",'Model inputs'!AA14)))+'Model inputs'!AB362</f>
        <v>-1729503.8234288625</v>
      </c>
      <c r="AC14" s="9">
        <f>IF(IF(IF(IF(ISERROR('Model inputs'!AC188=1),'Model inputs'!AC188=1,IF('Model inputs'!AC188="","",'Model inputs'!AC188=1))="",FALSE,IF(ISERROR('Model inputs'!AC188=1),'Model inputs'!AC188=1,IF('Model inputs'!AC188="","",'Model inputs'!AC188=1))),IF('Model inputs'!AJ184="","",'Model inputs'!AJ184),IF('Model inputs'!AB14="","",'Model inputs'!AB14))="",0,IF(IF(IF(ISERROR('Model inputs'!AC188=1),'Model inputs'!AC188=1,IF('Model inputs'!AC188="","",'Model inputs'!AC188=1))="",FALSE,IF(ISERROR('Model inputs'!AC188=1),'Model inputs'!AC188=1,IF('Model inputs'!AC188="","",'Model inputs'!AC188=1))),IF('Model inputs'!AJ184="","",'Model inputs'!AJ184),IF('Model inputs'!AB14="","",'Model inputs'!AB14)))+'Model inputs'!AC362</f>
        <v>-1323200.0214650617</v>
      </c>
      <c r="AD14" s="9">
        <f>IF(IF(IF(IF(ISERROR('Model inputs'!AD188=1),'Model inputs'!AD188=1,IF('Model inputs'!AD188="","",'Model inputs'!AD188=1))="",FALSE,IF(ISERROR('Model inputs'!AD188=1),'Model inputs'!AD188=1,IF('Model inputs'!AD188="","",'Model inputs'!AD188=1))),IF('Model inputs'!AJ184="","",'Model inputs'!AJ184),IF('Model inputs'!AC14="","",'Model inputs'!AC14))="",0,IF(IF(IF(ISERROR('Model inputs'!AD188=1),'Model inputs'!AD188=1,IF('Model inputs'!AD188="","",'Model inputs'!AD188=1))="",FALSE,IF(ISERROR('Model inputs'!AD188=1),'Model inputs'!AD188=1,IF('Model inputs'!AD188="","",'Model inputs'!AD188=1))),IF('Model inputs'!AJ184="","",'Model inputs'!AJ184),IF('Model inputs'!AC14="","",'Model inputs'!AC14)))+'Model inputs'!AD362</f>
        <v>-1722880.105442347</v>
      </c>
      <c r="AE14" s="9">
        <f>IF(IF(IF(IF(ISERROR('Model inputs'!AE188=1),'Model inputs'!AE188=1,IF('Model inputs'!AE188="","",'Model inputs'!AE188=1))="",FALSE,IF(ISERROR('Model inputs'!AE188=1),'Model inputs'!AE188=1,IF('Model inputs'!AE188="","",'Model inputs'!AE188=1))),IF('Model inputs'!AJ184="","",'Model inputs'!AJ184),IF('Model inputs'!AD14="","",'Model inputs'!AD14))="",0,IF(IF(IF(ISERROR('Model inputs'!AE188=1),'Model inputs'!AE188=1,IF('Model inputs'!AE188="","",'Model inputs'!AE188=1))="",FALSE,IF(ISERROR('Model inputs'!AE188=1),'Model inputs'!AE188=1,IF('Model inputs'!AE188="","",'Model inputs'!AE188=1))),IF('Model inputs'!AJ184="","",'Model inputs'!AJ184),IF('Model inputs'!AD14="","",'Model inputs'!AD14)))+'Model inputs'!AE362</f>
        <v>-2120998.5919389506</v>
      </c>
      <c r="AF14" s="9">
        <f>IF(IF(IF(IF(ISERROR('Model inputs'!AF188=1),'Model inputs'!AF188=1,IF('Model inputs'!AF188="","",'Model inputs'!AF188=1))="",FALSE,IF(ISERROR('Model inputs'!AF188=1),'Model inputs'!AF188=1,IF('Model inputs'!AF188="","",'Model inputs'!AF188=1))),IF('Model inputs'!AJ184="","",'Model inputs'!AJ184),IF('Model inputs'!AE14="","",'Model inputs'!AE14))="",0,IF(IF(IF(ISERROR('Model inputs'!AF188=1),'Model inputs'!AF188=1,IF('Model inputs'!AF188="","",'Model inputs'!AF188=1))="",FALSE,IF(ISERROR('Model inputs'!AF188=1),'Model inputs'!AF188=1,IF('Model inputs'!AF188="","",'Model inputs'!AF188=1))),IF('Model inputs'!AJ184="","",'Model inputs'!AJ184),IF('Model inputs'!AE14="","",'Model inputs'!AE14)))+'Model inputs'!AF362</f>
        <v>-1842935.7163637858</v>
      </c>
      <c r="AG14" s="9">
        <f>IF(IF(IF(IF(ISERROR('Model inputs'!AG188=1),'Model inputs'!AG188=1,IF('Model inputs'!AG188="","",'Model inputs'!AG188=1))="",FALSE,IF(ISERROR('Model inputs'!AG188=1),'Model inputs'!AG188=1,IF('Model inputs'!AG188="","",'Model inputs'!AG188=1))),IF('Model inputs'!AJ184="","",'Model inputs'!AJ184),IF('Model inputs'!AF14="","",'Model inputs'!AF14))="",0,IF(IF(IF(ISERROR('Model inputs'!AG188=1),'Model inputs'!AG188=1,IF('Model inputs'!AG188="","",'Model inputs'!AG188=1))="",FALSE,IF(ISERROR('Model inputs'!AG188=1),'Model inputs'!AG188=1,IF('Model inputs'!AG188="","",'Model inputs'!AG188=1))),IF('Model inputs'!AJ184="","",'Model inputs'!AJ184),IF('Model inputs'!AF14="","",'Model inputs'!AF14)))+'Model inputs'!AG362</f>
        <v>-2248216.142021366</v>
      </c>
      <c r="AH14" s="9">
        <f>IF(IF(IF(IF(ISERROR('Model inputs'!AH188=1),'Model inputs'!AH188=1,IF('Model inputs'!AH188="","",'Model inputs'!AH188=1))="",FALSE,IF(ISERROR('Model inputs'!AH188=1),'Model inputs'!AH188=1,IF('Model inputs'!AH188="","",'Model inputs'!AH188=1))),IF('Model inputs'!AJ184="","",'Model inputs'!AJ184),IF('Model inputs'!AG14="","",'Model inputs'!AG14))="",0,IF(IF(IF(ISERROR('Model inputs'!AH188=1),'Model inputs'!AH188=1,IF('Model inputs'!AH188="","",'Model inputs'!AH188=1))="",FALSE,IF(ISERROR('Model inputs'!AH188=1),'Model inputs'!AH188=1,IF('Model inputs'!AH188="","",'Model inputs'!AH188=1))),IF('Model inputs'!AJ184="","",'Model inputs'!AJ184),IF('Model inputs'!AG14="","",'Model inputs'!AG14)))+'Model inputs'!AH362</f>
        <v>-2467217.251282007</v>
      </c>
      <c r="AI14" s="9">
        <f>IF(IF(IF(IF(ISERROR('Model inputs'!AI188=1),'Model inputs'!AI188=1,IF('Model inputs'!AI188="","",'Model inputs'!AI188=1))="",FALSE,IF(ISERROR('Model inputs'!AI188=1),'Model inputs'!AI188=1,IF('Model inputs'!AI188="","",'Model inputs'!AI188=1))),IF('Model inputs'!AJ184="","",'Model inputs'!AJ184),IF('Model inputs'!AH14="","",'Model inputs'!AH14))="",0,IF(IF(IF(ISERROR('Model inputs'!AI188=1),'Model inputs'!AI188=1,IF('Model inputs'!AI188="","",'Model inputs'!AI188=1))="",FALSE,IF(ISERROR('Model inputs'!AI188=1),'Model inputs'!AI188=1,IF('Model inputs'!AI188="","",'Model inputs'!AI188=1))),IF('Model inputs'!AJ184="","",'Model inputs'!AJ184),IF('Model inputs'!AH14="","",'Model inputs'!AH14)))+'Model inputs'!AI362</f>
        <v>-1843644.1021538004</v>
      </c>
    </row>
    <row r="15">
      <c r="A15" t="inlineStr" s="13">
        <is>
          <t xml:space="preserve">Haq Future minimum profit · Main Scenario</t>
        </is>
      </c>
      <c r="B15" s="8">
        <f>MIN('Model inputs'!B363,'Model inputs'!C363,'Model inputs'!D363,'Model inputs'!E363,'Model inputs'!F363,'Model inputs'!G363,'Model inputs'!H363,'Model inputs'!I363,'Model inputs'!J363,'Model inputs'!K363,'Model inputs'!L363,'Model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C15" s="8">
        <f>MIN('Model inputs'!C363,'Model inputs'!D363,'Model inputs'!E363,'Model inputs'!F363,'Model inputs'!G363,'Model inputs'!H363,'Model inputs'!I363,'Model inputs'!J363,'Model inputs'!K363,'Model inputs'!L363,'Model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D15" s="8">
        <f>MIN('Model inputs'!D363,'Model inputs'!E363,'Model inputs'!F363,'Model inputs'!G363,'Model inputs'!H363,'Model inputs'!I363,'Model inputs'!J363,'Model inputs'!K363,'Model inputs'!L363,'Model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E15" s="8">
        <f>MIN('Model inputs'!E363,'Model inputs'!F363,'Model inputs'!G363,'Model inputs'!H363,'Model inputs'!I363,'Model inputs'!J363,'Model inputs'!K363,'Model inputs'!L363,'Model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F15" s="8">
        <f>MIN('Model inputs'!F363,'Model inputs'!G363,'Model inputs'!H363,'Model inputs'!I363,'Model inputs'!J363,'Model inputs'!K363,'Model inputs'!L363,'Model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G15" s="8">
        <f>MIN('Model inputs'!G363,'Model inputs'!H363,'Model inputs'!I363,'Model inputs'!J363,'Model inputs'!K363,'Model inputs'!L363,'Model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H15" s="8">
        <f>MIN('Model inputs'!H363,'Model inputs'!I363,'Model inputs'!J363,'Model inputs'!K363,'Model inputs'!L363,'Model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I15" s="8">
        <f>MIN('Model inputs'!I363,'Model inputs'!J363,'Model inputs'!K363,'Model inputs'!L363,'Model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J15" s="8">
        <f>MIN('Model inputs'!J363,'Model inputs'!K363,'Model inputs'!L363,'Model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K15" s="8">
        <f>MIN('Model inputs'!K363,'Model inputs'!L363,'Model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L15" s="8">
        <f>MIN('Model inputs'!L363,'Model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M15" s="8">
        <f>MIN('Model inputs'!M363,'Model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N15" s="8">
        <f>MIN('Model inputs'!N363,'Model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O15" s="8">
        <f>MIN('Model inputs'!O363,'Model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P15" s="8">
        <f>MIN('Model inputs'!P363,'Model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Q15" s="8">
        <f>MIN('Model inputs'!Q363,'Model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R15" s="8">
        <f>MIN('Model inputs'!R363,'Model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S15" s="8">
        <f>MIN('Model inputs'!S363,'Model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T15" s="8">
        <f>MIN('Model inputs'!T363,'Model inputs'!U363,'Model inputs'!V363,'Model inputs'!W363,'Model inputs'!X363,'Model inputs'!Y363,'Model inputs'!Z363,'Model inputs'!AA363,'Model inputs'!AB363,'Model inputs'!AC363,'Model inputs'!AD363,'Model inputs'!AE363,'Model inputs'!AF363,'Model inputs'!AG363,'Model inputs'!AH363,'Model inputs'!AI363)</f>
        <v>-345348.5450084375</v>
      </c>
      <c r="U15" s="8">
        <f>MIN('Model inputs'!U363,'Model inputs'!V363,'Model inputs'!W363,'Model inputs'!X363,'Model inputs'!Y363,'Model inputs'!Z363,'Model inputs'!AA363,'Model inputs'!AB363,'Model inputs'!AC363,'Model inputs'!AD363,'Model inputs'!AE363,'Model inputs'!AF363,'Model inputs'!AG363,'Model inputs'!AH363,'Model inputs'!AI363)</f>
        <v>-149754.8683847032</v>
      </c>
      <c r="V15" s="8">
        <f>MIN('Model inputs'!V363,'Model inputs'!W363,'Model inputs'!X363,'Model inputs'!Y363,'Model inputs'!Z363,'Model inputs'!AA363,'Model inputs'!AB363,'Model inputs'!AC363,'Model inputs'!AD363,'Model inputs'!AE363,'Model inputs'!AF363,'Model inputs'!AG363,'Model inputs'!AH363,'Model inputs'!AI363)</f>
        <v>-140158.00271481165</v>
      </c>
      <c r="W15" s="8">
        <f>MIN('Model inputs'!W363,'Model inputs'!X363,'Model inputs'!Y363,'Model inputs'!Z363,'Model inputs'!AA363,'Model inputs'!AB363,'Model inputs'!AC363,'Model inputs'!AD363,'Model inputs'!AE363,'Model inputs'!AF363,'Model inputs'!AG363,'Model inputs'!AH363,'Model inputs'!AI363)</f>
        <v>-140158.00271481165</v>
      </c>
      <c r="X15" s="8">
        <f>MIN('Model inputs'!X363,'Model inputs'!Y363,'Model inputs'!Z363,'Model inputs'!AA363,'Model inputs'!AB363,'Model inputs'!AC363,'Model inputs'!AD363,'Model inputs'!AE363,'Model inputs'!AF363,'Model inputs'!AG363,'Model inputs'!AH363,'Model inputs'!AI363)</f>
        <v>-43912.71227472258</v>
      </c>
      <c r="Y15" s="8">
        <f>MIN('Model inputs'!Y363,'Model inputs'!Z363,'Model inputs'!AA363,'Model inputs'!AB363,'Model inputs'!AC363,'Model inputs'!AD363,'Model inputs'!AE363,'Model inputs'!AF363,'Model inputs'!AG363,'Model inputs'!AH363,'Model inputs'!AI363)</f>
        <v>-43912.71227472258</v>
      </c>
    </row>
    <row r="16">
      <c r="A16" t="inlineStr" s="13">
        <is>
          <t xml:space="preserve">Haq Future minimum profit · Growth</t>
        </is>
      </c>
      <c r="B16" s="8">
        <f>MIN('Model inputs'!B364,'Model inputs'!C364,'Model inputs'!D364,'Model inputs'!E364,'Model inputs'!F364,'Model inputs'!G364,'Model inputs'!H364,'Model inputs'!I364,'Model inputs'!J364,'Model inputs'!K364,'Model inputs'!L364,'Model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C16" s="8">
        <f>MIN('Model inputs'!C364,'Model inputs'!D364,'Model inputs'!E364,'Model inputs'!F364,'Model inputs'!G364,'Model inputs'!H364,'Model inputs'!I364,'Model inputs'!J364,'Model inputs'!K364,'Model inputs'!L364,'Model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D16" s="8">
        <f>MIN('Model inputs'!D364,'Model inputs'!E364,'Model inputs'!F364,'Model inputs'!G364,'Model inputs'!H364,'Model inputs'!I364,'Model inputs'!J364,'Model inputs'!K364,'Model inputs'!L364,'Model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E16" s="8">
        <f>MIN('Model inputs'!E364,'Model inputs'!F364,'Model inputs'!G364,'Model inputs'!H364,'Model inputs'!I364,'Model inputs'!J364,'Model inputs'!K364,'Model inputs'!L364,'Model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F16" s="8">
        <f>MIN('Model inputs'!F364,'Model inputs'!G364,'Model inputs'!H364,'Model inputs'!I364,'Model inputs'!J364,'Model inputs'!K364,'Model inputs'!L364,'Model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G16" s="8">
        <f>MIN('Model inputs'!G364,'Model inputs'!H364,'Model inputs'!I364,'Model inputs'!J364,'Model inputs'!K364,'Model inputs'!L364,'Model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H16" s="8">
        <f>MIN('Model inputs'!H364,'Model inputs'!I364,'Model inputs'!J364,'Model inputs'!K364,'Model inputs'!L364,'Model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I16" s="8">
        <f>MIN('Model inputs'!I364,'Model inputs'!J364,'Model inputs'!K364,'Model inputs'!L364,'Model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J16" s="8">
        <f>MIN('Model inputs'!J364,'Model inputs'!K364,'Model inputs'!L364,'Model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K16" s="8">
        <f>MIN('Model inputs'!K364,'Model inputs'!L364,'Model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L16" s="8">
        <f>MIN('Model inputs'!L364,'Model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M16" s="8">
        <f>MIN('Model inputs'!M364,'Model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N16" s="8">
        <f>MIN('Model inputs'!N364,'Model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O16" s="8">
        <f>MIN('Model inputs'!O364,'Model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P16" s="8">
        <f>MIN('Model inputs'!P364,'Model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Q16" s="8">
        <f>MIN('Model inputs'!Q364,'Model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-327443.4647666667</v>
      </c>
      <c r="R16" s="8">
        <f>MIN('Model inputs'!R364,'Model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-218466.8096974722</v>
      </c>
      <c r="S16" s="8">
        <f>MIN('Model inputs'!S364,'Model inputs'!T364,'Model inputs'!U364,'Model inputs'!V364,'Model inputs'!W364,'Model inputs'!X364,'Model inputs'!Y364,'Model inputs'!Z364,'Model inputs'!AA364,'Model inputs'!AB364,'Model inputs'!AC364,'Model inputs'!AD364,'Model inputs'!AE364,'Model inputs'!AF364,'Model inputs'!AG364,'Model inputs'!AH364,'Model inputs'!AI364)</f>
        <v>-218466.8096974722</v>
      </c>
      <c r="T16" s="8">
        <f>MIN('Model inputs'!T364,'Model inputs'!U364,'Model inputs'!V364,'Model inputs'!W364,'Model inputs'!X364,'Model inputs'!Y364,'Model inputs'!Z364,'Model inputs'!AA364,'Model inputs'!AB364,'Model inputs'!AC364,'Model inputs'!AD364,'Model inputs'!AE364,'Model inputs'!AF364,'Model inputs'!AG364,'Model inputs'!AH364,'Model inputs'!AI364)</f>
        <v>-218466.8096974722</v>
      </c>
      <c r="U16" s="8">
        <f>MIN('Model inputs'!U364,'Model inputs'!V364,'Model inputs'!W364,'Model inputs'!X364,'Model inputs'!Y364,'Model inputs'!Z364,'Model inputs'!AA364,'Model inputs'!AB364,'Model inputs'!AC364,'Model inputs'!AD364,'Model inputs'!AE364,'Model inputs'!AF364,'Model inputs'!AG364,'Model inputs'!AH364,'Model inputs'!AI364)</f>
        <v>11674.15168421017</v>
      </c>
      <c r="V16" s="8">
        <f>MIN('Model inputs'!V364,'Model inputs'!W364,'Model inputs'!X364,'Model inputs'!Y364,'Model inputs'!Z364,'Model inputs'!AA364,'Model inputs'!AB364,'Model inputs'!AC364,'Model inputs'!AD364,'Model inputs'!AE364,'Model inputs'!AF364,'Model inputs'!AG364,'Model inputs'!AH364,'Model inputs'!AI364)</f>
        <v>38509.19591812929</v>
      </c>
      <c r="W16" s="8">
        <f>MIN('Model inputs'!W364,'Model inputs'!X364,'Model inputs'!Y364,'Model inputs'!Z364,'Model inputs'!AA364,'Model inputs'!AB364,'Model inputs'!AC364,'Model inputs'!AD364,'Model inputs'!AE364,'Model inputs'!AF364,'Model inputs'!AG364,'Model inputs'!AH364,'Model inputs'!AI364)</f>
        <v>38509.19591812929</v>
      </c>
      <c r="X16" s="8">
        <f>MIN('Model inputs'!X364,'Model inputs'!Y364,'Model inputs'!Z364,'Model inputs'!AA364,'Model inputs'!AB364,'Model inputs'!AC364,'Model inputs'!AD364,'Model inputs'!AE364,'Model inputs'!AF364,'Model inputs'!AG364,'Model inputs'!AH364,'Model inputs'!AI364)</f>
        <v>300249.4288160241</v>
      </c>
      <c r="Y16" s="8">
        <f>MIN('Model inputs'!Y364,'Model inputs'!Z364,'Model inputs'!AA364,'Model inputs'!AB364,'Model inputs'!AC364,'Model inputs'!AD364,'Model inputs'!AE364,'Model inputs'!AF364,'Model inputs'!AG364,'Model inputs'!AH364,'Model inputs'!AI364)</f>
        <v>343198.67957069876</v>
      </c>
    </row>
    <row r="17">
      <c r="A17" t="inlineStr" s="13">
        <is>
          <t xml:space="preserve">Haq Future minimum profit · Conservative</t>
        </is>
      </c>
      <c r="B17" s="8">
        <f>MIN('Model inputs'!B365,'Model inputs'!C365,'Model inputs'!D365,'Model inputs'!E365,'Model inputs'!F365,'Model inputs'!G365,'Model inputs'!H365,'Model inputs'!I365,'Model inputs'!J365,'Model inputs'!K365,'Model inputs'!L365,'Model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C17" s="8">
        <f>MIN('Model inputs'!C365,'Model inputs'!D365,'Model inputs'!E365,'Model inputs'!F365,'Model inputs'!G365,'Model inputs'!H365,'Model inputs'!I365,'Model inputs'!J365,'Model inputs'!K365,'Model inputs'!L365,'Model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D17" s="8">
        <f>MIN('Model inputs'!D365,'Model inputs'!E365,'Model inputs'!F365,'Model inputs'!G365,'Model inputs'!H365,'Model inputs'!I365,'Model inputs'!J365,'Model inputs'!K365,'Model inputs'!L365,'Model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E17" s="8">
        <f>MIN('Model inputs'!E365,'Model inputs'!F365,'Model inputs'!G365,'Model inputs'!H365,'Model inputs'!I365,'Model inputs'!J365,'Model inputs'!K365,'Model inputs'!L365,'Model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F17" s="8">
        <f>MIN('Model inputs'!F365,'Model inputs'!G365,'Model inputs'!H365,'Model inputs'!I365,'Model inputs'!J365,'Model inputs'!K365,'Model inputs'!L365,'Model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G17" s="8">
        <f>MIN('Model inputs'!G365,'Model inputs'!H365,'Model inputs'!I365,'Model inputs'!J365,'Model inputs'!K365,'Model inputs'!L365,'Model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H17" s="8">
        <f>MIN('Model inputs'!H365,'Model inputs'!I365,'Model inputs'!J365,'Model inputs'!K365,'Model inputs'!L365,'Model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I17" s="8">
        <f>MIN('Model inputs'!I365,'Model inputs'!J365,'Model inputs'!K365,'Model inputs'!L365,'Model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J17" s="8">
        <f>MIN('Model inputs'!J365,'Model inputs'!K365,'Model inputs'!L365,'Model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K17" s="8">
        <f>MIN('Model inputs'!K365,'Model inputs'!L365,'Model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L17" s="8">
        <f>MIN('Model inputs'!L365,'Model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M17" s="8">
        <f>MIN('Model inputs'!M365,'Model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N17" s="8">
        <f>MIN('Model inputs'!N365,'Model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O17" s="8">
        <f>MIN('Model inputs'!O365,'Model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P17" s="8">
        <f>MIN('Model inputs'!P365,'Model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Q17" s="8">
        <f>MIN('Model inputs'!Q365,'Model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R17" s="8">
        <f>MIN('Model inputs'!R365,'Model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S17" s="8">
        <f>MIN('Model inputs'!S365,'Model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T17" s="8">
        <f>MIN('Model inputs'!T365,'Model inputs'!U365,'Model inputs'!V365,'Model inputs'!W365,'Model inputs'!X365,'Model inputs'!Y365,'Model inputs'!Z365,'Model inputs'!AA365,'Model inputs'!AB365,'Model inputs'!AC365,'Model inputs'!AD365,'Model inputs'!AE365,'Model inputs'!AF365,'Model inputs'!AG365,'Model inputs'!AH365,'Model inputs'!AI365)</f>
        <v>-360042.49390356266</v>
      </c>
      <c r="U17" s="8">
        <f>MIN('Model inputs'!U365,'Model inputs'!V365,'Model inputs'!W365,'Model inputs'!X365,'Model inputs'!Y365,'Model inputs'!Z365,'Model inputs'!AA365,'Model inputs'!AB365,'Model inputs'!AC365,'Model inputs'!AD365,'Model inputs'!AE365,'Model inputs'!AF365,'Model inputs'!AG365,'Model inputs'!AH365,'Model inputs'!AI365)</f>
        <v>-330215.5281440917</v>
      </c>
      <c r="V17" s="8">
        <f>MIN('Model inputs'!V365,'Model inputs'!W365,'Model inputs'!X365,'Model inputs'!Y365,'Model inputs'!Z365,'Model inputs'!AA365,'Model inputs'!AB365,'Model inputs'!AC365,'Model inputs'!AD365,'Model inputs'!AE365,'Model inputs'!AF365,'Model inputs'!AG365,'Model inputs'!AH365,'Model inputs'!AI365)</f>
        <v>-330215.5281440917</v>
      </c>
      <c r="W17" s="8">
        <f>MIN('Model inputs'!W365,'Model inputs'!X365,'Model inputs'!Y365,'Model inputs'!Z365,'Model inputs'!AA365,'Model inputs'!AB365,'Model inputs'!AC365,'Model inputs'!AD365,'Model inputs'!AE365,'Model inputs'!AF365,'Model inputs'!AG365,'Model inputs'!AH365,'Model inputs'!AI365)</f>
        <v>-330215.5281440917</v>
      </c>
      <c r="X17" s="8">
        <f>MIN('Model inputs'!X365,'Model inputs'!Y365,'Model inputs'!Z365,'Model inputs'!AA365,'Model inputs'!AB365,'Model inputs'!AC365,'Model inputs'!AD365,'Model inputs'!AE365,'Model inputs'!AF365,'Model inputs'!AG365,'Model inputs'!AH365,'Model inputs'!AI365)</f>
        <v>-316301.3621452255</v>
      </c>
      <c r="Y17" s="8">
        <f>MIN('Model inputs'!Y365,'Model inputs'!Z365,'Model inputs'!AA365,'Model inputs'!AB365,'Model inputs'!AC365,'Model inputs'!AD365,'Model inputs'!AE365,'Model inputs'!AF365,'Model inputs'!AG365,'Model inputs'!AH365,'Model inputs'!AI365)</f>
        <v>-316301.3621452255</v>
      </c>
    </row>
    <row r="18">
      <c r="A18" t="inlineStr" s="13">
        <is>
          <t xml:space="preserve">Haq input value</t>
        </is>
      </c>
      <c r="AJ18" s="6">
        <v>0</v>
      </c>
    </row>
    <row r="19" outlineLevel="1">
      <c r="A19" t="inlineStr" s="14">
        <is>
          <t xml:space="preserve">Haq input value &gt; Annual renewal retention</t>
        </is>
      </c>
      <c r="AJ19" s="8">
        <f>1</f>
        <v>1</v>
      </c>
    </row>
    <row r="20" outlineLevel="1">
      <c r="A20" t="inlineStr" s="14">
        <is>
          <t xml:space="preserve">Haq input value &gt; Benefit commission rate</t>
        </is>
      </c>
      <c r="AJ20" s="8">
        <f>0</f>
        <v>0</v>
      </c>
    </row>
    <row r="21" outlineLevel="1">
      <c r="A21" t="inlineStr" s="14">
        <is>
          <t xml:space="preserve">Haq input value &gt; CSC checks per operator</t>
        </is>
      </c>
      <c r="AJ21" s="8">
        <f>80</f>
        <v>80</v>
      </c>
    </row>
    <row r="22" outlineLevel="1">
      <c r="A22" t="inlineStr" s="14">
        <is>
          <t xml:space="preserve">Haq input value &gt; CSC extra check price</t>
        </is>
      </c>
      <c r="AJ22" s="8">
        <f>15</f>
        <v>15</v>
      </c>
    </row>
    <row r="23" outlineLevel="1">
      <c r="A23" t="inlineStr" s="14">
        <is>
          <t xml:space="preserve">Haq input value &gt; CSC gross monthly growth</t>
        </is>
      </c>
      <c r="AJ23" s="8">
        <f>0.2</f>
        <v>0.2</v>
      </c>
    </row>
    <row r="24" outlineLevel="1">
      <c r="A24" t="inlineStr" s="14">
        <is>
          <t xml:space="preserve">Haq input value &gt; CSC included checks</t>
        </is>
      </c>
      <c r="AJ24" s="8">
        <f>100</f>
        <v>100</v>
      </c>
    </row>
    <row r="25" outlineLevel="1">
      <c r="A25" t="inlineStr" s="14">
        <is>
          <t xml:space="preserve">Haq input value &gt; CSC incremental CAC</t>
        </is>
      </c>
      <c r="AJ25" s="8">
        <f>2000</f>
        <v>2000</v>
      </c>
    </row>
    <row r="26" outlineLevel="1">
      <c r="A26" t="inlineStr" s="14">
        <is>
          <t xml:space="preserve">Haq input value &gt; CSC launch month</t>
        </is>
      </c>
      <c r="AJ26" s="8">
        <f>4</f>
        <v>4</v>
      </c>
    </row>
    <row r="27" outlineLevel="1">
      <c r="A27" t="inlineStr" s="14">
        <is>
          <t xml:space="preserve">Haq input value &gt; CSC launch operators</t>
        </is>
      </c>
      <c r="AJ27" s="8">
        <f>50</f>
        <v>50</v>
      </c>
    </row>
    <row r="28" outlineLevel="1">
      <c r="A28" t="inlineStr" s="14">
        <is>
          <t xml:space="preserve">Haq input value &gt; CSC monthly churn</t>
        </is>
      </c>
      <c r="AJ28" s="8">
        <f>0.05</f>
        <v>0.05</v>
      </c>
    </row>
    <row r="29" outlineLevel="1">
      <c r="A29" t="inlineStr" s="14">
        <is>
          <t xml:space="preserve">Haq input value &gt; CSC monthly price</t>
        </is>
      </c>
      <c r="AJ29" s="8">
        <f>1499</f>
        <v>1499</v>
      </c>
    </row>
    <row r="30" outlineLevel="1">
      <c r="A30" t="inlineStr" s="14">
        <is>
          <t xml:space="preserve">Haq input value &gt; CSR annual district price</t>
        </is>
      </c>
      <c r="AJ30" s="8">
        <f>500000</f>
        <v>500000</v>
      </c>
    </row>
    <row r="31" outlineLevel="1">
      <c r="A31" t="inlineStr" s="14">
        <is>
          <t xml:space="preserve">Haq input value &gt; CSR checks per district year</t>
        </is>
      </c>
      <c r="AJ31" s="8">
        <f>25000</f>
        <v>25000</v>
      </c>
    </row>
    <row r="32" outlineLevel="1">
      <c r="A32" t="inlineStr" s="14">
        <is>
          <t xml:space="preserve">Haq input value &gt; CSR district equivalents M12</t>
        </is>
      </c>
      <c r="AJ32" s="8">
        <f>3</f>
        <v>3</v>
      </c>
    </row>
    <row r="33" outlineLevel="1">
      <c r="A33" t="inlineStr" s="14">
        <is>
          <t xml:space="preserve">Haq input value &gt; CSR district equivalents M15</t>
        </is>
      </c>
      <c r="AJ33" s="8">
        <f>4</f>
        <v>4</v>
      </c>
    </row>
    <row r="34" outlineLevel="1">
      <c r="A34" t="inlineStr" s="14">
        <is>
          <t xml:space="preserve">Haq input value &gt; CSR district equivalents M18</t>
        </is>
      </c>
      <c r="AJ34" s="8">
        <f>5</f>
        <v>5</v>
      </c>
    </row>
    <row r="35" outlineLevel="1">
      <c r="A35" t="inlineStr" s="14">
        <is>
          <t xml:space="preserve">Haq input value &gt; CSR district equivalents M21</t>
        </is>
      </c>
      <c r="AJ35" s="8">
        <f>6</f>
        <v>6</v>
      </c>
    </row>
    <row r="36" outlineLevel="1">
      <c r="A36" t="inlineStr" s="14">
        <is>
          <t xml:space="preserve">Haq input value &gt; CSR district equivalents M23</t>
        </is>
      </c>
      <c r="AJ36" s="8">
        <f>7</f>
        <v>7</v>
      </c>
    </row>
    <row r="37" outlineLevel="1">
      <c r="A37" t="inlineStr" s="14">
        <is>
          <t xml:space="preserve">Haq input value &gt; CSR district equivalents M24</t>
        </is>
      </c>
      <c r="AJ37" s="8">
        <f>8</f>
        <v>8</v>
      </c>
    </row>
    <row r="38" outlineLevel="1">
      <c r="A38" t="inlineStr" s="14">
        <is>
          <t xml:space="preserve">Haq input value &gt; CSR district equivalents M6</t>
        </is>
      </c>
      <c r="AJ38" s="8">
        <f>1</f>
        <v>1</v>
      </c>
    </row>
    <row r="39" outlineLevel="1">
      <c r="A39" t="inlineStr" s="14">
        <is>
          <t xml:space="preserve">Haq input value &gt; CSR district equivalents M9</t>
        </is>
      </c>
      <c r="AJ39" s="8">
        <f>2</f>
        <v>2</v>
      </c>
    </row>
    <row r="40" outlineLevel="1">
      <c r="A40" t="inlineStr" s="14">
        <is>
          <t xml:space="preserve">Haq input value &gt; Cache begins month</t>
        </is>
      </c>
      <c r="AJ40" s="8">
        <f>4</f>
        <v>4</v>
      </c>
    </row>
    <row r="41" outlineLevel="1">
      <c r="A41" t="inlineStr" s="14">
        <is>
          <t xml:space="preserve">Haq input value &gt; Cached check cost</t>
        </is>
      </c>
      <c r="AJ41" s="8">
        <f>10</f>
        <v>10</v>
      </c>
    </row>
    <row r="42" outlineLevel="1">
      <c r="A42" t="inlineStr" s="14">
        <is>
          <t xml:space="preserve">Haq input value &gt; Citizen price</t>
        </is>
      </c>
      <c r="AJ42" s="8">
        <f>0</f>
        <v>0</v>
      </c>
    </row>
    <row r="43" outlineLevel="1">
      <c r="A43" t="inlineStr" s="14">
        <is>
          <t xml:space="preserve">Haq input value &gt; Cloud fixed monthly</t>
        </is>
      </c>
      <c r="AJ43" s="8">
        <f>25000</f>
        <v>25000</v>
      </c>
    </row>
    <row r="44" outlineLevel="1">
      <c r="A44" t="inlineStr" s="14">
        <is>
          <t xml:space="preserve">Haq input value &gt; Cloud per 100 checks</t>
        </is>
      </c>
      <c r="AJ44" s="8">
        <f>1</f>
        <v>1</v>
      </c>
    </row>
    <row r="45" outlineLevel="1">
      <c r="A45" t="inlineStr" s="14">
        <is>
          <t xml:space="preserve">Haq input value &gt; Collection delay</t>
        </is>
      </c>
      <c r="AJ45" s="8">
        <f>0</f>
        <v>0</v>
      </c>
    </row>
    <row r="46" outlineLevel="1">
      <c r="A46" t="inlineStr" s="14">
        <is>
          <t xml:space="preserve">Haq input value &gt; Collection fee rate</t>
        </is>
      </c>
      <c r="AJ46" s="8">
        <f>0.02</f>
        <v>0.02</v>
      </c>
    </row>
    <row r="47" outlineLevel="1">
      <c r="A47" t="inlineStr" s="14">
        <is>
          <t xml:space="preserve">Haq input value &gt; Developer count</t>
        </is>
      </c>
      <c r="AJ47" s="8">
        <f>1</f>
        <v>1</v>
      </c>
    </row>
    <row r="48" outlineLevel="1">
      <c r="A48" t="inlineStr" s="14">
        <is>
          <t xml:space="preserve">Haq input value &gt; Developer monthly salary</t>
        </is>
      </c>
      <c r="AJ48" s="8">
        <f>150000</f>
        <v>150000</v>
      </c>
    </row>
    <row r="49" outlineLevel="1">
      <c r="A49" t="inlineStr" s="14">
        <is>
          <t xml:space="preserve">Haq input value &gt; Developer start month</t>
        </is>
      </c>
      <c r="AJ49" s="8">
        <f>1</f>
        <v>1</v>
      </c>
    </row>
    <row r="50" outlineLevel="1">
      <c r="A50" t="inlineStr" s="14">
        <is>
          <t xml:space="preserve">Haq input value &gt; District launch cost</t>
        </is>
      </c>
      <c r="AJ50" s="8">
        <f>100000</f>
        <v>100000</v>
      </c>
    </row>
    <row r="51" outlineLevel="1">
      <c r="A51" t="inlineStr" s="14">
        <is>
          <t xml:space="preserve">Haq input value &gt; Employer annual worker price</t>
        </is>
      </c>
      <c r="AJ51" s="8">
        <f>50</f>
        <v>50</v>
      </c>
    </row>
    <row r="52" outlineLevel="1">
      <c r="A52" t="inlineStr" s="14">
        <is>
          <t xml:space="preserve">Haq input value &gt; Employer checks per worker year</t>
        </is>
      </c>
      <c r="AJ52" s="8">
        <f>1</f>
        <v>1</v>
      </c>
    </row>
    <row r="53" outlineLevel="1">
      <c r="A53" t="inlineStr" s="14">
        <is>
          <t xml:space="preserve">Haq input value &gt; Employer workers M12</t>
        </is>
      </c>
      <c r="AJ53" s="8">
        <f>20000</f>
        <v>20000</v>
      </c>
    </row>
    <row r="54" outlineLevel="1">
      <c r="A54" t="inlineStr" s="14">
        <is>
          <t xml:space="preserve">Haq input value &gt; Employer workers M18</t>
        </is>
      </c>
      <c r="AJ54" s="8">
        <f>35000</f>
        <v>35000</v>
      </c>
    </row>
    <row r="55" outlineLevel="1">
      <c r="A55" t="inlineStr" s="14">
        <is>
          <t xml:space="preserve">Haq input value &gt; Employer workers M24</t>
        </is>
      </c>
      <c r="AJ55" s="8">
        <f>50000</f>
        <v>50000</v>
      </c>
    </row>
    <row r="56" outlineLevel="1">
      <c r="A56" t="inlineStr" s="14">
        <is>
          <t xml:space="preserve">Haq input value &gt; Employer workers M9</t>
        </is>
      </c>
      <c r="AJ56" s="8">
        <f>10000</f>
        <v>10000</v>
      </c>
    </row>
    <row r="57" outlineLevel="1">
      <c r="A57" t="inlineStr" s="14">
        <is>
          <t xml:space="preserve">Haq input value &gt; Field lead count</t>
        </is>
      </c>
      <c r="AJ57" s="8">
        <f>1</f>
        <v>1</v>
      </c>
    </row>
    <row r="58" outlineLevel="1">
      <c r="A58" t="inlineStr" s="14">
        <is>
          <t xml:space="preserve">Haq input value &gt; Field lead monthly salary</t>
        </is>
      </c>
      <c r="AJ58" s="8">
        <f>60000</f>
        <v>60000</v>
      </c>
    </row>
    <row r="59" outlineLevel="1">
      <c r="A59" t="inlineStr" s="14">
        <is>
          <t xml:space="preserve">Haq input value &gt; Field lead start month</t>
        </is>
      </c>
      <c r="AJ59" s="8">
        <f>6</f>
        <v>6</v>
      </c>
    </row>
    <row r="60" outlineLevel="1">
      <c r="A60" t="inlineStr" s="14">
        <is>
          <t xml:space="preserve">Haq input value &gt; Founder count</t>
        </is>
      </c>
      <c r="AJ60" s="8">
        <f>1</f>
        <v>1</v>
      </c>
    </row>
    <row r="61" outlineLevel="1">
      <c r="A61" t="inlineStr" s="14">
        <is>
          <t xml:space="preserve">Haq input value &gt; Founder monthly salary</t>
        </is>
      </c>
      <c r="AJ61" s="8">
        <f>100000</f>
        <v>100000</v>
      </c>
    </row>
    <row r="62" outlineLevel="1">
      <c r="A62" t="inlineStr" s="14">
        <is>
          <t xml:space="preserve">Haq input value &gt; Founder start month</t>
        </is>
      </c>
      <c r="AJ62" s="8">
        <f>7</f>
        <v>7</v>
      </c>
    </row>
    <row r="63" outlineLevel="1">
      <c r="A63" t="inlineStr" s="14">
        <is>
          <t xml:space="preserve">Haq input value &gt; Funding safety reserve</t>
        </is>
      </c>
      <c r="AJ63" s="8">
        <f>1000000</f>
        <v>1000000</v>
      </c>
    </row>
    <row r="64" outlineLevel="1">
      <c r="A64" t="inlineStr" s="14">
        <is>
          <t xml:space="preserve">Haq input value &gt; Marketing acquisition allocation</t>
        </is>
      </c>
      <c r="AJ64" s="8">
        <f>1</f>
        <v>1</v>
      </c>
    </row>
    <row r="65" outlineLevel="1">
      <c r="A65" t="inlineStr" s="14">
        <is>
          <t xml:space="preserve">Haq input value &gt; Marketing monthly</t>
        </is>
      </c>
      <c r="AJ65" s="8">
        <f>50000</f>
        <v>50000</v>
      </c>
    </row>
    <row r="66" outlineLevel="1">
      <c r="A66" t="inlineStr" s="14">
        <is>
          <t xml:space="preserve">Haq input value &gt; Preview AI cost multiplier</t>
        </is>
      </c>
      <c r="AJ66" s="8">
        <f>1</f>
        <v>1</v>
      </c>
    </row>
    <row r="67" outlineLevel="1">
      <c r="A67" t="inlineStr" s="14">
        <is>
          <t xml:space="preserve">Haq input value &gt; Preview additional funding</t>
        </is>
      </c>
      <c r="AJ67" s="8">
        <f>0</f>
        <v>0</v>
      </c>
    </row>
    <row r="68" outlineLevel="1">
      <c r="A68" t="inlineStr" s="14">
        <is>
          <t xml:space="preserve">Haq input value &gt; Recommended CSC price</t>
        </is>
      </c>
      <c r="AJ68" s="8">
        <f>1499</f>
        <v>1499</v>
      </c>
    </row>
    <row r="69" outlineLevel="1">
      <c r="A69" t="inlineStr" s="14">
        <is>
          <t xml:space="preserve">Haq input value &gt; Recommended extra price</t>
        </is>
      </c>
      <c r="AJ69" s="8">
        <f>15</f>
        <v>15</v>
      </c>
    </row>
    <row r="70" outlineLevel="1">
      <c r="A70" t="inlineStr" s="14">
        <is>
          <t xml:space="preserve">Haq input value &gt; Scale begins month</t>
        </is>
      </c>
      <c r="AJ70" s="8">
        <f>10</f>
        <v>10</v>
      </c>
    </row>
    <row r="71" outlineLevel="1">
      <c r="A71" t="inlineStr" s="14">
        <is>
          <t xml:space="preserve">Haq input value &gt; Scale check cost</t>
        </is>
      </c>
      <c r="AJ71" s="8">
        <f>4</f>
        <v>4</v>
      </c>
    </row>
    <row r="72" outlineLevel="1">
      <c r="A72" t="inlineStr" s="14">
        <is>
          <t xml:space="preserve">Haq input value &gt; Starting cash</t>
        </is>
      </c>
      <c r="AJ72" s="8">
        <f>2500000</f>
        <v>2500000</v>
      </c>
    </row>
    <row r="73" outlineLevel="1">
      <c r="A73" t="inlineStr" s="14">
        <is>
          <t xml:space="preserve">Haq input value &gt; Uncached check cost</t>
        </is>
      </c>
      <c r="AJ73" s="8">
        <f>20</f>
        <v>20</v>
      </c>
    </row>
    <row r="74">
      <c r="A74" t="inlineStr" s="13">
        <is>
          <t xml:space="preserve">Haq input value</t>
        </is>
      </c>
      <c r="AJ74" s="6">
        <v>0</v>
      </c>
    </row>
    <row r="75" outlineLevel="1">
      <c r="A75" t="inlineStr" s="14">
        <is>
          <t xml:space="preserve">Haq input value &gt; Annual renewal retention</t>
        </is>
      </c>
      <c r="AJ75" s="8">
        <f>'Model inputs'!AJ19</f>
        <v>1</v>
      </c>
    </row>
    <row r="76" outlineLevel="1">
      <c r="A76" t="inlineStr" s="14">
        <is>
          <t xml:space="preserve">Haq input value &gt; Benefit commission rate</t>
        </is>
      </c>
      <c r="AJ76" s="8">
        <f>'Model inputs'!AJ20</f>
        <v>0</v>
      </c>
    </row>
    <row r="77" outlineLevel="1">
      <c r="A77" t="inlineStr" s="14">
        <is>
          <t xml:space="preserve">Haq input value &gt; CSC checks per operator</t>
        </is>
      </c>
      <c r="AJ77" s="8">
        <f>'Model inputs'!AJ21</f>
        <v>80</v>
      </c>
    </row>
    <row r="78" outlineLevel="1">
      <c r="A78" t="inlineStr" s="14">
        <is>
          <t xml:space="preserve">Haq input value &gt; CSC extra check price</t>
        </is>
      </c>
      <c r="AJ78" s="8">
        <f>'Model inputs'!AJ22</f>
        <v>15</v>
      </c>
    </row>
    <row r="79" outlineLevel="1">
      <c r="A79" t="inlineStr" s="14">
        <is>
          <t xml:space="preserve">Haq input value &gt; CSC gross monthly growth</t>
        </is>
      </c>
      <c r="AJ79" s="8">
        <f>0.3</f>
        <v>0.3</v>
      </c>
    </row>
    <row r="80" outlineLevel="1">
      <c r="A80" t="inlineStr" s="14">
        <is>
          <t xml:space="preserve">Haq input value &gt; CSC included checks</t>
        </is>
      </c>
      <c r="AJ80" s="8">
        <f>'Model inputs'!AJ24</f>
        <v>100</v>
      </c>
    </row>
    <row r="81" outlineLevel="1">
      <c r="A81" t="inlineStr" s="14">
        <is>
          <t xml:space="preserve">Haq input value &gt; CSC incremental CAC</t>
        </is>
      </c>
      <c r="AJ81" s="8">
        <f>'Model inputs'!AJ25</f>
        <v>2000</v>
      </c>
    </row>
    <row r="82" outlineLevel="1">
      <c r="A82" t="inlineStr" s="14">
        <is>
          <t xml:space="preserve">Haq input value &gt; CSC launch month</t>
        </is>
      </c>
      <c r="AJ82" s="8">
        <f>'Model inputs'!AJ26</f>
        <v>4</v>
      </c>
    </row>
    <row r="83" outlineLevel="1">
      <c r="A83" t="inlineStr" s="14">
        <is>
          <t xml:space="preserve">Haq input value &gt; CSC launch operators</t>
        </is>
      </c>
      <c r="AJ83" s="8">
        <f>'Model inputs'!AJ27</f>
        <v>50</v>
      </c>
    </row>
    <row r="84" outlineLevel="1">
      <c r="A84" t="inlineStr" s="14">
        <is>
          <t xml:space="preserve">Haq input value &gt; CSC monthly churn</t>
        </is>
      </c>
      <c r="AJ84" s="8">
        <f>0.03</f>
        <v>0.03</v>
      </c>
    </row>
    <row r="85" outlineLevel="1">
      <c r="A85" t="inlineStr" s="14">
        <is>
          <t xml:space="preserve">Haq input value &gt; CSC monthly price</t>
        </is>
      </c>
      <c r="AJ85" s="8">
        <f>1499</f>
        <v>1499</v>
      </c>
    </row>
    <row r="86" outlineLevel="1">
      <c r="A86" t="inlineStr" s="14">
        <is>
          <t xml:space="preserve">Haq input value &gt; CSR annual district price</t>
        </is>
      </c>
      <c r="AJ86" s="8">
        <f>'Model inputs'!AJ30</f>
        <v>500000</v>
      </c>
    </row>
    <row r="87" outlineLevel="1">
      <c r="A87" t="inlineStr" s="14">
        <is>
          <t xml:space="preserve">Haq input value &gt; CSR checks per district year</t>
        </is>
      </c>
      <c r="AJ87" s="8">
        <f>'Model inputs'!AJ31</f>
        <v>25000</v>
      </c>
    </row>
    <row r="88" outlineLevel="1">
      <c r="A88" t="inlineStr" s="14">
        <is>
          <t xml:space="preserve">Haq input value &gt; CSR district equivalents M12</t>
        </is>
      </c>
      <c r="AJ88" s="8">
        <f>6</f>
        <v>6</v>
      </c>
    </row>
    <row r="89" outlineLevel="1">
      <c r="A89" t="inlineStr" s="14">
        <is>
          <t xml:space="preserve">Haq input value &gt; CSR district equivalents M15</t>
        </is>
      </c>
      <c r="AJ89" s="8">
        <f>8</f>
        <v>8</v>
      </c>
    </row>
    <row r="90" outlineLevel="1">
      <c r="A90" t="inlineStr" s="14">
        <is>
          <t xml:space="preserve">Haq input value &gt; CSR district equivalents M18</t>
        </is>
      </c>
      <c r="AJ90" s="8">
        <f>10</f>
        <v>10</v>
      </c>
    </row>
    <row r="91" outlineLevel="1">
      <c r="A91" t="inlineStr" s="14">
        <is>
          <t xml:space="preserve">Haq input value &gt; CSR district equivalents M21</t>
        </is>
      </c>
      <c r="AJ91" s="8">
        <f>12</f>
        <v>12</v>
      </c>
    </row>
    <row r="92" outlineLevel="1">
      <c r="A92" t="inlineStr" s="14">
        <is>
          <t xml:space="preserve">Haq input value &gt; CSR district equivalents M23</t>
        </is>
      </c>
      <c r="AJ92" s="8">
        <f>14</f>
        <v>14</v>
      </c>
    </row>
    <row r="93" outlineLevel="1">
      <c r="A93" t="inlineStr" s="14">
        <is>
          <t xml:space="preserve">Haq input value &gt; CSR district equivalents M24</t>
        </is>
      </c>
      <c r="AJ93" s="8">
        <f>16</f>
        <v>16</v>
      </c>
    </row>
    <row r="94" outlineLevel="1">
      <c r="A94" t="inlineStr" s="14">
        <is>
          <t xml:space="preserve">Haq input value &gt; CSR district equivalents M6</t>
        </is>
      </c>
      <c r="AJ94" s="8">
        <f>2</f>
        <v>2</v>
      </c>
    </row>
    <row r="95" outlineLevel="1">
      <c r="A95" t="inlineStr" s="14">
        <is>
          <t xml:space="preserve">Haq input value &gt; CSR district equivalents M9</t>
        </is>
      </c>
      <c r="AJ95" s="8">
        <f>4</f>
        <v>4</v>
      </c>
    </row>
    <row r="96" outlineLevel="1">
      <c r="A96" t="inlineStr" s="14">
        <is>
          <t xml:space="preserve">Haq input value &gt; Cache begins month</t>
        </is>
      </c>
      <c r="AJ96" s="8">
        <f>'Model inputs'!AJ40</f>
        <v>4</v>
      </c>
    </row>
    <row r="97" outlineLevel="1">
      <c r="A97" t="inlineStr" s="14">
        <is>
          <t xml:space="preserve">Haq input value &gt; Cached check cost</t>
        </is>
      </c>
      <c r="AJ97" s="8">
        <f>'Model inputs'!AJ41</f>
        <v>10</v>
      </c>
    </row>
    <row r="98" outlineLevel="1">
      <c r="A98" t="inlineStr" s="14">
        <is>
          <t xml:space="preserve">Haq input value &gt; Citizen price</t>
        </is>
      </c>
      <c r="AJ98" s="8">
        <f>'Model inputs'!AJ42</f>
        <v>0</v>
      </c>
    </row>
    <row r="99" outlineLevel="1">
      <c r="A99" t="inlineStr" s="14">
        <is>
          <t xml:space="preserve">Haq input value &gt; Cloud fixed monthly</t>
        </is>
      </c>
      <c r="AJ99" s="8">
        <f>'Model inputs'!AJ43</f>
        <v>25000</v>
      </c>
    </row>
    <row r="100" outlineLevel="1">
      <c r="A100" t="inlineStr" s="14">
        <is>
          <t xml:space="preserve">Haq input value &gt; Cloud per 100 checks</t>
        </is>
      </c>
      <c r="AJ100" s="8">
        <f>'Model inputs'!AJ44</f>
        <v>1</v>
      </c>
    </row>
    <row r="101" outlineLevel="1">
      <c r="A101" t="inlineStr" s="14">
        <is>
          <t xml:space="preserve">Haq input value &gt; Collection delay</t>
        </is>
      </c>
      <c r="AJ101" s="8">
        <f>'Model inputs'!AJ45</f>
        <v>0</v>
      </c>
    </row>
    <row r="102" outlineLevel="1">
      <c r="A102" t="inlineStr" s="14">
        <is>
          <t xml:space="preserve">Haq input value &gt; Collection fee rate</t>
        </is>
      </c>
      <c r="AJ102" s="8">
        <f>'Model inputs'!AJ46</f>
        <v>0.02</v>
      </c>
    </row>
    <row r="103" outlineLevel="1">
      <c r="A103" t="inlineStr" s="14">
        <is>
          <t xml:space="preserve">Haq input value &gt; Developer count</t>
        </is>
      </c>
      <c r="AJ103" s="8">
        <f>'Model inputs'!AJ47</f>
        <v>1</v>
      </c>
    </row>
    <row r="104" outlineLevel="1">
      <c r="A104" t="inlineStr" s="14">
        <is>
          <t xml:space="preserve">Haq input value &gt; Developer monthly salary</t>
        </is>
      </c>
      <c r="AJ104" s="8">
        <f>'Model inputs'!AJ48</f>
        <v>150000</v>
      </c>
    </row>
    <row r="105" outlineLevel="1">
      <c r="A105" t="inlineStr" s="14">
        <is>
          <t xml:space="preserve">Haq input value &gt; Developer start month</t>
        </is>
      </c>
      <c r="AJ105" s="8">
        <f>'Model inputs'!AJ49</f>
        <v>1</v>
      </c>
    </row>
    <row r="106" outlineLevel="1">
      <c r="A106" t="inlineStr" s="14">
        <is>
          <t xml:space="preserve">Haq input value &gt; District launch cost</t>
        </is>
      </c>
      <c r="AJ106" s="8">
        <f>'Model inputs'!AJ50</f>
        <v>100000</v>
      </c>
    </row>
    <row r="107" outlineLevel="1">
      <c r="A107" t="inlineStr" s="14">
        <is>
          <t xml:space="preserve">Haq input value &gt; Employer annual worker price</t>
        </is>
      </c>
      <c r="AJ107" s="8">
        <f>'Model inputs'!AJ51</f>
        <v>50</v>
      </c>
    </row>
    <row r="108" outlineLevel="1">
      <c r="A108" t="inlineStr" s="14">
        <is>
          <t xml:space="preserve">Haq input value &gt; Employer checks per worker year</t>
        </is>
      </c>
      <c r="AJ108" s="8">
        <f>'Model inputs'!AJ52</f>
        <v>1</v>
      </c>
    </row>
    <row r="109" outlineLevel="1">
      <c r="A109" t="inlineStr" s="14">
        <is>
          <t xml:space="preserve">Haq input value &gt; Employer workers M12</t>
        </is>
      </c>
      <c r="AJ109" s="8">
        <f>40000</f>
        <v>40000</v>
      </c>
    </row>
    <row r="110" outlineLevel="1">
      <c r="A110" t="inlineStr" s="14">
        <is>
          <t xml:space="preserve">Haq input value &gt; Employer workers M18</t>
        </is>
      </c>
      <c r="AJ110" s="8">
        <f>70000</f>
        <v>70000</v>
      </c>
    </row>
    <row r="111" outlineLevel="1">
      <c r="A111" t="inlineStr" s="14">
        <is>
          <t xml:space="preserve">Haq input value &gt; Employer workers M24</t>
        </is>
      </c>
      <c r="AJ111" s="8">
        <f>100000</f>
        <v>100000</v>
      </c>
    </row>
    <row r="112" outlineLevel="1">
      <c r="A112" t="inlineStr" s="14">
        <is>
          <t xml:space="preserve">Haq input value &gt; Employer workers M9</t>
        </is>
      </c>
      <c r="AJ112" s="8">
        <f>20000</f>
        <v>20000</v>
      </c>
    </row>
    <row r="113" outlineLevel="1">
      <c r="A113" t="inlineStr" s="14">
        <is>
          <t xml:space="preserve">Haq input value &gt; Field lead count</t>
        </is>
      </c>
      <c r="AJ113" s="8">
        <f>'Model inputs'!AJ57</f>
        <v>1</v>
      </c>
    </row>
    <row r="114" outlineLevel="1">
      <c r="A114" t="inlineStr" s="14">
        <is>
          <t xml:space="preserve">Haq input value &gt; Field lead monthly salary</t>
        </is>
      </c>
      <c r="AJ114" s="8">
        <f>'Model inputs'!AJ58</f>
        <v>60000</v>
      </c>
    </row>
    <row r="115" outlineLevel="1">
      <c r="A115" t="inlineStr" s="14">
        <is>
          <t xml:space="preserve">Haq input value &gt; Field lead start month</t>
        </is>
      </c>
      <c r="AJ115" s="8">
        <f>'Model inputs'!AJ59</f>
        <v>6</v>
      </c>
    </row>
    <row r="116" outlineLevel="1">
      <c r="A116" t="inlineStr" s="14">
        <is>
          <t xml:space="preserve">Haq input value &gt; Founder count</t>
        </is>
      </c>
      <c r="AJ116" s="8">
        <f>'Model inputs'!AJ60</f>
        <v>1</v>
      </c>
    </row>
    <row r="117" outlineLevel="1">
      <c r="A117" t="inlineStr" s="14">
        <is>
          <t xml:space="preserve">Haq input value &gt; Founder monthly salary</t>
        </is>
      </c>
      <c r="AJ117" s="8">
        <f>'Model inputs'!AJ61</f>
        <v>100000</v>
      </c>
    </row>
    <row r="118" outlineLevel="1">
      <c r="A118" t="inlineStr" s="14">
        <is>
          <t xml:space="preserve">Haq input value &gt; Founder start month</t>
        </is>
      </c>
      <c r="AJ118" s="8">
        <f>'Model inputs'!AJ62</f>
        <v>7</v>
      </c>
    </row>
    <row r="119" outlineLevel="1">
      <c r="A119" t="inlineStr" s="14">
        <is>
          <t xml:space="preserve">Haq input value &gt; Funding safety reserve</t>
        </is>
      </c>
      <c r="AJ119" s="8">
        <f>'Model inputs'!AJ63</f>
        <v>1000000</v>
      </c>
    </row>
    <row r="120" outlineLevel="1">
      <c r="A120" t="inlineStr" s="14">
        <is>
          <t xml:space="preserve">Haq input value &gt; Marketing acquisition allocation</t>
        </is>
      </c>
      <c r="AJ120" s="8">
        <f>'Model inputs'!AJ64</f>
        <v>1</v>
      </c>
    </row>
    <row r="121" outlineLevel="1">
      <c r="A121" t="inlineStr" s="14">
        <is>
          <t xml:space="preserve">Haq input value &gt; Marketing monthly</t>
        </is>
      </c>
      <c r="AJ121" s="8">
        <f>'Model inputs'!AJ65</f>
        <v>50000</v>
      </c>
    </row>
    <row r="122" outlineLevel="1">
      <c r="A122" t="inlineStr" s="14">
        <is>
          <t xml:space="preserve">Haq input value &gt; Preview AI cost multiplier</t>
        </is>
      </c>
      <c r="AJ122" s="8">
        <f>'Model inputs'!AJ66</f>
        <v>1</v>
      </c>
    </row>
    <row r="123" outlineLevel="1">
      <c r="A123" t="inlineStr" s="14">
        <is>
          <t xml:space="preserve">Haq input value &gt; Preview additional funding</t>
        </is>
      </c>
      <c r="AJ123" s="8">
        <f>'Model inputs'!AJ67</f>
        <v>0</v>
      </c>
    </row>
    <row r="124" outlineLevel="1">
      <c r="A124" t="inlineStr" s="14">
        <is>
          <t xml:space="preserve">Haq input value &gt; Recommended CSC price</t>
        </is>
      </c>
      <c r="AJ124" s="8">
        <f>'Model inputs'!AJ68</f>
        <v>1499</v>
      </c>
    </row>
    <row r="125" outlineLevel="1">
      <c r="A125" t="inlineStr" s="14">
        <is>
          <t xml:space="preserve">Haq input value &gt; Recommended extra price</t>
        </is>
      </c>
      <c r="AJ125" s="8">
        <f>'Model inputs'!AJ69</f>
        <v>15</v>
      </c>
    </row>
    <row r="126" outlineLevel="1">
      <c r="A126" t="inlineStr" s="14">
        <is>
          <t xml:space="preserve">Haq input value &gt; Scale begins month</t>
        </is>
      </c>
      <c r="AJ126" s="8">
        <f>6</f>
        <v>6</v>
      </c>
    </row>
    <row r="127" outlineLevel="1">
      <c r="A127" t="inlineStr" s="14">
        <is>
          <t xml:space="preserve">Haq input value &gt; Scale check cost</t>
        </is>
      </c>
      <c r="AJ127" s="8">
        <f>'Model inputs'!AJ71</f>
        <v>4</v>
      </c>
    </row>
    <row r="128" outlineLevel="1">
      <c r="A128" t="inlineStr" s="14">
        <is>
          <t xml:space="preserve">Haq input value &gt; Starting cash</t>
        </is>
      </c>
      <c r="AJ128" s="8">
        <f>'Model inputs'!AJ72</f>
        <v>2500000</v>
      </c>
    </row>
    <row r="129" outlineLevel="1">
      <c r="A129" t="inlineStr" s="14">
        <is>
          <t xml:space="preserve">Haq input value &gt; Uncached check cost</t>
        </is>
      </c>
      <c r="AJ129" s="8">
        <f>'Model inputs'!AJ73</f>
        <v>20</v>
      </c>
    </row>
    <row r="130">
      <c r="A130" t="inlineStr" s="13">
        <is>
          <t xml:space="preserve">Haq input value</t>
        </is>
      </c>
      <c r="AJ130" s="6">
        <v>0</v>
      </c>
    </row>
    <row r="131" outlineLevel="1">
      <c r="A131" t="inlineStr" s="14">
        <is>
          <t xml:space="preserve">Haq input value &gt; Annual renewal retention</t>
        </is>
      </c>
      <c r="AJ131" s="8">
        <f>'Model inputs'!AJ19</f>
        <v>1</v>
      </c>
    </row>
    <row r="132" outlineLevel="1">
      <c r="A132" t="inlineStr" s="14">
        <is>
          <t xml:space="preserve">Haq input value &gt; Benefit commission rate</t>
        </is>
      </c>
      <c r="AJ132" s="8">
        <f>'Model inputs'!AJ20</f>
        <v>0</v>
      </c>
    </row>
    <row r="133" outlineLevel="1">
      <c r="A133" t="inlineStr" s="14">
        <is>
          <t xml:space="preserve">Haq input value &gt; CSC checks per operator</t>
        </is>
      </c>
      <c r="AJ133" s="8">
        <f>'Model inputs'!AJ21</f>
        <v>80</v>
      </c>
    </row>
    <row r="134" outlineLevel="1">
      <c r="A134" t="inlineStr" s="14">
        <is>
          <t xml:space="preserve">Haq input value &gt; CSC extra check price</t>
        </is>
      </c>
      <c r="AJ134" s="8">
        <f>'Model inputs'!AJ22</f>
        <v>15</v>
      </c>
    </row>
    <row r="135" outlineLevel="1">
      <c r="A135" t="inlineStr" s="14">
        <is>
          <t xml:space="preserve">Haq input value &gt; CSC gross monthly growth</t>
        </is>
      </c>
      <c r="AJ135" s="8">
        <f>0.1</f>
        <v>0.1</v>
      </c>
    </row>
    <row r="136" outlineLevel="1">
      <c r="A136" t="inlineStr" s="14">
        <is>
          <t xml:space="preserve">Haq input value &gt; CSC included checks</t>
        </is>
      </c>
      <c r="AJ136" s="8">
        <f>'Model inputs'!AJ24</f>
        <v>100</v>
      </c>
    </row>
    <row r="137" outlineLevel="1">
      <c r="A137" t="inlineStr" s="14">
        <is>
          <t xml:space="preserve">Haq input value &gt; CSC incremental CAC</t>
        </is>
      </c>
      <c r="AJ137" s="8">
        <f>'Model inputs'!AJ25</f>
        <v>2000</v>
      </c>
    </row>
    <row r="138" outlineLevel="1">
      <c r="A138" t="inlineStr" s="14">
        <is>
          <t xml:space="preserve">Haq input value &gt; CSC launch month</t>
        </is>
      </c>
      <c r="AJ138" s="8">
        <f>'Model inputs'!AJ26</f>
        <v>4</v>
      </c>
    </row>
    <row r="139" outlineLevel="1">
      <c r="A139" t="inlineStr" s="14">
        <is>
          <t xml:space="preserve">Haq input value &gt; CSC launch operators</t>
        </is>
      </c>
      <c r="AJ139" s="8">
        <f>'Model inputs'!AJ27</f>
        <v>50</v>
      </c>
    </row>
    <row r="140" outlineLevel="1">
      <c r="A140" t="inlineStr" s="14">
        <is>
          <t xml:space="preserve">Haq input value &gt; CSC monthly churn</t>
        </is>
      </c>
      <c r="AJ140" s="8">
        <f>0.07</f>
        <v>0.07</v>
      </c>
    </row>
    <row r="141" outlineLevel="1">
      <c r="A141" t="inlineStr" s="14">
        <is>
          <t xml:space="preserve">Haq input value &gt; CSC monthly price</t>
        </is>
      </c>
      <c r="AJ141" s="8">
        <f>1499</f>
        <v>1499</v>
      </c>
    </row>
    <row r="142" outlineLevel="1">
      <c r="A142" t="inlineStr" s="14">
        <is>
          <t xml:space="preserve">Haq input value &gt; CSR annual district price</t>
        </is>
      </c>
      <c r="AJ142" s="8">
        <f>'Model inputs'!AJ30</f>
        <v>500000</v>
      </c>
    </row>
    <row r="143" outlineLevel="1">
      <c r="A143" t="inlineStr" s="14">
        <is>
          <t xml:space="preserve">Haq input value &gt; CSR checks per district year</t>
        </is>
      </c>
      <c r="AJ143" s="8">
        <f>'Model inputs'!AJ31</f>
        <v>25000</v>
      </c>
    </row>
    <row r="144" outlineLevel="1">
      <c r="A144" t="inlineStr" s="14">
        <is>
          <t xml:space="preserve">Haq input value &gt; CSR district equivalents M12</t>
        </is>
      </c>
      <c r="AJ144" s="8">
        <f>1.5</f>
        <v>1.5</v>
      </c>
    </row>
    <row r="145" outlineLevel="1">
      <c r="A145" t="inlineStr" s="14">
        <is>
          <t xml:space="preserve">Haq input value &gt; CSR district equivalents M15</t>
        </is>
      </c>
      <c r="AJ145" s="8">
        <f>2</f>
        <v>2</v>
      </c>
    </row>
    <row r="146" outlineLevel="1">
      <c r="A146" t="inlineStr" s="14">
        <is>
          <t xml:space="preserve">Haq input value &gt; CSR district equivalents M18</t>
        </is>
      </c>
      <c r="AJ146" s="8">
        <f>2.5</f>
        <v>2.5</v>
      </c>
    </row>
    <row r="147" outlineLevel="1">
      <c r="A147" t="inlineStr" s="14">
        <is>
          <t xml:space="preserve">Haq input value &gt; CSR district equivalents M21</t>
        </is>
      </c>
      <c r="AJ147" s="8">
        <f>3</f>
        <v>3</v>
      </c>
    </row>
    <row r="148" outlineLevel="1">
      <c r="A148" t="inlineStr" s="14">
        <is>
          <t xml:space="preserve">Haq input value &gt; CSR district equivalents M23</t>
        </is>
      </c>
      <c r="AJ148" s="8">
        <f>3.5</f>
        <v>3.5</v>
      </c>
    </row>
    <row r="149" outlineLevel="1">
      <c r="A149" t="inlineStr" s="14">
        <is>
          <t xml:space="preserve">Haq input value &gt; CSR district equivalents M24</t>
        </is>
      </c>
      <c r="AJ149" s="8">
        <f>4</f>
        <v>4</v>
      </c>
    </row>
    <row r="150" outlineLevel="1">
      <c r="A150" t="inlineStr" s="14">
        <is>
          <t xml:space="preserve">Haq input value &gt; CSR district equivalents M6</t>
        </is>
      </c>
      <c r="AJ150" s="8">
        <f>0.5</f>
        <v>0.5</v>
      </c>
    </row>
    <row r="151" outlineLevel="1">
      <c r="A151" t="inlineStr" s="14">
        <is>
          <t xml:space="preserve">Haq input value &gt; CSR district equivalents M9</t>
        </is>
      </c>
      <c r="AJ151" s="8">
        <f>1</f>
        <v>1</v>
      </c>
    </row>
    <row r="152" outlineLevel="1">
      <c r="A152" t="inlineStr" s="14">
        <is>
          <t xml:space="preserve">Haq input value &gt; Cache begins month</t>
        </is>
      </c>
      <c r="AJ152" s="8">
        <f>'Model inputs'!AJ40</f>
        <v>4</v>
      </c>
    </row>
    <row r="153" outlineLevel="1">
      <c r="A153" t="inlineStr" s="14">
        <is>
          <t xml:space="preserve">Haq input value &gt; Cached check cost</t>
        </is>
      </c>
      <c r="AJ153" s="8">
        <f>'Model inputs'!AJ41</f>
        <v>10</v>
      </c>
    </row>
    <row r="154" outlineLevel="1">
      <c r="A154" t="inlineStr" s="14">
        <is>
          <t xml:space="preserve">Haq input value &gt; Citizen price</t>
        </is>
      </c>
      <c r="AJ154" s="8">
        <f>'Model inputs'!AJ42</f>
        <v>0</v>
      </c>
    </row>
    <row r="155" outlineLevel="1">
      <c r="A155" t="inlineStr" s="14">
        <is>
          <t xml:space="preserve">Haq input value &gt; Cloud fixed monthly</t>
        </is>
      </c>
      <c r="AJ155" s="8">
        <f>'Model inputs'!AJ43</f>
        <v>25000</v>
      </c>
    </row>
    <row r="156" outlineLevel="1">
      <c r="A156" t="inlineStr" s="14">
        <is>
          <t xml:space="preserve">Haq input value &gt; Cloud per 100 checks</t>
        </is>
      </c>
      <c r="AJ156" s="8">
        <f>'Model inputs'!AJ44</f>
        <v>1</v>
      </c>
    </row>
    <row r="157" outlineLevel="1">
      <c r="A157" t="inlineStr" s="14">
        <is>
          <t xml:space="preserve">Haq input value &gt; Collection delay</t>
        </is>
      </c>
      <c r="AJ157" s="8">
        <f>'Model inputs'!AJ45</f>
        <v>0</v>
      </c>
    </row>
    <row r="158" outlineLevel="1">
      <c r="A158" t="inlineStr" s="14">
        <is>
          <t xml:space="preserve">Haq input value &gt; Collection fee rate</t>
        </is>
      </c>
      <c r="AJ158" s="8">
        <f>'Model inputs'!AJ46</f>
        <v>0.02</v>
      </c>
    </row>
    <row r="159" outlineLevel="1">
      <c r="A159" t="inlineStr" s="14">
        <is>
          <t xml:space="preserve">Haq input value &gt; Developer count</t>
        </is>
      </c>
      <c r="AJ159" s="8">
        <f>'Model inputs'!AJ47</f>
        <v>1</v>
      </c>
    </row>
    <row r="160" outlineLevel="1">
      <c r="A160" t="inlineStr" s="14">
        <is>
          <t xml:space="preserve">Haq input value &gt; Developer monthly salary</t>
        </is>
      </c>
      <c r="AJ160" s="8">
        <f>'Model inputs'!AJ48</f>
        <v>150000</v>
      </c>
    </row>
    <row r="161" outlineLevel="1">
      <c r="A161" t="inlineStr" s="14">
        <is>
          <t xml:space="preserve">Haq input value &gt; Developer start month</t>
        </is>
      </c>
      <c r="AJ161" s="8">
        <f>'Model inputs'!AJ49</f>
        <v>1</v>
      </c>
    </row>
    <row r="162" outlineLevel="1">
      <c r="A162" t="inlineStr" s="14">
        <is>
          <t xml:space="preserve">Haq input value &gt; District launch cost</t>
        </is>
      </c>
      <c r="AJ162" s="8">
        <f>'Model inputs'!AJ50</f>
        <v>100000</v>
      </c>
    </row>
    <row r="163" outlineLevel="1">
      <c r="A163" t="inlineStr" s="14">
        <is>
          <t xml:space="preserve">Haq input value &gt; Employer annual worker price</t>
        </is>
      </c>
      <c r="AJ163" s="8">
        <f>'Model inputs'!AJ51</f>
        <v>50</v>
      </c>
    </row>
    <row r="164" outlineLevel="1">
      <c r="A164" t="inlineStr" s="14">
        <is>
          <t xml:space="preserve">Haq input value &gt; Employer checks per worker year</t>
        </is>
      </c>
      <c r="AJ164" s="8">
        <f>'Model inputs'!AJ52</f>
        <v>1</v>
      </c>
    </row>
    <row r="165" outlineLevel="1">
      <c r="A165" t="inlineStr" s="14">
        <is>
          <t xml:space="preserve">Haq input value &gt; Employer workers M12</t>
        </is>
      </c>
      <c r="AJ165" s="8">
        <f>10000</f>
        <v>10000</v>
      </c>
    </row>
    <row r="166" outlineLevel="1">
      <c r="A166" t="inlineStr" s="14">
        <is>
          <t xml:space="preserve">Haq input value &gt; Employer workers M18</t>
        </is>
      </c>
      <c r="AJ166" s="8">
        <f>17500</f>
        <v>17500</v>
      </c>
    </row>
    <row r="167" outlineLevel="1">
      <c r="A167" t="inlineStr" s="14">
        <is>
          <t xml:space="preserve">Haq input value &gt; Employer workers M24</t>
        </is>
      </c>
      <c r="AJ167" s="8">
        <f>25000</f>
        <v>25000</v>
      </c>
    </row>
    <row r="168" outlineLevel="1">
      <c r="A168" t="inlineStr" s="14">
        <is>
          <t xml:space="preserve">Haq input value &gt; Employer workers M9</t>
        </is>
      </c>
      <c r="AJ168" s="8">
        <f>5000</f>
        <v>5000</v>
      </c>
    </row>
    <row r="169" outlineLevel="1">
      <c r="A169" t="inlineStr" s="14">
        <is>
          <t xml:space="preserve">Haq input value &gt; Field lead count</t>
        </is>
      </c>
      <c r="AJ169" s="8">
        <f>'Model inputs'!AJ57</f>
        <v>1</v>
      </c>
    </row>
    <row r="170" outlineLevel="1">
      <c r="A170" t="inlineStr" s="14">
        <is>
          <t xml:space="preserve">Haq input value &gt; Field lead monthly salary</t>
        </is>
      </c>
      <c r="AJ170" s="8">
        <f>'Model inputs'!AJ58</f>
        <v>60000</v>
      </c>
    </row>
    <row r="171" outlineLevel="1">
      <c r="A171" t="inlineStr" s="14">
        <is>
          <t xml:space="preserve">Haq input value &gt; Field lead start month</t>
        </is>
      </c>
      <c r="AJ171" s="8">
        <f>'Model inputs'!AJ59</f>
        <v>6</v>
      </c>
    </row>
    <row r="172" outlineLevel="1">
      <c r="A172" t="inlineStr" s="14">
        <is>
          <t xml:space="preserve">Haq input value &gt; Founder count</t>
        </is>
      </c>
      <c r="AJ172" s="8">
        <f>'Model inputs'!AJ60</f>
        <v>1</v>
      </c>
    </row>
    <row r="173" outlineLevel="1">
      <c r="A173" t="inlineStr" s="14">
        <is>
          <t xml:space="preserve">Haq input value &gt; Founder monthly salary</t>
        </is>
      </c>
      <c r="AJ173" s="8">
        <f>'Model inputs'!AJ61</f>
        <v>100000</v>
      </c>
    </row>
    <row r="174" outlineLevel="1">
      <c r="A174" t="inlineStr" s="14">
        <is>
          <t xml:space="preserve">Haq input value &gt; Founder start month</t>
        </is>
      </c>
      <c r="AJ174" s="8">
        <f>'Model inputs'!AJ62</f>
        <v>7</v>
      </c>
    </row>
    <row r="175" outlineLevel="1">
      <c r="A175" t="inlineStr" s="14">
        <is>
          <t xml:space="preserve">Haq input value &gt; Funding safety reserve</t>
        </is>
      </c>
      <c r="AJ175" s="8">
        <f>'Model inputs'!AJ63</f>
        <v>1000000</v>
      </c>
    </row>
    <row r="176" outlineLevel="1">
      <c r="A176" t="inlineStr" s="14">
        <is>
          <t xml:space="preserve">Haq input value &gt; Marketing acquisition allocation</t>
        </is>
      </c>
      <c r="AJ176" s="8">
        <f>'Model inputs'!AJ64</f>
        <v>1</v>
      </c>
    </row>
    <row r="177" outlineLevel="1">
      <c r="A177" t="inlineStr" s="14">
        <is>
          <t xml:space="preserve">Haq input value &gt; Marketing monthly</t>
        </is>
      </c>
      <c r="AJ177" s="8">
        <f>'Model inputs'!AJ65</f>
        <v>50000</v>
      </c>
    </row>
    <row r="178" outlineLevel="1">
      <c r="A178" t="inlineStr" s="14">
        <is>
          <t xml:space="preserve">Haq input value &gt; Preview AI cost multiplier</t>
        </is>
      </c>
      <c r="AJ178" s="8">
        <f>'Model inputs'!AJ66</f>
        <v>1</v>
      </c>
    </row>
    <row r="179" outlineLevel="1">
      <c r="A179" t="inlineStr" s="14">
        <is>
          <t xml:space="preserve">Haq input value &gt; Preview additional funding</t>
        </is>
      </c>
      <c r="AJ179" s="8">
        <f>'Model inputs'!AJ67</f>
        <v>0</v>
      </c>
    </row>
    <row r="180" outlineLevel="1">
      <c r="A180" t="inlineStr" s="14">
        <is>
          <t xml:space="preserve">Haq input value &gt; Recommended CSC price</t>
        </is>
      </c>
      <c r="AJ180" s="8">
        <f>'Model inputs'!AJ68</f>
        <v>1499</v>
      </c>
    </row>
    <row r="181" outlineLevel="1">
      <c r="A181" t="inlineStr" s="14">
        <is>
          <t xml:space="preserve">Haq input value &gt; Recommended extra price</t>
        </is>
      </c>
      <c r="AJ181" s="8">
        <f>'Model inputs'!AJ69</f>
        <v>15</v>
      </c>
    </row>
    <row r="182" outlineLevel="1">
      <c r="A182" t="inlineStr" s="14">
        <is>
          <t xml:space="preserve">Haq input value &gt; Scale begins month</t>
        </is>
      </c>
      <c r="AJ182" s="8">
        <f>25</f>
        <v>25</v>
      </c>
    </row>
    <row r="183" outlineLevel="1">
      <c r="A183" t="inlineStr" s="14">
        <is>
          <t xml:space="preserve">Haq input value &gt; Scale check cost</t>
        </is>
      </c>
      <c r="AJ183" s="8">
        <f>'Model inputs'!AJ71</f>
        <v>4</v>
      </c>
    </row>
    <row r="184" outlineLevel="1">
      <c r="A184" t="inlineStr" s="14">
        <is>
          <t xml:space="preserve">Haq input value &gt; Starting cash</t>
        </is>
      </c>
      <c r="AJ184" s="8">
        <f>'Model inputs'!AJ72</f>
        <v>2500000</v>
      </c>
    </row>
    <row r="185" outlineLevel="1">
      <c r="A185" t="inlineStr" s="14">
        <is>
          <t xml:space="preserve">Haq input value &gt; Uncached check cost</t>
        </is>
      </c>
      <c r="AJ185" s="8">
        <f>'Model inputs'!AJ73</f>
        <v>20</v>
      </c>
    </row>
    <row r="186">
      <c r="A186" t="inlineStr" s="13">
        <is>
          <t xml:space="preserve">Haq month · Main Scenario</t>
        </is>
      </c>
      <c r="B186" s="8">
        <f>(YEAR(DATE(2026,1,1))-2026)*12+MONTH(DATE(2026,1,1))-10</f>
        <v>-9</v>
      </c>
      <c r="C186" s="8">
        <f>(YEAR(DATE(2026,2,1))-2026)*12+MONTH(DATE(2026,2,1))-10</f>
        <v>-8</v>
      </c>
      <c r="D186" s="8">
        <f>(YEAR(DATE(2026,3,1))-2026)*12+MONTH(DATE(2026,3,1))-10</f>
        <v>-7</v>
      </c>
      <c r="E186" s="8">
        <f>(YEAR(DATE(2026,4,1))-2026)*12+MONTH(DATE(2026,4,1))-10</f>
        <v>-6</v>
      </c>
      <c r="F186" s="8">
        <f>(YEAR(DATE(2026,5,1))-2026)*12+MONTH(DATE(2026,5,1))-10</f>
        <v>-5</v>
      </c>
      <c r="G186" s="8">
        <f>(YEAR(DATE(2026,6,1))-2026)*12+MONTH(DATE(2026,6,1))-10</f>
        <v>-4</v>
      </c>
      <c r="H186" s="8">
        <f>(YEAR(DATE(2026,7,1))-2026)*12+MONTH(DATE(2026,7,1))-10</f>
        <v>-3</v>
      </c>
      <c r="I186" s="8">
        <f>(YEAR(DATE(2026,8,1))-2026)*12+MONTH(DATE(2026,8,1))-10</f>
        <v>-2</v>
      </c>
      <c r="J186" s="8">
        <f>(YEAR(DATE(2026,9,1))-2026)*12+MONTH(DATE(2026,9,1))-10</f>
        <v>-1</v>
      </c>
      <c r="K186" s="8">
        <f>(YEAR(DATE(2026,10,1))-2026)*12+MONTH(DATE(2026,10,1))-10</f>
        <v>0</v>
      </c>
      <c r="L186" s="8">
        <f>(YEAR(DATE(2026,11,1))-2026)*12+MONTH(DATE(2026,11,1))-10</f>
        <v>1</v>
      </c>
      <c r="M186" s="8">
        <f>(YEAR(DATE(2026,12,1))-2026)*12+MONTH(DATE(2026,12,1))-10</f>
        <v>2</v>
      </c>
      <c r="N186" s="8">
        <f>(YEAR(DATE(2027,1,1))-2026)*12+MONTH(DATE(2027,1,1))-10</f>
        <v>3</v>
      </c>
      <c r="O186" s="8">
        <f>(YEAR(DATE(2027,2,1))-2026)*12+MONTH(DATE(2027,2,1))-10</f>
        <v>4</v>
      </c>
      <c r="P186" s="8">
        <f>(YEAR(DATE(2027,3,1))-2026)*12+MONTH(DATE(2027,3,1))-10</f>
        <v>5</v>
      </c>
      <c r="Q186" s="8">
        <f>(YEAR(DATE(2027,4,1))-2026)*12+MONTH(DATE(2027,4,1))-10</f>
        <v>6</v>
      </c>
      <c r="R186" s="8">
        <f>(YEAR(DATE(2027,5,1))-2026)*12+MONTH(DATE(2027,5,1))-10</f>
        <v>7</v>
      </c>
      <c r="S186" s="8">
        <f>(YEAR(DATE(2027,6,1))-2026)*12+MONTH(DATE(2027,6,1))-10</f>
        <v>8</v>
      </c>
      <c r="T186" s="8">
        <f>(YEAR(DATE(2027,7,1))-2026)*12+MONTH(DATE(2027,7,1))-10</f>
        <v>9</v>
      </c>
      <c r="U186" s="8">
        <f>(YEAR(DATE(2027,8,1))-2026)*12+MONTH(DATE(2027,8,1))-10</f>
        <v>10</v>
      </c>
      <c r="V186" s="8">
        <f>(YEAR(DATE(2027,9,1))-2026)*12+MONTH(DATE(2027,9,1))-10</f>
        <v>11</v>
      </c>
      <c r="W186" s="8">
        <f>(YEAR(DATE(2027,10,1))-2026)*12+MONTH(DATE(2027,10,1))-10</f>
        <v>12</v>
      </c>
      <c r="X186" s="8">
        <f>(YEAR(DATE(2027,11,1))-2026)*12+MONTH(DATE(2027,11,1))-10</f>
        <v>13</v>
      </c>
      <c r="Y186" s="8">
        <f>(YEAR(DATE(2027,12,1))-2026)*12+MONTH(DATE(2027,12,1))-10</f>
        <v>14</v>
      </c>
      <c r="Z186" s="8">
        <f>(YEAR(DATE(2028,1,1))-2026)*12+MONTH(DATE(2028,1,1))-10</f>
        <v>15</v>
      </c>
      <c r="AA186" s="8">
        <f>(YEAR(DATE(2028,2,1))-2026)*12+MONTH(DATE(2028,2,1))-10</f>
        <v>16</v>
      </c>
      <c r="AB186" s="8">
        <f>(YEAR(DATE(2028,3,1))-2026)*12+MONTH(DATE(2028,3,1))-10</f>
        <v>17</v>
      </c>
      <c r="AC186" s="8">
        <f>(YEAR(DATE(2028,4,1))-2026)*12+MONTH(DATE(2028,4,1))-10</f>
        <v>18</v>
      </c>
      <c r="AD186" s="8">
        <f>(YEAR(DATE(2028,5,1))-2026)*12+MONTH(DATE(2028,5,1))-10</f>
        <v>19</v>
      </c>
      <c r="AE186" s="8">
        <f>(YEAR(DATE(2028,6,1))-2026)*12+MONTH(DATE(2028,6,1))-10</f>
        <v>20</v>
      </c>
      <c r="AF186" s="8">
        <f>(YEAR(DATE(2028,7,1))-2026)*12+MONTH(DATE(2028,7,1))-10</f>
        <v>21</v>
      </c>
      <c r="AG186" s="8">
        <f>(YEAR(DATE(2028,8,1))-2026)*12+MONTH(DATE(2028,8,1))-10</f>
        <v>22</v>
      </c>
      <c r="AH186" s="8">
        <f>(YEAR(DATE(2028,9,1))-2026)*12+MONTH(DATE(2028,9,1))-10</f>
        <v>23</v>
      </c>
      <c r="AI186" s="8">
        <f>(YEAR(DATE(2028,10,1))-2026)*12+MONTH(DATE(2028,10,1))-10</f>
        <v>24</v>
      </c>
    </row>
    <row r="187">
      <c r="A187" t="inlineStr" s="13">
        <is>
          <t xml:space="preserve">Haq month · Growth</t>
        </is>
      </c>
      <c r="B187" s="8">
        <f>(YEAR(DATE(2026,1,1))-2026)*12+MONTH(DATE(2026,1,1))-10</f>
        <v>-9</v>
      </c>
      <c r="C187" s="8">
        <f>(YEAR(DATE(2026,2,1))-2026)*12+MONTH(DATE(2026,2,1))-10</f>
        <v>-8</v>
      </c>
      <c r="D187" s="8">
        <f>(YEAR(DATE(2026,3,1))-2026)*12+MONTH(DATE(2026,3,1))-10</f>
        <v>-7</v>
      </c>
      <c r="E187" s="8">
        <f>(YEAR(DATE(2026,4,1))-2026)*12+MONTH(DATE(2026,4,1))-10</f>
        <v>-6</v>
      </c>
      <c r="F187" s="8">
        <f>(YEAR(DATE(2026,5,1))-2026)*12+MONTH(DATE(2026,5,1))-10</f>
        <v>-5</v>
      </c>
      <c r="G187" s="8">
        <f>(YEAR(DATE(2026,6,1))-2026)*12+MONTH(DATE(2026,6,1))-10</f>
        <v>-4</v>
      </c>
      <c r="H187" s="8">
        <f>(YEAR(DATE(2026,7,1))-2026)*12+MONTH(DATE(2026,7,1))-10</f>
        <v>-3</v>
      </c>
      <c r="I187" s="8">
        <f>(YEAR(DATE(2026,8,1))-2026)*12+MONTH(DATE(2026,8,1))-10</f>
        <v>-2</v>
      </c>
      <c r="J187" s="8">
        <f>(YEAR(DATE(2026,9,1))-2026)*12+MONTH(DATE(2026,9,1))-10</f>
        <v>-1</v>
      </c>
      <c r="K187" s="8">
        <f>(YEAR(DATE(2026,10,1))-2026)*12+MONTH(DATE(2026,10,1))-10</f>
        <v>0</v>
      </c>
      <c r="L187" s="8">
        <f>(YEAR(DATE(2026,11,1))-2026)*12+MONTH(DATE(2026,11,1))-10</f>
        <v>1</v>
      </c>
      <c r="M187" s="8">
        <f>(YEAR(DATE(2026,12,1))-2026)*12+MONTH(DATE(2026,12,1))-10</f>
        <v>2</v>
      </c>
      <c r="N187" s="8">
        <f>(YEAR(DATE(2027,1,1))-2026)*12+MONTH(DATE(2027,1,1))-10</f>
        <v>3</v>
      </c>
      <c r="O187" s="8">
        <f>(YEAR(DATE(2027,2,1))-2026)*12+MONTH(DATE(2027,2,1))-10</f>
        <v>4</v>
      </c>
      <c r="P187" s="8">
        <f>(YEAR(DATE(2027,3,1))-2026)*12+MONTH(DATE(2027,3,1))-10</f>
        <v>5</v>
      </c>
      <c r="Q187" s="8">
        <f>(YEAR(DATE(2027,4,1))-2026)*12+MONTH(DATE(2027,4,1))-10</f>
        <v>6</v>
      </c>
      <c r="R187" s="8">
        <f>(YEAR(DATE(2027,5,1))-2026)*12+MONTH(DATE(2027,5,1))-10</f>
        <v>7</v>
      </c>
      <c r="S187" s="8">
        <f>(YEAR(DATE(2027,6,1))-2026)*12+MONTH(DATE(2027,6,1))-10</f>
        <v>8</v>
      </c>
      <c r="T187" s="8">
        <f>(YEAR(DATE(2027,7,1))-2026)*12+MONTH(DATE(2027,7,1))-10</f>
        <v>9</v>
      </c>
      <c r="U187" s="8">
        <f>(YEAR(DATE(2027,8,1))-2026)*12+MONTH(DATE(2027,8,1))-10</f>
        <v>10</v>
      </c>
      <c r="V187" s="8">
        <f>(YEAR(DATE(2027,9,1))-2026)*12+MONTH(DATE(2027,9,1))-10</f>
        <v>11</v>
      </c>
      <c r="W187" s="8">
        <f>(YEAR(DATE(2027,10,1))-2026)*12+MONTH(DATE(2027,10,1))-10</f>
        <v>12</v>
      </c>
      <c r="X187" s="8">
        <f>(YEAR(DATE(2027,11,1))-2026)*12+MONTH(DATE(2027,11,1))-10</f>
        <v>13</v>
      </c>
      <c r="Y187" s="8">
        <f>(YEAR(DATE(2027,12,1))-2026)*12+MONTH(DATE(2027,12,1))-10</f>
        <v>14</v>
      </c>
      <c r="Z187" s="8">
        <f>(YEAR(DATE(2028,1,1))-2026)*12+MONTH(DATE(2028,1,1))-10</f>
        <v>15</v>
      </c>
      <c r="AA187" s="8">
        <f>(YEAR(DATE(2028,2,1))-2026)*12+MONTH(DATE(2028,2,1))-10</f>
        <v>16</v>
      </c>
      <c r="AB187" s="8">
        <f>(YEAR(DATE(2028,3,1))-2026)*12+MONTH(DATE(2028,3,1))-10</f>
        <v>17</v>
      </c>
      <c r="AC187" s="8">
        <f>(YEAR(DATE(2028,4,1))-2026)*12+MONTH(DATE(2028,4,1))-10</f>
        <v>18</v>
      </c>
      <c r="AD187" s="8">
        <f>(YEAR(DATE(2028,5,1))-2026)*12+MONTH(DATE(2028,5,1))-10</f>
        <v>19</v>
      </c>
      <c r="AE187" s="8">
        <f>(YEAR(DATE(2028,6,1))-2026)*12+MONTH(DATE(2028,6,1))-10</f>
        <v>20</v>
      </c>
      <c r="AF187" s="8">
        <f>(YEAR(DATE(2028,7,1))-2026)*12+MONTH(DATE(2028,7,1))-10</f>
        <v>21</v>
      </c>
      <c r="AG187" s="8">
        <f>(YEAR(DATE(2028,8,1))-2026)*12+MONTH(DATE(2028,8,1))-10</f>
        <v>22</v>
      </c>
      <c r="AH187" s="8">
        <f>(YEAR(DATE(2028,9,1))-2026)*12+MONTH(DATE(2028,9,1))-10</f>
        <v>23</v>
      </c>
      <c r="AI187" s="8">
        <f>(YEAR(DATE(2028,10,1))-2026)*12+MONTH(DATE(2028,10,1))-10</f>
        <v>24</v>
      </c>
    </row>
    <row r="188">
      <c r="A188" t="inlineStr" s="13">
        <is>
          <t xml:space="preserve">Haq month · Conservative</t>
        </is>
      </c>
      <c r="B188" s="8">
        <f>(YEAR(DATE(2026,1,1))-2026)*12+MONTH(DATE(2026,1,1))-10</f>
        <v>-9</v>
      </c>
      <c r="C188" s="8">
        <f>(YEAR(DATE(2026,2,1))-2026)*12+MONTH(DATE(2026,2,1))-10</f>
        <v>-8</v>
      </c>
      <c r="D188" s="8">
        <f>(YEAR(DATE(2026,3,1))-2026)*12+MONTH(DATE(2026,3,1))-10</f>
        <v>-7</v>
      </c>
      <c r="E188" s="8">
        <f>(YEAR(DATE(2026,4,1))-2026)*12+MONTH(DATE(2026,4,1))-10</f>
        <v>-6</v>
      </c>
      <c r="F188" s="8">
        <f>(YEAR(DATE(2026,5,1))-2026)*12+MONTH(DATE(2026,5,1))-10</f>
        <v>-5</v>
      </c>
      <c r="G188" s="8">
        <f>(YEAR(DATE(2026,6,1))-2026)*12+MONTH(DATE(2026,6,1))-10</f>
        <v>-4</v>
      </c>
      <c r="H188" s="8">
        <f>(YEAR(DATE(2026,7,1))-2026)*12+MONTH(DATE(2026,7,1))-10</f>
        <v>-3</v>
      </c>
      <c r="I188" s="8">
        <f>(YEAR(DATE(2026,8,1))-2026)*12+MONTH(DATE(2026,8,1))-10</f>
        <v>-2</v>
      </c>
      <c r="J188" s="8">
        <f>(YEAR(DATE(2026,9,1))-2026)*12+MONTH(DATE(2026,9,1))-10</f>
        <v>-1</v>
      </c>
      <c r="K188" s="8">
        <f>(YEAR(DATE(2026,10,1))-2026)*12+MONTH(DATE(2026,10,1))-10</f>
        <v>0</v>
      </c>
      <c r="L188" s="8">
        <f>(YEAR(DATE(2026,11,1))-2026)*12+MONTH(DATE(2026,11,1))-10</f>
        <v>1</v>
      </c>
      <c r="M188" s="8">
        <f>(YEAR(DATE(2026,12,1))-2026)*12+MONTH(DATE(2026,12,1))-10</f>
        <v>2</v>
      </c>
      <c r="N188" s="8">
        <f>(YEAR(DATE(2027,1,1))-2026)*12+MONTH(DATE(2027,1,1))-10</f>
        <v>3</v>
      </c>
      <c r="O188" s="8">
        <f>(YEAR(DATE(2027,2,1))-2026)*12+MONTH(DATE(2027,2,1))-10</f>
        <v>4</v>
      </c>
      <c r="P188" s="8">
        <f>(YEAR(DATE(2027,3,1))-2026)*12+MONTH(DATE(2027,3,1))-10</f>
        <v>5</v>
      </c>
      <c r="Q188" s="8">
        <f>(YEAR(DATE(2027,4,1))-2026)*12+MONTH(DATE(2027,4,1))-10</f>
        <v>6</v>
      </c>
      <c r="R188" s="8">
        <f>(YEAR(DATE(2027,5,1))-2026)*12+MONTH(DATE(2027,5,1))-10</f>
        <v>7</v>
      </c>
      <c r="S188" s="8">
        <f>(YEAR(DATE(2027,6,1))-2026)*12+MONTH(DATE(2027,6,1))-10</f>
        <v>8</v>
      </c>
      <c r="T188" s="8">
        <f>(YEAR(DATE(2027,7,1))-2026)*12+MONTH(DATE(2027,7,1))-10</f>
        <v>9</v>
      </c>
      <c r="U188" s="8">
        <f>(YEAR(DATE(2027,8,1))-2026)*12+MONTH(DATE(2027,8,1))-10</f>
        <v>10</v>
      </c>
      <c r="V188" s="8">
        <f>(YEAR(DATE(2027,9,1))-2026)*12+MONTH(DATE(2027,9,1))-10</f>
        <v>11</v>
      </c>
      <c r="W188" s="8">
        <f>(YEAR(DATE(2027,10,1))-2026)*12+MONTH(DATE(2027,10,1))-10</f>
        <v>12</v>
      </c>
      <c r="X188" s="8">
        <f>(YEAR(DATE(2027,11,1))-2026)*12+MONTH(DATE(2027,11,1))-10</f>
        <v>13</v>
      </c>
      <c r="Y188" s="8">
        <f>(YEAR(DATE(2027,12,1))-2026)*12+MONTH(DATE(2027,12,1))-10</f>
        <v>14</v>
      </c>
      <c r="Z188" s="8">
        <f>(YEAR(DATE(2028,1,1))-2026)*12+MONTH(DATE(2028,1,1))-10</f>
        <v>15</v>
      </c>
      <c r="AA188" s="8">
        <f>(YEAR(DATE(2028,2,1))-2026)*12+MONTH(DATE(2028,2,1))-10</f>
        <v>16</v>
      </c>
      <c r="AB188" s="8">
        <f>(YEAR(DATE(2028,3,1))-2026)*12+MONTH(DATE(2028,3,1))-10</f>
        <v>17</v>
      </c>
      <c r="AC188" s="8">
        <f>(YEAR(DATE(2028,4,1))-2026)*12+MONTH(DATE(2028,4,1))-10</f>
        <v>18</v>
      </c>
      <c r="AD188" s="8">
        <f>(YEAR(DATE(2028,5,1))-2026)*12+MONTH(DATE(2028,5,1))-10</f>
        <v>19</v>
      </c>
      <c r="AE188" s="8">
        <f>(YEAR(DATE(2028,6,1))-2026)*12+MONTH(DATE(2028,6,1))-10</f>
        <v>20</v>
      </c>
      <c r="AF188" s="8">
        <f>(YEAR(DATE(2028,7,1))-2026)*12+MONTH(DATE(2028,7,1))-10</f>
        <v>21</v>
      </c>
      <c r="AG188" s="8">
        <f>(YEAR(DATE(2028,8,1))-2026)*12+MONTH(DATE(2028,8,1))-10</f>
        <v>22</v>
      </c>
      <c r="AH188" s="8">
        <f>(YEAR(DATE(2028,9,1))-2026)*12+MONTH(DATE(2028,9,1))-10</f>
        <v>23</v>
      </c>
      <c r="AI188" s="8">
        <f>(YEAR(DATE(2028,10,1))-2026)*12+MONTH(DATE(2028,10,1))-10</f>
        <v>24</v>
      </c>
    </row>
    <row r="189">
      <c r="A189" t="inlineStr" s="13">
        <is>
          <t xml:space="preserve">Haq CSC operators · Haq Acquisition top-up · Main Scenario · Main Scenario</t>
        </is>
      </c>
      <c r="B189" s="8">
        <f>IF(IF(IF(ISERROR('Model inputs'!B186&lt;'Model inputs'!AJ26),'Model inputs'!B186&lt;'Model inputs'!AJ26,IF(OR('Model inputs'!B186="",'Model inputs'!AJ26=""),"",'Model inputs'!B186&lt;'Model inputs'!AJ26))="",FALSE,IF(ISERROR('Model inputs'!B186&lt;'Model inputs'!AJ26),'Model inputs'!B186&lt;'Model inputs'!AJ26,IF(OR('Model inputs'!B186="",'Model inputs'!AJ26=""),"",'Model inputs'!B186&lt;'Model inputs'!AJ26))),0,IF(IF(IF(ISERROR('Model inputs'!B186='Model inputs'!AJ26),'Model inputs'!B186='Model inputs'!AJ26,IF(OR('Model inputs'!B186="",'Model inputs'!AJ26=""),"",'Model inputs'!B186='Model inputs'!AJ26))="",FALSE,IF(ISERROR('Model inputs'!B186='Model inputs'!AJ26),'Model inputs'!B186='Model inputs'!AJ26,IF(OR('Model inputs'!B186="",'Model inputs'!AJ26=""),"",'Model inputs'!B186='Model inputs'!AJ26))),IF('Model inputs'!AJ27="","",'Model inputs'!AJ27),0*(1+'Model inputs'!AJ23-'Model inputs'!AJ28)))</f>
        <v>0</v>
      </c>
      <c r="C189" s="8">
        <f>IF(IF(IF(ISERROR('Model inputs'!C186&lt;'Model inputs'!AJ26),'Model inputs'!C186&lt;'Model inputs'!AJ26,IF(OR('Model inputs'!C186="",'Model inputs'!AJ26=""),"",'Model inputs'!C186&lt;'Model inputs'!AJ26))="",FALSE,IF(ISERROR('Model inputs'!C186&lt;'Model inputs'!AJ26),'Model inputs'!C186&lt;'Model inputs'!AJ26,IF(OR('Model inputs'!C186="",'Model inputs'!AJ26=""),"",'Model inputs'!C186&lt;'Model inputs'!AJ26))),0,IF(IF(IF(ISERROR('Model inputs'!C186='Model inputs'!AJ26),'Model inputs'!C186='Model inputs'!AJ26,IF(OR('Model inputs'!C186="",'Model inputs'!AJ26=""),"",'Model inputs'!C186='Model inputs'!AJ26))="",FALSE,IF(ISERROR('Model inputs'!C186='Model inputs'!AJ26),'Model inputs'!C186='Model inputs'!AJ26,IF(OR('Model inputs'!C186="",'Model inputs'!AJ26=""),"",'Model inputs'!C186='Model inputs'!AJ26))),IF('Model inputs'!AJ27="","",'Model inputs'!AJ27),'Model inputs'!B189*(1+'Model inputs'!AJ23-'Model inputs'!AJ28)))</f>
        <v>0</v>
      </c>
      <c r="D189" s="8">
        <f>IF(IF(IF(ISERROR('Model inputs'!D186&lt;'Model inputs'!AJ26),'Model inputs'!D186&lt;'Model inputs'!AJ26,IF(OR('Model inputs'!D186="",'Model inputs'!AJ26=""),"",'Model inputs'!D186&lt;'Model inputs'!AJ26))="",FALSE,IF(ISERROR('Model inputs'!D186&lt;'Model inputs'!AJ26),'Model inputs'!D186&lt;'Model inputs'!AJ26,IF(OR('Model inputs'!D186="",'Model inputs'!AJ26=""),"",'Model inputs'!D186&lt;'Model inputs'!AJ26))),0,IF(IF(IF(ISERROR('Model inputs'!D186='Model inputs'!AJ26),'Model inputs'!D186='Model inputs'!AJ26,IF(OR('Model inputs'!D186="",'Model inputs'!AJ26=""),"",'Model inputs'!D186='Model inputs'!AJ26))="",FALSE,IF(ISERROR('Model inputs'!D186='Model inputs'!AJ26),'Model inputs'!D186='Model inputs'!AJ26,IF(OR('Model inputs'!D186="",'Model inputs'!AJ26=""),"",'Model inputs'!D186='Model inputs'!AJ26))),IF('Model inputs'!AJ27="","",'Model inputs'!AJ27),'Model inputs'!C189*(1+'Model inputs'!AJ23-'Model inputs'!AJ28)))</f>
        <v>0</v>
      </c>
      <c r="E189" s="8">
        <f>IF(IF(IF(ISERROR('Model inputs'!E186&lt;'Model inputs'!AJ26),'Model inputs'!E186&lt;'Model inputs'!AJ26,IF(OR('Model inputs'!E186="",'Model inputs'!AJ26=""),"",'Model inputs'!E186&lt;'Model inputs'!AJ26))="",FALSE,IF(ISERROR('Model inputs'!E186&lt;'Model inputs'!AJ26),'Model inputs'!E186&lt;'Model inputs'!AJ26,IF(OR('Model inputs'!E186="",'Model inputs'!AJ26=""),"",'Model inputs'!E186&lt;'Model inputs'!AJ26))),0,IF(IF(IF(ISERROR('Model inputs'!E186='Model inputs'!AJ26),'Model inputs'!E186='Model inputs'!AJ26,IF(OR('Model inputs'!E186="",'Model inputs'!AJ26=""),"",'Model inputs'!E186='Model inputs'!AJ26))="",FALSE,IF(ISERROR('Model inputs'!E186='Model inputs'!AJ26),'Model inputs'!E186='Model inputs'!AJ26,IF(OR('Model inputs'!E186="",'Model inputs'!AJ26=""),"",'Model inputs'!E186='Model inputs'!AJ26))),IF('Model inputs'!AJ27="","",'Model inputs'!AJ27),'Model inputs'!D189*(1+'Model inputs'!AJ23-'Model inputs'!AJ28)))</f>
        <v>0</v>
      </c>
      <c r="F189" s="8">
        <f>IF(IF(IF(ISERROR('Model inputs'!F186&lt;'Model inputs'!AJ26),'Model inputs'!F186&lt;'Model inputs'!AJ26,IF(OR('Model inputs'!F186="",'Model inputs'!AJ26=""),"",'Model inputs'!F186&lt;'Model inputs'!AJ26))="",FALSE,IF(ISERROR('Model inputs'!F186&lt;'Model inputs'!AJ26),'Model inputs'!F186&lt;'Model inputs'!AJ26,IF(OR('Model inputs'!F186="",'Model inputs'!AJ26=""),"",'Model inputs'!F186&lt;'Model inputs'!AJ26))),0,IF(IF(IF(ISERROR('Model inputs'!F186='Model inputs'!AJ26),'Model inputs'!F186='Model inputs'!AJ26,IF(OR('Model inputs'!F186="",'Model inputs'!AJ26=""),"",'Model inputs'!F186='Model inputs'!AJ26))="",FALSE,IF(ISERROR('Model inputs'!F186='Model inputs'!AJ26),'Model inputs'!F186='Model inputs'!AJ26,IF(OR('Model inputs'!F186="",'Model inputs'!AJ26=""),"",'Model inputs'!F186='Model inputs'!AJ26))),IF('Model inputs'!AJ27="","",'Model inputs'!AJ27),'Model inputs'!E189*(1+'Model inputs'!AJ23-'Model inputs'!AJ28)))</f>
        <v>0</v>
      </c>
      <c r="G189" s="8">
        <f>IF(IF(IF(ISERROR('Model inputs'!G186&lt;'Model inputs'!AJ26),'Model inputs'!G186&lt;'Model inputs'!AJ26,IF(OR('Model inputs'!G186="",'Model inputs'!AJ26=""),"",'Model inputs'!G186&lt;'Model inputs'!AJ26))="",FALSE,IF(ISERROR('Model inputs'!G186&lt;'Model inputs'!AJ26),'Model inputs'!G186&lt;'Model inputs'!AJ26,IF(OR('Model inputs'!G186="",'Model inputs'!AJ26=""),"",'Model inputs'!G186&lt;'Model inputs'!AJ26))),0,IF(IF(IF(ISERROR('Model inputs'!G186='Model inputs'!AJ26),'Model inputs'!G186='Model inputs'!AJ26,IF(OR('Model inputs'!G186="",'Model inputs'!AJ26=""),"",'Model inputs'!G186='Model inputs'!AJ26))="",FALSE,IF(ISERROR('Model inputs'!G186='Model inputs'!AJ26),'Model inputs'!G186='Model inputs'!AJ26,IF(OR('Model inputs'!G186="",'Model inputs'!AJ26=""),"",'Model inputs'!G186='Model inputs'!AJ26))),IF('Model inputs'!AJ27="","",'Model inputs'!AJ27),'Model inputs'!F189*(1+'Model inputs'!AJ23-'Model inputs'!AJ28)))</f>
        <v>0</v>
      </c>
      <c r="H189" s="8">
        <f>IF(IF(IF(ISERROR('Model inputs'!H186&lt;'Model inputs'!AJ26),'Model inputs'!H186&lt;'Model inputs'!AJ26,IF(OR('Model inputs'!H186="",'Model inputs'!AJ26=""),"",'Model inputs'!H186&lt;'Model inputs'!AJ26))="",FALSE,IF(ISERROR('Model inputs'!H186&lt;'Model inputs'!AJ26),'Model inputs'!H186&lt;'Model inputs'!AJ26,IF(OR('Model inputs'!H186="",'Model inputs'!AJ26=""),"",'Model inputs'!H186&lt;'Model inputs'!AJ26))),0,IF(IF(IF(ISERROR('Model inputs'!H186='Model inputs'!AJ26),'Model inputs'!H186='Model inputs'!AJ26,IF(OR('Model inputs'!H186="",'Model inputs'!AJ26=""),"",'Model inputs'!H186='Model inputs'!AJ26))="",FALSE,IF(ISERROR('Model inputs'!H186='Model inputs'!AJ26),'Model inputs'!H186='Model inputs'!AJ26,IF(OR('Model inputs'!H186="",'Model inputs'!AJ26=""),"",'Model inputs'!H186='Model inputs'!AJ26))),IF('Model inputs'!AJ27="","",'Model inputs'!AJ27),'Model inputs'!G189*(1+'Model inputs'!AJ23-'Model inputs'!AJ28)))</f>
        <v>0</v>
      </c>
      <c r="I189" s="8">
        <f>IF(IF(IF(ISERROR('Model inputs'!I186&lt;'Model inputs'!AJ26),'Model inputs'!I186&lt;'Model inputs'!AJ26,IF(OR('Model inputs'!I186="",'Model inputs'!AJ26=""),"",'Model inputs'!I186&lt;'Model inputs'!AJ26))="",FALSE,IF(ISERROR('Model inputs'!I186&lt;'Model inputs'!AJ26),'Model inputs'!I186&lt;'Model inputs'!AJ26,IF(OR('Model inputs'!I186="",'Model inputs'!AJ26=""),"",'Model inputs'!I186&lt;'Model inputs'!AJ26))),0,IF(IF(IF(ISERROR('Model inputs'!I186='Model inputs'!AJ26),'Model inputs'!I186='Model inputs'!AJ26,IF(OR('Model inputs'!I186="",'Model inputs'!AJ26=""),"",'Model inputs'!I186='Model inputs'!AJ26))="",FALSE,IF(ISERROR('Model inputs'!I186='Model inputs'!AJ26),'Model inputs'!I186='Model inputs'!AJ26,IF(OR('Model inputs'!I186="",'Model inputs'!AJ26=""),"",'Model inputs'!I186='Model inputs'!AJ26))),IF('Model inputs'!AJ27="","",'Model inputs'!AJ27),'Model inputs'!H189*(1+'Model inputs'!AJ23-'Model inputs'!AJ28)))</f>
        <v>0</v>
      </c>
      <c r="J189" s="8">
        <f>IF(IF(IF(ISERROR('Model inputs'!J186&lt;'Model inputs'!AJ26),'Model inputs'!J186&lt;'Model inputs'!AJ26,IF(OR('Model inputs'!J186="",'Model inputs'!AJ26=""),"",'Model inputs'!J186&lt;'Model inputs'!AJ26))="",FALSE,IF(ISERROR('Model inputs'!J186&lt;'Model inputs'!AJ26),'Model inputs'!J186&lt;'Model inputs'!AJ26,IF(OR('Model inputs'!J186="",'Model inputs'!AJ26=""),"",'Model inputs'!J186&lt;'Model inputs'!AJ26))),0,IF(IF(IF(ISERROR('Model inputs'!J186='Model inputs'!AJ26),'Model inputs'!J186='Model inputs'!AJ26,IF(OR('Model inputs'!J186="",'Model inputs'!AJ26=""),"",'Model inputs'!J186='Model inputs'!AJ26))="",FALSE,IF(ISERROR('Model inputs'!J186='Model inputs'!AJ26),'Model inputs'!J186='Model inputs'!AJ26,IF(OR('Model inputs'!J186="",'Model inputs'!AJ26=""),"",'Model inputs'!J186='Model inputs'!AJ26))),IF('Model inputs'!AJ27="","",'Model inputs'!AJ27),'Model inputs'!I189*(1+'Model inputs'!AJ23-'Model inputs'!AJ28)))</f>
        <v>0</v>
      </c>
      <c r="K189" s="8">
        <f>IF(IF(IF(ISERROR('Model inputs'!K186&lt;'Model inputs'!AJ26),'Model inputs'!K186&lt;'Model inputs'!AJ26,IF(OR('Model inputs'!K186="",'Model inputs'!AJ26=""),"",'Model inputs'!K186&lt;'Model inputs'!AJ26))="",FALSE,IF(ISERROR('Model inputs'!K186&lt;'Model inputs'!AJ26),'Model inputs'!K186&lt;'Model inputs'!AJ26,IF(OR('Model inputs'!K186="",'Model inputs'!AJ26=""),"",'Model inputs'!K186&lt;'Model inputs'!AJ26))),0,IF(IF(IF(ISERROR('Model inputs'!K186='Model inputs'!AJ26),'Model inputs'!K186='Model inputs'!AJ26,IF(OR('Model inputs'!K186="",'Model inputs'!AJ26=""),"",'Model inputs'!K186='Model inputs'!AJ26))="",FALSE,IF(ISERROR('Model inputs'!K186='Model inputs'!AJ26),'Model inputs'!K186='Model inputs'!AJ26,IF(OR('Model inputs'!K186="",'Model inputs'!AJ26=""),"",'Model inputs'!K186='Model inputs'!AJ26))),IF('Model inputs'!AJ27="","",'Model inputs'!AJ27),'Model inputs'!J189*(1+'Model inputs'!AJ23-'Model inputs'!AJ28)))</f>
        <v>0</v>
      </c>
      <c r="L189" s="8">
        <f>IF(IF(IF(ISERROR('Model inputs'!L186&lt;'Model inputs'!AJ26),'Model inputs'!L186&lt;'Model inputs'!AJ26,IF(OR('Model inputs'!L186="",'Model inputs'!AJ26=""),"",'Model inputs'!L186&lt;'Model inputs'!AJ26))="",FALSE,IF(ISERROR('Model inputs'!L186&lt;'Model inputs'!AJ26),'Model inputs'!L186&lt;'Model inputs'!AJ26,IF(OR('Model inputs'!L186="",'Model inputs'!AJ26=""),"",'Model inputs'!L186&lt;'Model inputs'!AJ26))),0,IF(IF(IF(ISERROR('Model inputs'!L186='Model inputs'!AJ26),'Model inputs'!L186='Model inputs'!AJ26,IF(OR('Model inputs'!L186="",'Model inputs'!AJ26=""),"",'Model inputs'!L186='Model inputs'!AJ26))="",FALSE,IF(ISERROR('Model inputs'!L186='Model inputs'!AJ26),'Model inputs'!L186='Model inputs'!AJ26,IF(OR('Model inputs'!L186="",'Model inputs'!AJ26=""),"",'Model inputs'!L186='Model inputs'!AJ26))),IF('Model inputs'!AJ27="","",'Model inputs'!AJ27),'Model inputs'!K189*(1+'Model inputs'!AJ23-'Model inputs'!AJ28)))</f>
        <v>0</v>
      </c>
      <c r="M189" s="8">
        <f>IF(IF(IF(ISERROR('Model inputs'!M186&lt;'Model inputs'!AJ26),'Model inputs'!M186&lt;'Model inputs'!AJ26,IF(OR('Model inputs'!M186="",'Model inputs'!AJ26=""),"",'Model inputs'!M186&lt;'Model inputs'!AJ26))="",FALSE,IF(ISERROR('Model inputs'!M186&lt;'Model inputs'!AJ26),'Model inputs'!M186&lt;'Model inputs'!AJ26,IF(OR('Model inputs'!M186="",'Model inputs'!AJ26=""),"",'Model inputs'!M186&lt;'Model inputs'!AJ26))),0,IF(IF(IF(ISERROR('Model inputs'!M186='Model inputs'!AJ26),'Model inputs'!M186='Model inputs'!AJ26,IF(OR('Model inputs'!M186="",'Model inputs'!AJ26=""),"",'Model inputs'!M186='Model inputs'!AJ26))="",FALSE,IF(ISERROR('Model inputs'!M186='Model inputs'!AJ26),'Model inputs'!M186='Model inputs'!AJ26,IF(OR('Model inputs'!M186="",'Model inputs'!AJ26=""),"",'Model inputs'!M186='Model inputs'!AJ26))),IF('Model inputs'!AJ27="","",'Model inputs'!AJ27),'Model inputs'!L189*(1+'Model inputs'!AJ23-'Model inputs'!AJ28)))</f>
        <v>0</v>
      </c>
      <c r="N189" s="8">
        <f>IF(IF(IF(ISERROR('Model inputs'!N186&lt;'Model inputs'!AJ26),'Model inputs'!N186&lt;'Model inputs'!AJ26,IF(OR('Model inputs'!N186="",'Model inputs'!AJ26=""),"",'Model inputs'!N186&lt;'Model inputs'!AJ26))="",FALSE,IF(ISERROR('Model inputs'!N186&lt;'Model inputs'!AJ26),'Model inputs'!N186&lt;'Model inputs'!AJ26,IF(OR('Model inputs'!N186="",'Model inputs'!AJ26=""),"",'Model inputs'!N186&lt;'Model inputs'!AJ26))),0,IF(IF(IF(ISERROR('Model inputs'!N186='Model inputs'!AJ26),'Model inputs'!N186='Model inputs'!AJ26,IF(OR('Model inputs'!N186="",'Model inputs'!AJ26=""),"",'Model inputs'!N186='Model inputs'!AJ26))="",FALSE,IF(ISERROR('Model inputs'!N186='Model inputs'!AJ26),'Model inputs'!N186='Model inputs'!AJ26,IF(OR('Model inputs'!N186="",'Model inputs'!AJ26=""),"",'Model inputs'!N186='Model inputs'!AJ26))),IF('Model inputs'!AJ27="","",'Model inputs'!AJ27),'Model inputs'!M189*(1+'Model inputs'!AJ23-'Model inputs'!AJ28)))</f>
        <v>0</v>
      </c>
      <c r="O189" s="8">
        <f>IF(IF(IF(ISERROR('Model inputs'!O186&lt;'Model inputs'!AJ26),'Model inputs'!O186&lt;'Model inputs'!AJ26,IF(OR('Model inputs'!O186="",'Model inputs'!AJ26=""),"",'Model inputs'!O186&lt;'Model inputs'!AJ26))="",FALSE,IF(ISERROR('Model inputs'!O186&lt;'Model inputs'!AJ26),'Model inputs'!O186&lt;'Model inputs'!AJ26,IF(OR('Model inputs'!O186="",'Model inputs'!AJ26=""),"",'Model inputs'!O186&lt;'Model inputs'!AJ26))),0,IF(IF(IF(ISERROR('Model inputs'!O186='Model inputs'!AJ26),'Model inputs'!O186='Model inputs'!AJ26,IF(OR('Model inputs'!O186="",'Model inputs'!AJ26=""),"",'Model inputs'!O186='Model inputs'!AJ26))="",FALSE,IF(ISERROR('Model inputs'!O186='Model inputs'!AJ26),'Model inputs'!O186='Model inputs'!AJ26,IF(OR('Model inputs'!O186="",'Model inputs'!AJ26=""),"",'Model inputs'!O186='Model inputs'!AJ26))),IF('Model inputs'!AJ27="","",'Model inputs'!AJ27),'Model inputs'!N189*(1+'Model inputs'!AJ23-'Model inputs'!AJ28)))</f>
        <v>50</v>
      </c>
      <c r="P189" s="8">
        <f>IF(IF(IF(ISERROR('Model inputs'!P186&lt;'Model inputs'!AJ26),'Model inputs'!P186&lt;'Model inputs'!AJ26,IF(OR('Model inputs'!P186="",'Model inputs'!AJ26=""),"",'Model inputs'!P186&lt;'Model inputs'!AJ26))="",FALSE,IF(ISERROR('Model inputs'!P186&lt;'Model inputs'!AJ26),'Model inputs'!P186&lt;'Model inputs'!AJ26,IF(OR('Model inputs'!P186="",'Model inputs'!AJ26=""),"",'Model inputs'!P186&lt;'Model inputs'!AJ26))),0,IF(IF(IF(ISERROR('Model inputs'!P186='Model inputs'!AJ26),'Model inputs'!P186='Model inputs'!AJ26,IF(OR('Model inputs'!P186="",'Model inputs'!AJ26=""),"",'Model inputs'!P186='Model inputs'!AJ26))="",FALSE,IF(ISERROR('Model inputs'!P186='Model inputs'!AJ26),'Model inputs'!P186='Model inputs'!AJ26,IF(OR('Model inputs'!P186="",'Model inputs'!AJ26=""),"",'Model inputs'!P186='Model inputs'!AJ26))),IF('Model inputs'!AJ27="","",'Model inputs'!AJ27),'Model inputs'!O189*(1+'Model inputs'!AJ23-'Model inputs'!AJ28)))</f>
        <v>57.49999999999999</v>
      </c>
      <c r="Q189" s="8">
        <f>IF(IF(IF(ISERROR('Model inputs'!Q186&lt;'Model inputs'!AJ26),'Model inputs'!Q186&lt;'Model inputs'!AJ26,IF(OR('Model inputs'!Q186="",'Model inputs'!AJ26=""),"",'Model inputs'!Q186&lt;'Model inputs'!AJ26))="",FALSE,IF(ISERROR('Model inputs'!Q186&lt;'Model inputs'!AJ26),'Model inputs'!Q186&lt;'Model inputs'!AJ26,IF(OR('Model inputs'!Q186="",'Model inputs'!AJ26=""),"",'Model inputs'!Q186&lt;'Model inputs'!AJ26))),0,IF(IF(IF(ISERROR('Model inputs'!Q186='Model inputs'!AJ26),'Model inputs'!Q186='Model inputs'!AJ26,IF(OR('Model inputs'!Q186="",'Model inputs'!AJ26=""),"",'Model inputs'!Q186='Model inputs'!AJ26))="",FALSE,IF(ISERROR('Model inputs'!Q186='Model inputs'!AJ26),'Model inputs'!Q186='Model inputs'!AJ26,IF(OR('Model inputs'!Q186="",'Model inputs'!AJ26=""),"",'Model inputs'!Q186='Model inputs'!AJ26))),IF('Model inputs'!AJ27="","",'Model inputs'!AJ27),'Model inputs'!P189*(1+'Model inputs'!AJ23-'Model inputs'!AJ28)))</f>
        <v>66.12499999999999</v>
      </c>
      <c r="R189" s="8">
        <f>IF(IF(IF(ISERROR('Model inputs'!R186&lt;'Model inputs'!AJ26),'Model inputs'!R186&lt;'Model inputs'!AJ26,IF(OR('Model inputs'!R186="",'Model inputs'!AJ26=""),"",'Model inputs'!R186&lt;'Model inputs'!AJ26))="",FALSE,IF(ISERROR('Model inputs'!R186&lt;'Model inputs'!AJ26),'Model inputs'!R186&lt;'Model inputs'!AJ26,IF(OR('Model inputs'!R186="",'Model inputs'!AJ26=""),"",'Model inputs'!R186&lt;'Model inputs'!AJ26))),0,IF(IF(IF(ISERROR('Model inputs'!R186='Model inputs'!AJ26),'Model inputs'!R186='Model inputs'!AJ26,IF(OR('Model inputs'!R186="",'Model inputs'!AJ26=""),"",'Model inputs'!R186='Model inputs'!AJ26))="",FALSE,IF(ISERROR('Model inputs'!R186='Model inputs'!AJ26),'Model inputs'!R186='Model inputs'!AJ26,IF(OR('Model inputs'!R186="",'Model inputs'!AJ26=""),"",'Model inputs'!R186='Model inputs'!AJ26))),IF('Model inputs'!AJ27="","",'Model inputs'!AJ27),'Model inputs'!Q189*(1+'Model inputs'!AJ23-'Model inputs'!AJ28)))</f>
        <v>76.04374999999997</v>
      </c>
      <c r="S189" s="8">
        <f>IF(IF(IF(ISERROR('Model inputs'!S186&lt;'Model inputs'!AJ26),'Model inputs'!S186&lt;'Model inputs'!AJ26,IF(OR('Model inputs'!S186="",'Model inputs'!AJ26=""),"",'Model inputs'!S186&lt;'Model inputs'!AJ26))="",FALSE,IF(ISERROR('Model inputs'!S186&lt;'Model inputs'!AJ26),'Model inputs'!S186&lt;'Model inputs'!AJ26,IF(OR('Model inputs'!S186="",'Model inputs'!AJ26=""),"",'Model inputs'!S186&lt;'Model inputs'!AJ26))),0,IF(IF(IF(ISERROR('Model inputs'!S186='Model inputs'!AJ26),'Model inputs'!S186='Model inputs'!AJ26,IF(OR('Model inputs'!S186="",'Model inputs'!AJ26=""),"",'Model inputs'!S186='Model inputs'!AJ26))="",FALSE,IF(ISERROR('Model inputs'!S186='Model inputs'!AJ26),'Model inputs'!S186='Model inputs'!AJ26,IF(OR('Model inputs'!S186="",'Model inputs'!AJ26=""),"",'Model inputs'!S186='Model inputs'!AJ26))),IF('Model inputs'!AJ27="","",'Model inputs'!AJ27),'Model inputs'!R189*(1+'Model inputs'!AJ23-'Model inputs'!AJ28)))</f>
        <v>87.45031249999997</v>
      </c>
      <c r="T189" s="8">
        <f>IF(IF(IF(ISERROR('Model inputs'!T186&lt;'Model inputs'!AJ26),'Model inputs'!T186&lt;'Model inputs'!AJ26,IF(OR('Model inputs'!T186="",'Model inputs'!AJ26=""),"",'Model inputs'!T186&lt;'Model inputs'!AJ26))="",FALSE,IF(ISERROR('Model inputs'!T186&lt;'Model inputs'!AJ26),'Model inputs'!T186&lt;'Model inputs'!AJ26,IF(OR('Model inputs'!T186="",'Model inputs'!AJ26=""),"",'Model inputs'!T186&lt;'Model inputs'!AJ26))),0,IF(IF(IF(ISERROR('Model inputs'!T186='Model inputs'!AJ26),'Model inputs'!T186='Model inputs'!AJ26,IF(OR('Model inputs'!T186="",'Model inputs'!AJ26=""),"",'Model inputs'!T186='Model inputs'!AJ26))="",FALSE,IF(ISERROR('Model inputs'!T186='Model inputs'!AJ26),'Model inputs'!T186='Model inputs'!AJ26,IF(OR('Model inputs'!T186="",'Model inputs'!AJ26=""),"",'Model inputs'!T186='Model inputs'!AJ26))),IF('Model inputs'!AJ27="","",'Model inputs'!AJ27),'Model inputs'!S189*(1+'Model inputs'!AJ23-'Model inputs'!AJ28)))</f>
        <v>100.56785937499995</v>
      </c>
      <c r="U189" s="8">
        <f>IF(IF(IF(ISERROR('Model inputs'!U186&lt;'Model inputs'!AJ26),'Model inputs'!U186&lt;'Model inputs'!AJ26,IF(OR('Model inputs'!U186="",'Model inputs'!AJ26=""),"",'Model inputs'!U186&lt;'Model inputs'!AJ26))="",FALSE,IF(ISERROR('Model inputs'!U186&lt;'Model inputs'!AJ26),'Model inputs'!U186&lt;'Model inputs'!AJ26,IF(OR('Model inputs'!U186="",'Model inputs'!AJ26=""),"",'Model inputs'!U186&lt;'Model inputs'!AJ26))),0,IF(IF(IF(ISERROR('Model inputs'!U186='Model inputs'!AJ26),'Model inputs'!U186='Model inputs'!AJ26,IF(OR('Model inputs'!U186="",'Model inputs'!AJ26=""),"",'Model inputs'!U186='Model inputs'!AJ26))="",FALSE,IF(ISERROR('Model inputs'!U186='Model inputs'!AJ26),'Model inputs'!U186='Model inputs'!AJ26,IF(OR('Model inputs'!U186="",'Model inputs'!AJ26=""),"",'Model inputs'!U186='Model inputs'!AJ26))),IF('Model inputs'!AJ27="","",'Model inputs'!AJ27),'Model inputs'!T189*(1+'Model inputs'!AJ23-'Model inputs'!AJ28)))</f>
        <v>115.65303828124993</v>
      </c>
      <c r="V189" s="8">
        <f>IF(IF(IF(ISERROR('Model inputs'!V186&lt;'Model inputs'!AJ26),'Model inputs'!V186&lt;'Model inputs'!AJ26,IF(OR('Model inputs'!V186="",'Model inputs'!AJ26=""),"",'Model inputs'!V186&lt;'Model inputs'!AJ26))="",FALSE,IF(ISERROR('Model inputs'!V186&lt;'Model inputs'!AJ26),'Model inputs'!V186&lt;'Model inputs'!AJ26,IF(OR('Model inputs'!V186="",'Model inputs'!AJ26=""),"",'Model inputs'!V186&lt;'Model inputs'!AJ26))),0,IF(IF(IF(ISERROR('Model inputs'!V186='Model inputs'!AJ26),'Model inputs'!V186='Model inputs'!AJ26,IF(OR('Model inputs'!V186="",'Model inputs'!AJ26=""),"",'Model inputs'!V186='Model inputs'!AJ26))="",FALSE,IF(ISERROR('Model inputs'!V186='Model inputs'!AJ26),'Model inputs'!V186='Model inputs'!AJ26,IF(OR('Model inputs'!V186="",'Model inputs'!AJ26=""),"",'Model inputs'!V186='Model inputs'!AJ26))),IF('Model inputs'!AJ27="","",'Model inputs'!AJ27),'Model inputs'!U189*(1+'Model inputs'!AJ23-'Model inputs'!AJ28)))</f>
        <v>133.0009940234374</v>
      </c>
      <c r="W189" s="8">
        <f>IF(IF(IF(ISERROR('Model inputs'!W186&lt;'Model inputs'!AJ26),'Model inputs'!W186&lt;'Model inputs'!AJ26,IF(OR('Model inputs'!W186="",'Model inputs'!AJ26=""),"",'Model inputs'!W186&lt;'Model inputs'!AJ26))="",FALSE,IF(ISERROR('Model inputs'!W186&lt;'Model inputs'!AJ26),'Model inputs'!W186&lt;'Model inputs'!AJ26,IF(OR('Model inputs'!W186="",'Model inputs'!AJ26=""),"",'Model inputs'!W186&lt;'Model inputs'!AJ26))),0,IF(IF(IF(ISERROR('Model inputs'!W186='Model inputs'!AJ26),'Model inputs'!W186='Model inputs'!AJ26,IF(OR('Model inputs'!W186="",'Model inputs'!AJ26=""),"",'Model inputs'!W186='Model inputs'!AJ26))="",FALSE,IF(ISERROR('Model inputs'!W186='Model inputs'!AJ26),'Model inputs'!W186='Model inputs'!AJ26,IF(OR('Model inputs'!W186="",'Model inputs'!AJ26=""),"",'Model inputs'!W186='Model inputs'!AJ26))),IF('Model inputs'!AJ27="","",'Model inputs'!AJ27),'Model inputs'!V189*(1+'Model inputs'!AJ23-'Model inputs'!AJ28)))</f>
        <v>152.951143126953</v>
      </c>
      <c r="X189" s="8">
        <f>IF(IF(IF(ISERROR('Model inputs'!X186&lt;'Model inputs'!AJ26),'Model inputs'!X186&lt;'Model inputs'!AJ26,IF(OR('Model inputs'!X186="",'Model inputs'!AJ26=""),"",'Model inputs'!X186&lt;'Model inputs'!AJ26))="",FALSE,IF(ISERROR('Model inputs'!X186&lt;'Model inputs'!AJ26),'Model inputs'!X186&lt;'Model inputs'!AJ26,IF(OR('Model inputs'!X186="",'Model inputs'!AJ26=""),"",'Model inputs'!X186&lt;'Model inputs'!AJ26))),0,IF(IF(IF(ISERROR('Model inputs'!X186='Model inputs'!AJ26),'Model inputs'!X186='Model inputs'!AJ26,IF(OR('Model inputs'!X186="",'Model inputs'!AJ26=""),"",'Model inputs'!X186='Model inputs'!AJ26))="",FALSE,IF(ISERROR('Model inputs'!X186='Model inputs'!AJ26),'Model inputs'!X186='Model inputs'!AJ26,IF(OR('Model inputs'!X186="",'Model inputs'!AJ26=""),"",'Model inputs'!X186='Model inputs'!AJ26))),IF('Model inputs'!AJ27="","",'Model inputs'!AJ27),'Model inputs'!W189*(1+'Model inputs'!AJ23-'Model inputs'!AJ28)))</f>
        <v>175.89381459599596</v>
      </c>
      <c r="Y189" s="8">
        <f>IF(IF(IF(ISERROR('Model inputs'!Y186&lt;'Model inputs'!AJ26),'Model inputs'!Y186&lt;'Model inputs'!AJ26,IF(OR('Model inputs'!Y186="",'Model inputs'!AJ26=""),"",'Model inputs'!Y186&lt;'Model inputs'!AJ26))="",FALSE,IF(ISERROR('Model inputs'!Y186&lt;'Model inputs'!AJ26),'Model inputs'!Y186&lt;'Model inputs'!AJ26,IF(OR('Model inputs'!Y186="",'Model inputs'!AJ26=""),"",'Model inputs'!Y186&lt;'Model inputs'!AJ26))),0,IF(IF(IF(ISERROR('Model inputs'!Y186='Model inputs'!AJ26),'Model inputs'!Y186='Model inputs'!AJ26,IF(OR('Model inputs'!Y186="",'Model inputs'!AJ26=""),"",'Model inputs'!Y186='Model inputs'!AJ26))="",FALSE,IF(ISERROR('Model inputs'!Y186='Model inputs'!AJ26),'Model inputs'!Y186='Model inputs'!AJ26,IF(OR('Model inputs'!Y186="",'Model inputs'!AJ26=""),"",'Model inputs'!Y186='Model inputs'!AJ26))),IF('Model inputs'!AJ27="","",'Model inputs'!AJ27),'Model inputs'!X189*(1+'Model inputs'!AJ23-'Model inputs'!AJ28)))</f>
        <v>202.27788678539534</v>
      </c>
      <c r="Z189" s="8">
        <f>IF(IF(IF(ISERROR('Model inputs'!Z186&lt;'Model inputs'!AJ26),'Model inputs'!Z186&lt;'Model inputs'!AJ26,IF(OR('Model inputs'!Z186="",'Model inputs'!AJ26=""),"",'Model inputs'!Z186&lt;'Model inputs'!AJ26))="",FALSE,IF(ISERROR('Model inputs'!Z186&lt;'Model inputs'!AJ26),'Model inputs'!Z186&lt;'Model inputs'!AJ26,IF(OR('Model inputs'!Z186="",'Model inputs'!AJ26=""),"",'Model inputs'!Z186&lt;'Model inputs'!AJ26))),0,IF(IF(IF(ISERROR('Model inputs'!Z186='Model inputs'!AJ26),'Model inputs'!Z186='Model inputs'!AJ26,IF(OR('Model inputs'!Z186="",'Model inputs'!AJ26=""),"",'Model inputs'!Z186='Model inputs'!AJ26))="",FALSE,IF(ISERROR('Model inputs'!Z186='Model inputs'!AJ26),'Model inputs'!Z186='Model inputs'!AJ26,IF(OR('Model inputs'!Z186="",'Model inputs'!AJ26=""),"",'Model inputs'!Z186='Model inputs'!AJ26))),IF('Model inputs'!AJ27="","",'Model inputs'!AJ27),'Model inputs'!Y189*(1+'Model inputs'!AJ23-'Model inputs'!AJ28)))</f>
        <v>232.61956980320463</v>
      </c>
      <c r="AA189" s="8">
        <f>IF(IF(IF(ISERROR('Model inputs'!AA186&lt;'Model inputs'!AJ26),'Model inputs'!AA186&lt;'Model inputs'!AJ26,IF(OR('Model inputs'!AA186="",'Model inputs'!AJ26=""),"",'Model inputs'!AA186&lt;'Model inputs'!AJ26))="",FALSE,IF(ISERROR('Model inputs'!AA186&lt;'Model inputs'!AJ26),'Model inputs'!AA186&lt;'Model inputs'!AJ26,IF(OR('Model inputs'!AA186="",'Model inputs'!AJ26=""),"",'Model inputs'!AA186&lt;'Model inputs'!AJ26))),0,IF(IF(IF(ISERROR('Model inputs'!AA186='Model inputs'!AJ26),'Model inputs'!AA186='Model inputs'!AJ26,IF(OR('Model inputs'!AA186="",'Model inputs'!AJ26=""),"",'Model inputs'!AA186='Model inputs'!AJ26))="",FALSE,IF(ISERROR('Model inputs'!AA186='Model inputs'!AJ26),'Model inputs'!AA186='Model inputs'!AJ26,IF(OR('Model inputs'!AA186="",'Model inputs'!AJ26=""),"",'Model inputs'!AA186='Model inputs'!AJ26))),IF('Model inputs'!AJ27="","",'Model inputs'!AJ27),'Model inputs'!Z189*(1+'Model inputs'!AJ23-'Model inputs'!AJ28)))</f>
        <v>267.5125052736853</v>
      </c>
      <c r="AB189" s="8">
        <f>IF(IF(IF(ISERROR('Model inputs'!AB186&lt;'Model inputs'!AJ26),'Model inputs'!AB186&lt;'Model inputs'!AJ26,IF(OR('Model inputs'!AB186="",'Model inputs'!AJ26=""),"",'Model inputs'!AB186&lt;'Model inputs'!AJ26))="",FALSE,IF(ISERROR('Model inputs'!AB186&lt;'Model inputs'!AJ26),'Model inputs'!AB186&lt;'Model inputs'!AJ26,IF(OR('Model inputs'!AB186="",'Model inputs'!AJ26=""),"",'Model inputs'!AB186&lt;'Model inputs'!AJ26))),0,IF(IF(IF(ISERROR('Model inputs'!AB186='Model inputs'!AJ26),'Model inputs'!AB186='Model inputs'!AJ26,IF(OR('Model inputs'!AB186="",'Model inputs'!AJ26=""),"",'Model inputs'!AB186='Model inputs'!AJ26))="",FALSE,IF(ISERROR('Model inputs'!AB186='Model inputs'!AJ26),'Model inputs'!AB186='Model inputs'!AJ26,IF(OR('Model inputs'!AB186="",'Model inputs'!AJ26=""),"",'Model inputs'!AB186='Model inputs'!AJ26))),IF('Model inputs'!AJ27="","",'Model inputs'!AJ27),'Model inputs'!AA189*(1+'Model inputs'!AJ23-'Model inputs'!AJ28)))</f>
        <v>307.6393810647381</v>
      </c>
      <c r="AC189" s="8">
        <f>IF(IF(IF(ISERROR('Model inputs'!AC186&lt;'Model inputs'!AJ26),'Model inputs'!AC186&lt;'Model inputs'!AJ26,IF(OR('Model inputs'!AC186="",'Model inputs'!AJ26=""),"",'Model inputs'!AC186&lt;'Model inputs'!AJ26))="",FALSE,IF(ISERROR('Model inputs'!AC186&lt;'Model inputs'!AJ26),'Model inputs'!AC186&lt;'Model inputs'!AJ26,IF(OR('Model inputs'!AC186="",'Model inputs'!AJ26=""),"",'Model inputs'!AC186&lt;'Model inputs'!AJ26))),0,IF(IF(IF(ISERROR('Model inputs'!AC186='Model inputs'!AJ26),'Model inputs'!AC186='Model inputs'!AJ26,IF(OR('Model inputs'!AC186="",'Model inputs'!AJ26=""),"",'Model inputs'!AC186='Model inputs'!AJ26))="",FALSE,IF(ISERROR('Model inputs'!AC186='Model inputs'!AJ26),'Model inputs'!AC186='Model inputs'!AJ26,IF(OR('Model inputs'!AC186="",'Model inputs'!AJ26=""),"",'Model inputs'!AC186='Model inputs'!AJ26))),IF('Model inputs'!AJ27="","",'Model inputs'!AJ27),'Model inputs'!AB189*(1+'Model inputs'!AJ23-'Model inputs'!AJ28)))</f>
        <v>353.7852882244488</v>
      </c>
      <c r="AD189" s="8">
        <f>IF(IF(IF(ISERROR('Model inputs'!AD186&lt;'Model inputs'!AJ26),'Model inputs'!AD186&lt;'Model inputs'!AJ26,IF(OR('Model inputs'!AD186="",'Model inputs'!AJ26=""),"",'Model inputs'!AD186&lt;'Model inputs'!AJ26))="",FALSE,IF(ISERROR('Model inputs'!AD186&lt;'Model inputs'!AJ26),'Model inputs'!AD186&lt;'Model inputs'!AJ26,IF(OR('Model inputs'!AD186="",'Model inputs'!AJ26=""),"",'Model inputs'!AD186&lt;'Model inputs'!AJ26))),0,IF(IF(IF(ISERROR('Model inputs'!AD186='Model inputs'!AJ26),'Model inputs'!AD186='Model inputs'!AJ26,IF(OR('Model inputs'!AD186="",'Model inputs'!AJ26=""),"",'Model inputs'!AD186='Model inputs'!AJ26))="",FALSE,IF(ISERROR('Model inputs'!AD186='Model inputs'!AJ26),'Model inputs'!AD186='Model inputs'!AJ26,IF(OR('Model inputs'!AD186="",'Model inputs'!AJ26=""),"",'Model inputs'!AD186='Model inputs'!AJ26))),IF('Model inputs'!AJ27="","",'Model inputs'!AJ27),'Model inputs'!AC189*(1+'Model inputs'!AJ23-'Model inputs'!AJ28)))</f>
        <v>406.85308145811604</v>
      </c>
      <c r="AE189" s="8">
        <f>IF(IF(IF(ISERROR('Model inputs'!AE186&lt;'Model inputs'!AJ26),'Model inputs'!AE186&lt;'Model inputs'!AJ26,IF(OR('Model inputs'!AE186="",'Model inputs'!AJ26=""),"",'Model inputs'!AE186&lt;'Model inputs'!AJ26))="",FALSE,IF(ISERROR('Model inputs'!AE186&lt;'Model inputs'!AJ26),'Model inputs'!AE186&lt;'Model inputs'!AJ26,IF(OR('Model inputs'!AE186="",'Model inputs'!AJ26=""),"",'Model inputs'!AE186&lt;'Model inputs'!AJ26))),0,IF(IF(IF(ISERROR('Model inputs'!AE186='Model inputs'!AJ26),'Model inputs'!AE186='Model inputs'!AJ26,IF(OR('Model inputs'!AE186="",'Model inputs'!AJ26=""),"",'Model inputs'!AE186='Model inputs'!AJ26))="",FALSE,IF(ISERROR('Model inputs'!AE186='Model inputs'!AJ26),'Model inputs'!AE186='Model inputs'!AJ26,IF(OR('Model inputs'!AE186="",'Model inputs'!AJ26=""),"",'Model inputs'!AE186='Model inputs'!AJ26))),IF('Model inputs'!AJ27="","",'Model inputs'!AJ27),'Model inputs'!AD189*(1+'Model inputs'!AJ23-'Model inputs'!AJ28)))</f>
        <v>467.88104367683343</v>
      </c>
      <c r="AF189" s="8">
        <f>IF(IF(IF(ISERROR('Model inputs'!AF186&lt;'Model inputs'!AJ26),'Model inputs'!AF186&lt;'Model inputs'!AJ26,IF(OR('Model inputs'!AF186="",'Model inputs'!AJ26=""),"",'Model inputs'!AF186&lt;'Model inputs'!AJ26))="",FALSE,IF(ISERROR('Model inputs'!AF186&lt;'Model inputs'!AJ26),'Model inputs'!AF186&lt;'Model inputs'!AJ26,IF(OR('Model inputs'!AF186="",'Model inputs'!AJ26=""),"",'Model inputs'!AF186&lt;'Model inputs'!AJ26))),0,IF(IF(IF(ISERROR('Model inputs'!AF186='Model inputs'!AJ26),'Model inputs'!AF186='Model inputs'!AJ26,IF(OR('Model inputs'!AF186="",'Model inputs'!AJ26=""),"",'Model inputs'!AF186='Model inputs'!AJ26))="",FALSE,IF(ISERROR('Model inputs'!AF186='Model inputs'!AJ26),'Model inputs'!AF186='Model inputs'!AJ26,IF(OR('Model inputs'!AF186="",'Model inputs'!AJ26=""),"",'Model inputs'!AF186='Model inputs'!AJ26))),IF('Model inputs'!AJ27="","",'Model inputs'!AJ27),'Model inputs'!AE189*(1+'Model inputs'!AJ23-'Model inputs'!AJ28)))</f>
        <v>538.0632002283584</v>
      </c>
      <c r="AG189" s="8">
        <f>IF(IF(IF(ISERROR('Model inputs'!AG186&lt;'Model inputs'!AJ26),'Model inputs'!AG186&lt;'Model inputs'!AJ26,IF(OR('Model inputs'!AG186="",'Model inputs'!AJ26=""),"",'Model inputs'!AG186&lt;'Model inputs'!AJ26))="",FALSE,IF(ISERROR('Model inputs'!AG186&lt;'Model inputs'!AJ26),'Model inputs'!AG186&lt;'Model inputs'!AJ26,IF(OR('Model inputs'!AG186="",'Model inputs'!AJ26=""),"",'Model inputs'!AG186&lt;'Model inputs'!AJ26))),0,IF(IF(IF(ISERROR('Model inputs'!AG186='Model inputs'!AJ26),'Model inputs'!AG186='Model inputs'!AJ26,IF(OR('Model inputs'!AG186="",'Model inputs'!AJ26=""),"",'Model inputs'!AG186='Model inputs'!AJ26))="",FALSE,IF(ISERROR('Model inputs'!AG186='Model inputs'!AJ26),'Model inputs'!AG186='Model inputs'!AJ26,IF(OR('Model inputs'!AG186="",'Model inputs'!AJ26=""),"",'Model inputs'!AG186='Model inputs'!AJ26))),IF('Model inputs'!AJ27="","",'Model inputs'!AJ27),'Model inputs'!AF189*(1+'Model inputs'!AJ23-'Model inputs'!AJ28)))</f>
        <v>618.7726802626121</v>
      </c>
      <c r="AH189" s="8">
        <f>IF(IF(IF(ISERROR('Model inputs'!AH186&lt;'Model inputs'!AJ26),'Model inputs'!AH186&lt;'Model inputs'!AJ26,IF(OR('Model inputs'!AH186="",'Model inputs'!AJ26=""),"",'Model inputs'!AH186&lt;'Model inputs'!AJ26))="",FALSE,IF(ISERROR('Model inputs'!AH186&lt;'Model inputs'!AJ26),'Model inputs'!AH186&lt;'Model inputs'!AJ26,IF(OR('Model inputs'!AH186="",'Model inputs'!AJ26=""),"",'Model inputs'!AH186&lt;'Model inputs'!AJ26))),0,IF(IF(IF(ISERROR('Model inputs'!AH186='Model inputs'!AJ26),'Model inputs'!AH186='Model inputs'!AJ26,IF(OR('Model inputs'!AH186="",'Model inputs'!AJ26=""),"",'Model inputs'!AH186='Model inputs'!AJ26))="",FALSE,IF(ISERROR('Model inputs'!AH186='Model inputs'!AJ26),'Model inputs'!AH186='Model inputs'!AJ26,IF(OR('Model inputs'!AH186="",'Model inputs'!AJ26=""),"",'Model inputs'!AH186='Model inputs'!AJ26))),IF('Model inputs'!AJ27="","",'Model inputs'!AJ27),'Model inputs'!AG189*(1+'Model inputs'!AJ23-'Model inputs'!AJ28)))</f>
        <v>711.5885823020038</v>
      </c>
      <c r="AI189" s="8">
        <f>IF(IF(IF(ISERROR('Model inputs'!AI186&lt;'Model inputs'!AJ26),'Model inputs'!AI186&lt;'Model inputs'!AJ26,IF(OR('Model inputs'!AI186="",'Model inputs'!AJ26=""),"",'Model inputs'!AI186&lt;'Model inputs'!AJ26))="",FALSE,IF(ISERROR('Model inputs'!AI186&lt;'Model inputs'!AJ26),'Model inputs'!AI186&lt;'Model inputs'!AJ26,IF(OR('Model inputs'!AI186="",'Model inputs'!AJ26=""),"",'Model inputs'!AI186&lt;'Model inputs'!AJ26))),0,IF(IF(IF(ISERROR('Model inputs'!AI186='Model inputs'!AJ26),'Model inputs'!AI186='Model inputs'!AJ26,IF(OR('Model inputs'!AI186="",'Model inputs'!AJ26=""),"",'Model inputs'!AI186='Model inputs'!AJ26))="",FALSE,IF(ISERROR('Model inputs'!AI186='Model inputs'!AJ26),'Model inputs'!AI186='Model inputs'!AJ26,IF(OR('Model inputs'!AI186="",'Model inputs'!AJ26=""),"",'Model inputs'!AI186='Model inputs'!AJ26))),IF('Model inputs'!AJ27="","",'Model inputs'!AJ27),'Model inputs'!AH189*(1+'Model inputs'!AJ23-'Model inputs'!AJ28)))</f>
        <v>818.3268696473043</v>
      </c>
    </row>
    <row r="190">
      <c r="A190" t="inlineStr" s="13">
        <is>
          <t xml:space="preserve">Haq CSC operators · Haq Acquisition top-up · Growth · Growth</t>
        </is>
      </c>
      <c r="B190" s="8">
        <f>IF(IF(IF(ISERROR('Model inputs'!B187&lt;'Model inputs'!AJ82),'Model inputs'!B187&lt;'Model inputs'!AJ82,IF(OR('Model inputs'!B187="",'Model inputs'!AJ82=""),"",'Model inputs'!B187&lt;'Model inputs'!AJ82))="",FALSE,IF(ISERROR('Model inputs'!B187&lt;'Model inputs'!AJ82),'Model inputs'!B187&lt;'Model inputs'!AJ82,IF(OR('Model inputs'!B187="",'Model inputs'!AJ82=""),"",'Model inputs'!B187&lt;'Model inputs'!AJ82))),0,IF(IF(IF(ISERROR('Model inputs'!B187='Model inputs'!AJ82),'Model inputs'!B187='Model inputs'!AJ82,IF(OR('Model inputs'!B187="",'Model inputs'!AJ82=""),"",'Model inputs'!B187='Model inputs'!AJ82))="",FALSE,IF(ISERROR('Model inputs'!B187='Model inputs'!AJ82),'Model inputs'!B187='Model inputs'!AJ82,IF(OR('Model inputs'!B187="",'Model inputs'!AJ82=""),"",'Model inputs'!B187='Model inputs'!AJ82))),IF('Model inputs'!AJ83="","",'Model inputs'!AJ83),0*(1+'Model inputs'!AJ79-'Model inputs'!AJ84)))</f>
        <v>0</v>
      </c>
      <c r="C190" s="8">
        <f>IF(IF(IF(ISERROR('Model inputs'!C187&lt;'Model inputs'!AJ82),'Model inputs'!C187&lt;'Model inputs'!AJ82,IF(OR('Model inputs'!C187="",'Model inputs'!AJ82=""),"",'Model inputs'!C187&lt;'Model inputs'!AJ82))="",FALSE,IF(ISERROR('Model inputs'!C187&lt;'Model inputs'!AJ82),'Model inputs'!C187&lt;'Model inputs'!AJ82,IF(OR('Model inputs'!C187="",'Model inputs'!AJ82=""),"",'Model inputs'!C187&lt;'Model inputs'!AJ82))),0,IF(IF(IF(ISERROR('Model inputs'!C187='Model inputs'!AJ82),'Model inputs'!C187='Model inputs'!AJ82,IF(OR('Model inputs'!C187="",'Model inputs'!AJ82=""),"",'Model inputs'!C187='Model inputs'!AJ82))="",FALSE,IF(ISERROR('Model inputs'!C187='Model inputs'!AJ82),'Model inputs'!C187='Model inputs'!AJ82,IF(OR('Model inputs'!C187="",'Model inputs'!AJ82=""),"",'Model inputs'!C187='Model inputs'!AJ82))),IF('Model inputs'!AJ83="","",'Model inputs'!AJ83),'Model inputs'!B190*(1+'Model inputs'!AJ79-'Model inputs'!AJ84)))</f>
        <v>0</v>
      </c>
      <c r="D190" s="8">
        <f>IF(IF(IF(ISERROR('Model inputs'!D187&lt;'Model inputs'!AJ82),'Model inputs'!D187&lt;'Model inputs'!AJ82,IF(OR('Model inputs'!D187="",'Model inputs'!AJ82=""),"",'Model inputs'!D187&lt;'Model inputs'!AJ82))="",FALSE,IF(ISERROR('Model inputs'!D187&lt;'Model inputs'!AJ82),'Model inputs'!D187&lt;'Model inputs'!AJ82,IF(OR('Model inputs'!D187="",'Model inputs'!AJ82=""),"",'Model inputs'!D187&lt;'Model inputs'!AJ82))),0,IF(IF(IF(ISERROR('Model inputs'!D187='Model inputs'!AJ82),'Model inputs'!D187='Model inputs'!AJ82,IF(OR('Model inputs'!D187="",'Model inputs'!AJ82=""),"",'Model inputs'!D187='Model inputs'!AJ82))="",FALSE,IF(ISERROR('Model inputs'!D187='Model inputs'!AJ82),'Model inputs'!D187='Model inputs'!AJ82,IF(OR('Model inputs'!D187="",'Model inputs'!AJ82=""),"",'Model inputs'!D187='Model inputs'!AJ82))),IF('Model inputs'!AJ83="","",'Model inputs'!AJ83),'Model inputs'!C190*(1+'Model inputs'!AJ79-'Model inputs'!AJ84)))</f>
        <v>0</v>
      </c>
      <c r="E190" s="8">
        <f>IF(IF(IF(ISERROR('Model inputs'!E187&lt;'Model inputs'!AJ82),'Model inputs'!E187&lt;'Model inputs'!AJ82,IF(OR('Model inputs'!E187="",'Model inputs'!AJ82=""),"",'Model inputs'!E187&lt;'Model inputs'!AJ82))="",FALSE,IF(ISERROR('Model inputs'!E187&lt;'Model inputs'!AJ82),'Model inputs'!E187&lt;'Model inputs'!AJ82,IF(OR('Model inputs'!E187="",'Model inputs'!AJ82=""),"",'Model inputs'!E187&lt;'Model inputs'!AJ82))),0,IF(IF(IF(ISERROR('Model inputs'!E187='Model inputs'!AJ82),'Model inputs'!E187='Model inputs'!AJ82,IF(OR('Model inputs'!E187="",'Model inputs'!AJ82=""),"",'Model inputs'!E187='Model inputs'!AJ82))="",FALSE,IF(ISERROR('Model inputs'!E187='Model inputs'!AJ82),'Model inputs'!E187='Model inputs'!AJ82,IF(OR('Model inputs'!E187="",'Model inputs'!AJ82=""),"",'Model inputs'!E187='Model inputs'!AJ82))),IF('Model inputs'!AJ83="","",'Model inputs'!AJ83),'Model inputs'!D190*(1+'Model inputs'!AJ79-'Model inputs'!AJ84)))</f>
        <v>0</v>
      </c>
      <c r="F190" s="8">
        <f>IF(IF(IF(ISERROR('Model inputs'!F187&lt;'Model inputs'!AJ82),'Model inputs'!F187&lt;'Model inputs'!AJ82,IF(OR('Model inputs'!F187="",'Model inputs'!AJ82=""),"",'Model inputs'!F187&lt;'Model inputs'!AJ82))="",FALSE,IF(ISERROR('Model inputs'!F187&lt;'Model inputs'!AJ82),'Model inputs'!F187&lt;'Model inputs'!AJ82,IF(OR('Model inputs'!F187="",'Model inputs'!AJ82=""),"",'Model inputs'!F187&lt;'Model inputs'!AJ82))),0,IF(IF(IF(ISERROR('Model inputs'!F187='Model inputs'!AJ82),'Model inputs'!F187='Model inputs'!AJ82,IF(OR('Model inputs'!F187="",'Model inputs'!AJ82=""),"",'Model inputs'!F187='Model inputs'!AJ82))="",FALSE,IF(ISERROR('Model inputs'!F187='Model inputs'!AJ82),'Model inputs'!F187='Model inputs'!AJ82,IF(OR('Model inputs'!F187="",'Model inputs'!AJ82=""),"",'Model inputs'!F187='Model inputs'!AJ82))),IF('Model inputs'!AJ83="","",'Model inputs'!AJ83),'Model inputs'!E190*(1+'Model inputs'!AJ79-'Model inputs'!AJ84)))</f>
        <v>0</v>
      </c>
      <c r="G190" s="8">
        <f>IF(IF(IF(ISERROR('Model inputs'!G187&lt;'Model inputs'!AJ82),'Model inputs'!G187&lt;'Model inputs'!AJ82,IF(OR('Model inputs'!G187="",'Model inputs'!AJ82=""),"",'Model inputs'!G187&lt;'Model inputs'!AJ82))="",FALSE,IF(ISERROR('Model inputs'!G187&lt;'Model inputs'!AJ82),'Model inputs'!G187&lt;'Model inputs'!AJ82,IF(OR('Model inputs'!G187="",'Model inputs'!AJ82=""),"",'Model inputs'!G187&lt;'Model inputs'!AJ82))),0,IF(IF(IF(ISERROR('Model inputs'!G187='Model inputs'!AJ82),'Model inputs'!G187='Model inputs'!AJ82,IF(OR('Model inputs'!G187="",'Model inputs'!AJ82=""),"",'Model inputs'!G187='Model inputs'!AJ82))="",FALSE,IF(ISERROR('Model inputs'!G187='Model inputs'!AJ82),'Model inputs'!G187='Model inputs'!AJ82,IF(OR('Model inputs'!G187="",'Model inputs'!AJ82=""),"",'Model inputs'!G187='Model inputs'!AJ82))),IF('Model inputs'!AJ83="","",'Model inputs'!AJ83),'Model inputs'!F190*(1+'Model inputs'!AJ79-'Model inputs'!AJ84)))</f>
        <v>0</v>
      </c>
      <c r="H190" s="8">
        <f>IF(IF(IF(ISERROR('Model inputs'!H187&lt;'Model inputs'!AJ82),'Model inputs'!H187&lt;'Model inputs'!AJ82,IF(OR('Model inputs'!H187="",'Model inputs'!AJ82=""),"",'Model inputs'!H187&lt;'Model inputs'!AJ82))="",FALSE,IF(ISERROR('Model inputs'!H187&lt;'Model inputs'!AJ82),'Model inputs'!H187&lt;'Model inputs'!AJ82,IF(OR('Model inputs'!H187="",'Model inputs'!AJ82=""),"",'Model inputs'!H187&lt;'Model inputs'!AJ82))),0,IF(IF(IF(ISERROR('Model inputs'!H187='Model inputs'!AJ82),'Model inputs'!H187='Model inputs'!AJ82,IF(OR('Model inputs'!H187="",'Model inputs'!AJ82=""),"",'Model inputs'!H187='Model inputs'!AJ82))="",FALSE,IF(ISERROR('Model inputs'!H187='Model inputs'!AJ82),'Model inputs'!H187='Model inputs'!AJ82,IF(OR('Model inputs'!H187="",'Model inputs'!AJ82=""),"",'Model inputs'!H187='Model inputs'!AJ82))),IF('Model inputs'!AJ83="","",'Model inputs'!AJ83),'Model inputs'!G190*(1+'Model inputs'!AJ79-'Model inputs'!AJ84)))</f>
        <v>0</v>
      </c>
      <c r="I190" s="8">
        <f>IF(IF(IF(ISERROR('Model inputs'!I187&lt;'Model inputs'!AJ82),'Model inputs'!I187&lt;'Model inputs'!AJ82,IF(OR('Model inputs'!I187="",'Model inputs'!AJ82=""),"",'Model inputs'!I187&lt;'Model inputs'!AJ82))="",FALSE,IF(ISERROR('Model inputs'!I187&lt;'Model inputs'!AJ82),'Model inputs'!I187&lt;'Model inputs'!AJ82,IF(OR('Model inputs'!I187="",'Model inputs'!AJ82=""),"",'Model inputs'!I187&lt;'Model inputs'!AJ82))),0,IF(IF(IF(ISERROR('Model inputs'!I187='Model inputs'!AJ82),'Model inputs'!I187='Model inputs'!AJ82,IF(OR('Model inputs'!I187="",'Model inputs'!AJ82=""),"",'Model inputs'!I187='Model inputs'!AJ82))="",FALSE,IF(ISERROR('Model inputs'!I187='Model inputs'!AJ82),'Model inputs'!I187='Model inputs'!AJ82,IF(OR('Model inputs'!I187="",'Model inputs'!AJ82=""),"",'Model inputs'!I187='Model inputs'!AJ82))),IF('Model inputs'!AJ83="","",'Model inputs'!AJ83),'Model inputs'!H190*(1+'Model inputs'!AJ79-'Model inputs'!AJ84)))</f>
        <v>0</v>
      </c>
      <c r="J190" s="8">
        <f>IF(IF(IF(ISERROR('Model inputs'!J187&lt;'Model inputs'!AJ82),'Model inputs'!J187&lt;'Model inputs'!AJ82,IF(OR('Model inputs'!J187="",'Model inputs'!AJ82=""),"",'Model inputs'!J187&lt;'Model inputs'!AJ82))="",FALSE,IF(ISERROR('Model inputs'!J187&lt;'Model inputs'!AJ82),'Model inputs'!J187&lt;'Model inputs'!AJ82,IF(OR('Model inputs'!J187="",'Model inputs'!AJ82=""),"",'Model inputs'!J187&lt;'Model inputs'!AJ82))),0,IF(IF(IF(ISERROR('Model inputs'!J187='Model inputs'!AJ82),'Model inputs'!J187='Model inputs'!AJ82,IF(OR('Model inputs'!J187="",'Model inputs'!AJ82=""),"",'Model inputs'!J187='Model inputs'!AJ82))="",FALSE,IF(ISERROR('Model inputs'!J187='Model inputs'!AJ82),'Model inputs'!J187='Model inputs'!AJ82,IF(OR('Model inputs'!J187="",'Model inputs'!AJ82=""),"",'Model inputs'!J187='Model inputs'!AJ82))),IF('Model inputs'!AJ83="","",'Model inputs'!AJ83),'Model inputs'!I190*(1+'Model inputs'!AJ79-'Model inputs'!AJ84)))</f>
        <v>0</v>
      </c>
      <c r="K190" s="8">
        <f>IF(IF(IF(ISERROR('Model inputs'!K187&lt;'Model inputs'!AJ82),'Model inputs'!K187&lt;'Model inputs'!AJ82,IF(OR('Model inputs'!K187="",'Model inputs'!AJ82=""),"",'Model inputs'!K187&lt;'Model inputs'!AJ82))="",FALSE,IF(ISERROR('Model inputs'!K187&lt;'Model inputs'!AJ82),'Model inputs'!K187&lt;'Model inputs'!AJ82,IF(OR('Model inputs'!K187="",'Model inputs'!AJ82=""),"",'Model inputs'!K187&lt;'Model inputs'!AJ82))),0,IF(IF(IF(ISERROR('Model inputs'!K187='Model inputs'!AJ82),'Model inputs'!K187='Model inputs'!AJ82,IF(OR('Model inputs'!K187="",'Model inputs'!AJ82=""),"",'Model inputs'!K187='Model inputs'!AJ82))="",FALSE,IF(ISERROR('Model inputs'!K187='Model inputs'!AJ82),'Model inputs'!K187='Model inputs'!AJ82,IF(OR('Model inputs'!K187="",'Model inputs'!AJ82=""),"",'Model inputs'!K187='Model inputs'!AJ82))),IF('Model inputs'!AJ83="","",'Model inputs'!AJ83),'Model inputs'!J190*(1+'Model inputs'!AJ79-'Model inputs'!AJ84)))</f>
        <v>0</v>
      </c>
      <c r="L190" s="8">
        <f>IF(IF(IF(ISERROR('Model inputs'!L187&lt;'Model inputs'!AJ82),'Model inputs'!L187&lt;'Model inputs'!AJ82,IF(OR('Model inputs'!L187="",'Model inputs'!AJ82=""),"",'Model inputs'!L187&lt;'Model inputs'!AJ82))="",FALSE,IF(ISERROR('Model inputs'!L187&lt;'Model inputs'!AJ82),'Model inputs'!L187&lt;'Model inputs'!AJ82,IF(OR('Model inputs'!L187="",'Model inputs'!AJ82=""),"",'Model inputs'!L187&lt;'Model inputs'!AJ82))),0,IF(IF(IF(ISERROR('Model inputs'!L187='Model inputs'!AJ82),'Model inputs'!L187='Model inputs'!AJ82,IF(OR('Model inputs'!L187="",'Model inputs'!AJ82=""),"",'Model inputs'!L187='Model inputs'!AJ82))="",FALSE,IF(ISERROR('Model inputs'!L187='Model inputs'!AJ82),'Model inputs'!L187='Model inputs'!AJ82,IF(OR('Model inputs'!L187="",'Model inputs'!AJ82=""),"",'Model inputs'!L187='Model inputs'!AJ82))),IF('Model inputs'!AJ83="","",'Model inputs'!AJ83),'Model inputs'!K190*(1+'Model inputs'!AJ79-'Model inputs'!AJ84)))</f>
        <v>0</v>
      </c>
      <c r="M190" s="8">
        <f>IF(IF(IF(ISERROR('Model inputs'!M187&lt;'Model inputs'!AJ82),'Model inputs'!M187&lt;'Model inputs'!AJ82,IF(OR('Model inputs'!M187="",'Model inputs'!AJ82=""),"",'Model inputs'!M187&lt;'Model inputs'!AJ82))="",FALSE,IF(ISERROR('Model inputs'!M187&lt;'Model inputs'!AJ82),'Model inputs'!M187&lt;'Model inputs'!AJ82,IF(OR('Model inputs'!M187="",'Model inputs'!AJ82=""),"",'Model inputs'!M187&lt;'Model inputs'!AJ82))),0,IF(IF(IF(ISERROR('Model inputs'!M187='Model inputs'!AJ82),'Model inputs'!M187='Model inputs'!AJ82,IF(OR('Model inputs'!M187="",'Model inputs'!AJ82=""),"",'Model inputs'!M187='Model inputs'!AJ82))="",FALSE,IF(ISERROR('Model inputs'!M187='Model inputs'!AJ82),'Model inputs'!M187='Model inputs'!AJ82,IF(OR('Model inputs'!M187="",'Model inputs'!AJ82=""),"",'Model inputs'!M187='Model inputs'!AJ82))),IF('Model inputs'!AJ83="","",'Model inputs'!AJ83),'Model inputs'!L190*(1+'Model inputs'!AJ79-'Model inputs'!AJ84)))</f>
        <v>0</v>
      </c>
      <c r="N190" s="8">
        <f>IF(IF(IF(ISERROR('Model inputs'!N187&lt;'Model inputs'!AJ82),'Model inputs'!N187&lt;'Model inputs'!AJ82,IF(OR('Model inputs'!N187="",'Model inputs'!AJ82=""),"",'Model inputs'!N187&lt;'Model inputs'!AJ82))="",FALSE,IF(ISERROR('Model inputs'!N187&lt;'Model inputs'!AJ82),'Model inputs'!N187&lt;'Model inputs'!AJ82,IF(OR('Model inputs'!N187="",'Model inputs'!AJ82=""),"",'Model inputs'!N187&lt;'Model inputs'!AJ82))),0,IF(IF(IF(ISERROR('Model inputs'!N187='Model inputs'!AJ82),'Model inputs'!N187='Model inputs'!AJ82,IF(OR('Model inputs'!N187="",'Model inputs'!AJ82=""),"",'Model inputs'!N187='Model inputs'!AJ82))="",FALSE,IF(ISERROR('Model inputs'!N187='Model inputs'!AJ82),'Model inputs'!N187='Model inputs'!AJ82,IF(OR('Model inputs'!N187="",'Model inputs'!AJ82=""),"",'Model inputs'!N187='Model inputs'!AJ82))),IF('Model inputs'!AJ83="","",'Model inputs'!AJ83),'Model inputs'!M190*(1+'Model inputs'!AJ79-'Model inputs'!AJ84)))</f>
        <v>0</v>
      </c>
      <c r="O190" s="8">
        <f>IF(IF(IF(ISERROR('Model inputs'!O187&lt;'Model inputs'!AJ82),'Model inputs'!O187&lt;'Model inputs'!AJ82,IF(OR('Model inputs'!O187="",'Model inputs'!AJ82=""),"",'Model inputs'!O187&lt;'Model inputs'!AJ82))="",FALSE,IF(ISERROR('Model inputs'!O187&lt;'Model inputs'!AJ82),'Model inputs'!O187&lt;'Model inputs'!AJ82,IF(OR('Model inputs'!O187="",'Model inputs'!AJ82=""),"",'Model inputs'!O187&lt;'Model inputs'!AJ82))),0,IF(IF(IF(ISERROR('Model inputs'!O187='Model inputs'!AJ82),'Model inputs'!O187='Model inputs'!AJ82,IF(OR('Model inputs'!O187="",'Model inputs'!AJ82=""),"",'Model inputs'!O187='Model inputs'!AJ82))="",FALSE,IF(ISERROR('Model inputs'!O187='Model inputs'!AJ82),'Model inputs'!O187='Model inputs'!AJ82,IF(OR('Model inputs'!O187="",'Model inputs'!AJ82=""),"",'Model inputs'!O187='Model inputs'!AJ82))),IF('Model inputs'!AJ83="","",'Model inputs'!AJ83),'Model inputs'!N190*(1+'Model inputs'!AJ79-'Model inputs'!AJ84)))</f>
        <v>50</v>
      </c>
      <c r="P190" s="8">
        <f>IF(IF(IF(ISERROR('Model inputs'!P187&lt;'Model inputs'!AJ82),'Model inputs'!P187&lt;'Model inputs'!AJ82,IF(OR('Model inputs'!P187="",'Model inputs'!AJ82=""),"",'Model inputs'!P187&lt;'Model inputs'!AJ82))="",FALSE,IF(ISERROR('Model inputs'!P187&lt;'Model inputs'!AJ82),'Model inputs'!P187&lt;'Model inputs'!AJ82,IF(OR('Model inputs'!P187="",'Model inputs'!AJ82=""),"",'Model inputs'!P187&lt;'Model inputs'!AJ82))),0,IF(IF(IF(ISERROR('Model inputs'!P187='Model inputs'!AJ82),'Model inputs'!P187='Model inputs'!AJ82,IF(OR('Model inputs'!P187="",'Model inputs'!AJ82=""),"",'Model inputs'!P187='Model inputs'!AJ82))="",FALSE,IF(ISERROR('Model inputs'!P187='Model inputs'!AJ82),'Model inputs'!P187='Model inputs'!AJ82,IF(OR('Model inputs'!P187="",'Model inputs'!AJ82=""),"",'Model inputs'!P187='Model inputs'!AJ82))),IF('Model inputs'!AJ83="","",'Model inputs'!AJ83),'Model inputs'!O190*(1+'Model inputs'!AJ79-'Model inputs'!AJ84)))</f>
        <v>63.5</v>
      </c>
      <c r="Q190" s="8">
        <f>IF(IF(IF(ISERROR('Model inputs'!Q187&lt;'Model inputs'!AJ82),'Model inputs'!Q187&lt;'Model inputs'!AJ82,IF(OR('Model inputs'!Q187="",'Model inputs'!AJ82=""),"",'Model inputs'!Q187&lt;'Model inputs'!AJ82))="",FALSE,IF(ISERROR('Model inputs'!Q187&lt;'Model inputs'!AJ82),'Model inputs'!Q187&lt;'Model inputs'!AJ82,IF(OR('Model inputs'!Q187="",'Model inputs'!AJ82=""),"",'Model inputs'!Q187&lt;'Model inputs'!AJ82))),0,IF(IF(IF(ISERROR('Model inputs'!Q187='Model inputs'!AJ82),'Model inputs'!Q187='Model inputs'!AJ82,IF(OR('Model inputs'!Q187="",'Model inputs'!AJ82=""),"",'Model inputs'!Q187='Model inputs'!AJ82))="",FALSE,IF(ISERROR('Model inputs'!Q187='Model inputs'!AJ82),'Model inputs'!Q187='Model inputs'!AJ82,IF(OR('Model inputs'!Q187="",'Model inputs'!AJ82=""),"",'Model inputs'!Q187='Model inputs'!AJ82))),IF('Model inputs'!AJ83="","",'Model inputs'!AJ83),'Model inputs'!P190*(1+'Model inputs'!AJ79-'Model inputs'!AJ84)))</f>
        <v>80.645</v>
      </c>
      <c r="R190" s="8">
        <f>IF(IF(IF(ISERROR('Model inputs'!R187&lt;'Model inputs'!AJ82),'Model inputs'!R187&lt;'Model inputs'!AJ82,IF(OR('Model inputs'!R187="",'Model inputs'!AJ82=""),"",'Model inputs'!R187&lt;'Model inputs'!AJ82))="",FALSE,IF(ISERROR('Model inputs'!R187&lt;'Model inputs'!AJ82),'Model inputs'!R187&lt;'Model inputs'!AJ82,IF(OR('Model inputs'!R187="",'Model inputs'!AJ82=""),"",'Model inputs'!R187&lt;'Model inputs'!AJ82))),0,IF(IF(IF(ISERROR('Model inputs'!R187='Model inputs'!AJ82),'Model inputs'!R187='Model inputs'!AJ82,IF(OR('Model inputs'!R187="",'Model inputs'!AJ82=""),"",'Model inputs'!R187='Model inputs'!AJ82))="",FALSE,IF(ISERROR('Model inputs'!R187='Model inputs'!AJ82),'Model inputs'!R187='Model inputs'!AJ82,IF(OR('Model inputs'!R187="",'Model inputs'!AJ82=""),"",'Model inputs'!R187='Model inputs'!AJ82))),IF('Model inputs'!AJ83="","",'Model inputs'!AJ83),'Model inputs'!Q190*(1+'Model inputs'!AJ79-'Model inputs'!AJ84)))</f>
        <v>102.41915</v>
      </c>
      <c r="S190" s="8">
        <f>IF(IF(IF(ISERROR('Model inputs'!S187&lt;'Model inputs'!AJ82),'Model inputs'!S187&lt;'Model inputs'!AJ82,IF(OR('Model inputs'!S187="",'Model inputs'!AJ82=""),"",'Model inputs'!S187&lt;'Model inputs'!AJ82))="",FALSE,IF(ISERROR('Model inputs'!S187&lt;'Model inputs'!AJ82),'Model inputs'!S187&lt;'Model inputs'!AJ82,IF(OR('Model inputs'!S187="",'Model inputs'!AJ82=""),"",'Model inputs'!S187&lt;'Model inputs'!AJ82))),0,IF(IF(IF(ISERROR('Model inputs'!S187='Model inputs'!AJ82),'Model inputs'!S187='Model inputs'!AJ82,IF(OR('Model inputs'!S187="",'Model inputs'!AJ82=""),"",'Model inputs'!S187='Model inputs'!AJ82))="",FALSE,IF(ISERROR('Model inputs'!S187='Model inputs'!AJ82),'Model inputs'!S187='Model inputs'!AJ82,IF(OR('Model inputs'!S187="",'Model inputs'!AJ82=""),"",'Model inputs'!S187='Model inputs'!AJ82))),IF('Model inputs'!AJ83="","",'Model inputs'!AJ83),'Model inputs'!R190*(1+'Model inputs'!AJ79-'Model inputs'!AJ84)))</f>
        <v>130.07232050000002</v>
      </c>
      <c r="T190" s="8">
        <f>IF(IF(IF(ISERROR('Model inputs'!T187&lt;'Model inputs'!AJ82),'Model inputs'!T187&lt;'Model inputs'!AJ82,IF(OR('Model inputs'!T187="",'Model inputs'!AJ82=""),"",'Model inputs'!T187&lt;'Model inputs'!AJ82))="",FALSE,IF(ISERROR('Model inputs'!T187&lt;'Model inputs'!AJ82),'Model inputs'!T187&lt;'Model inputs'!AJ82,IF(OR('Model inputs'!T187="",'Model inputs'!AJ82=""),"",'Model inputs'!T187&lt;'Model inputs'!AJ82))),0,IF(IF(IF(ISERROR('Model inputs'!T187='Model inputs'!AJ82),'Model inputs'!T187='Model inputs'!AJ82,IF(OR('Model inputs'!T187="",'Model inputs'!AJ82=""),"",'Model inputs'!T187='Model inputs'!AJ82))="",FALSE,IF(ISERROR('Model inputs'!T187='Model inputs'!AJ82),'Model inputs'!T187='Model inputs'!AJ82,IF(OR('Model inputs'!T187="",'Model inputs'!AJ82=""),"",'Model inputs'!T187='Model inputs'!AJ82))),IF('Model inputs'!AJ83="","",'Model inputs'!AJ83),'Model inputs'!S190*(1+'Model inputs'!AJ79-'Model inputs'!AJ84)))</f>
        <v>165.19184703500002</v>
      </c>
      <c r="U190" s="8">
        <f>IF(IF(IF(ISERROR('Model inputs'!U187&lt;'Model inputs'!AJ82),'Model inputs'!U187&lt;'Model inputs'!AJ82,IF(OR('Model inputs'!U187="",'Model inputs'!AJ82=""),"",'Model inputs'!U187&lt;'Model inputs'!AJ82))="",FALSE,IF(ISERROR('Model inputs'!U187&lt;'Model inputs'!AJ82),'Model inputs'!U187&lt;'Model inputs'!AJ82,IF(OR('Model inputs'!U187="",'Model inputs'!AJ82=""),"",'Model inputs'!U187&lt;'Model inputs'!AJ82))),0,IF(IF(IF(ISERROR('Model inputs'!U187='Model inputs'!AJ82),'Model inputs'!U187='Model inputs'!AJ82,IF(OR('Model inputs'!U187="",'Model inputs'!AJ82=""),"",'Model inputs'!U187='Model inputs'!AJ82))="",FALSE,IF(ISERROR('Model inputs'!U187='Model inputs'!AJ82),'Model inputs'!U187='Model inputs'!AJ82,IF(OR('Model inputs'!U187="",'Model inputs'!AJ82=""),"",'Model inputs'!U187='Model inputs'!AJ82))),IF('Model inputs'!AJ83="","",'Model inputs'!AJ83),'Model inputs'!T190*(1+'Model inputs'!AJ79-'Model inputs'!AJ84)))</f>
        <v>209.79364573445002</v>
      </c>
      <c r="V190" s="8">
        <f>IF(IF(IF(ISERROR('Model inputs'!V187&lt;'Model inputs'!AJ82),'Model inputs'!V187&lt;'Model inputs'!AJ82,IF(OR('Model inputs'!V187="",'Model inputs'!AJ82=""),"",'Model inputs'!V187&lt;'Model inputs'!AJ82))="",FALSE,IF(ISERROR('Model inputs'!V187&lt;'Model inputs'!AJ82),'Model inputs'!V187&lt;'Model inputs'!AJ82,IF(OR('Model inputs'!V187="",'Model inputs'!AJ82=""),"",'Model inputs'!V187&lt;'Model inputs'!AJ82))),0,IF(IF(IF(ISERROR('Model inputs'!V187='Model inputs'!AJ82),'Model inputs'!V187='Model inputs'!AJ82,IF(OR('Model inputs'!V187="",'Model inputs'!AJ82=""),"",'Model inputs'!V187='Model inputs'!AJ82))="",FALSE,IF(ISERROR('Model inputs'!V187='Model inputs'!AJ82),'Model inputs'!V187='Model inputs'!AJ82,IF(OR('Model inputs'!V187="",'Model inputs'!AJ82=""),"",'Model inputs'!V187='Model inputs'!AJ82))),IF('Model inputs'!AJ83="","",'Model inputs'!AJ83),'Model inputs'!U190*(1+'Model inputs'!AJ79-'Model inputs'!AJ84)))</f>
        <v>266.4379300827515</v>
      </c>
      <c r="W190" s="8">
        <f>IF(IF(IF(ISERROR('Model inputs'!W187&lt;'Model inputs'!AJ82),'Model inputs'!W187&lt;'Model inputs'!AJ82,IF(OR('Model inputs'!W187="",'Model inputs'!AJ82=""),"",'Model inputs'!W187&lt;'Model inputs'!AJ82))="",FALSE,IF(ISERROR('Model inputs'!W187&lt;'Model inputs'!AJ82),'Model inputs'!W187&lt;'Model inputs'!AJ82,IF(OR('Model inputs'!W187="",'Model inputs'!AJ82=""),"",'Model inputs'!W187&lt;'Model inputs'!AJ82))),0,IF(IF(IF(ISERROR('Model inputs'!W187='Model inputs'!AJ82),'Model inputs'!W187='Model inputs'!AJ82,IF(OR('Model inputs'!W187="",'Model inputs'!AJ82=""),"",'Model inputs'!W187='Model inputs'!AJ82))="",FALSE,IF(ISERROR('Model inputs'!W187='Model inputs'!AJ82),'Model inputs'!W187='Model inputs'!AJ82,IF(OR('Model inputs'!W187="",'Model inputs'!AJ82=""),"",'Model inputs'!W187='Model inputs'!AJ82))),IF('Model inputs'!AJ83="","",'Model inputs'!AJ83),'Model inputs'!V190*(1+'Model inputs'!AJ79-'Model inputs'!AJ84)))</f>
        <v>338.3761712050944</v>
      </c>
      <c r="X190" s="8">
        <f>IF(IF(IF(ISERROR('Model inputs'!X187&lt;'Model inputs'!AJ82),'Model inputs'!X187&lt;'Model inputs'!AJ82,IF(OR('Model inputs'!X187="",'Model inputs'!AJ82=""),"",'Model inputs'!X187&lt;'Model inputs'!AJ82))="",FALSE,IF(ISERROR('Model inputs'!X187&lt;'Model inputs'!AJ82),'Model inputs'!X187&lt;'Model inputs'!AJ82,IF(OR('Model inputs'!X187="",'Model inputs'!AJ82=""),"",'Model inputs'!X187&lt;'Model inputs'!AJ82))),0,IF(IF(IF(ISERROR('Model inputs'!X187='Model inputs'!AJ82),'Model inputs'!X187='Model inputs'!AJ82,IF(OR('Model inputs'!X187="",'Model inputs'!AJ82=""),"",'Model inputs'!X187='Model inputs'!AJ82))="",FALSE,IF(ISERROR('Model inputs'!X187='Model inputs'!AJ82),'Model inputs'!X187='Model inputs'!AJ82,IF(OR('Model inputs'!X187="",'Model inputs'!AJ82=""),"",'Model inputs'!X187='Model inputs'!AJ82))),IF('Model inputs'!AJ83="","",'Model inputs'!AJ83),'Model inputs'!W190*(1+'Model inputs'!AJ79-'Model inputs'!AJ84)))</f>
        <v>429.7377374304699</v>
      </c>
      <c r="Y190" s="8">
        <f>IF(IF(IF(ISERROR('Model inputs'!Y187&lt;'Model inputs'!AJ82),'Model inputs'!Y187&lt;'Model inputs'!AJ82,IF(OR('Model inputs'!Y187="",'Model inputs'!AJ82=""),"",'Model inputs'!Y187&lt;'Model inputs'!AJ82))="",FALSE,IF(ISERROR('Model inputs'!Y187&lt;'Model inputs'!AJ82),'Model inputs'!Y187&lt;'Model inputs'!AJ82,IF(OR('Model inputs'!Y187="",'Model inputs'!AJ82=""),"",'Model inputs'!Y187&lt;'Model inputs'!AJ82))),0,IF(IF(IF(ISERROR('Model inputs'!Y187='Model inputs'!AJ82),'Model inputs'!Y187='Model inputs'!AJ82,IF(OR('Model inputs'!Y187="",'Model inputs'!AJ82=""),"",'Model inputs'!Y187='Model inputs'!AJ82))="",FALSE,IF(ISERROR('Model inputs'!Y187='Model inputs'!AJ82),'Model inputs'!Y187='Model inputs'!AJ82,IF(OR('Model inputs'!Y187="",'Model inputs'!AJ82=""),"",'Model inputs'!Y187='Model inputs'!AJ82))),IF('Model inputs'!AJ83="","",'Model inputs'!AJ83),'Model inputs'!X190*(1+'Model inputs'!AJ79-'Model inputs'!AJ84)))</f>
        <v>545.7669265366968</v>
      </c>
      <c r="Z190" s="8">
        <f>IF(IF(IF(ISERROR('Model inputs'!Z187&lt;'Model inputs'!AJ82),'Model inputs'!Z187&lt;'Model inputs'!AJ82,IF(OR('Model inputs'!Z187="",'Model inputs'!AJ82=""),"",'Model inputs'!Z187&lt;'Model inputs'!AJ82))="",FALSE,IF(ISERROR('Model inputs'!Z187&lt;'Model inputs'!AJ82),'Model inputs'!Z187&lt;'Model inputs'!AJ82,IF(OR('Model inputs'!Z187="",'Model inputs'!AJ82=""),"",'Model inputs'!Z187&lt;'Model inputs'!AJ82))),0,IF(IF(IF(ISERROR('Model inputs'!Z187='Model inputs'!AJ82),'Model inputs'!Z187='Model inputs'!AJ82,IF(OR('Model inputs'!Z187="",'Model inputs'!AJ82=""),"",'Model inputs'!Z187='Model inputs'!AJ82))="",FALSE,IF(ISERROR('Model inputs'!Z187='Model inputs'!AJ82),'Model inputs'!Z187='Model inputs'!AJ82,IF(OR('Model inputs'!Z187="",'Model inputs'!AJ82=""),"",'Model inputs'!Z187='Model inputs'!AJ82))),IF('Model inputs'!AJ83="","",'Model inputs'!AJ83),'Model inputs'!Y190*(1+'Model inputs'!AJ79-'Model inputs'!AJ84)))</f>
        <v>693.1239967016049</v>
      </c>
      <c r="AA190" s="8">
        <f>IF(IF(IF(ISERROR('Model inputs'!AA187&lt;'Model inputs'!AJ82),'Model inputs'!AA187&lt;'Model inputs'!AJ82,IF(OR('Model inputs'!AA187="",'Model inputs'!AJ82=""),"",'Model inputs'!AA187&lt;'Model inputs'!AJ82))="",FALSE,IF(ISERROR('Model inputs'!AA187&lt;'Model inputs'!AJ82),'Model inputs'!AA187&lt;'Model inputs'!AJ82,IF(OR('Model inputs'!AA187="",'Model inputs'!AJ82=""),"",'Model inputs'!AA187&lt;'Model inputs'!AJ82))),0,IF(IF(IF(ISERROR('Model inputs'!AA187='Model inputs'!AJ82),'Model inputs'!AA187='Model inputs'!AJ82,IF(OR('Model inputs'!AA187="",'Model inputs'!AJ82=""),"",'Model inputs'!AA187='Model inputs'!AJ82))="",FALSE,IF(ISERROR('Model inputs'!AA187='Model inputs'!AJ82),'Model inputs'!AA187='Model inputs'!AJ82,IF(OR('Model inputs'!AA187="",'Model inputs'!AJ82=""),"",'Model inputs'!AA187='Model inputs'!AJ82))),IF('Model inputs'!AJ83="","",'Model inputs'!AJ83),'Model inputs'!Z190*(1+'Model inputs'!AJ79-'Model inputs'!AJ84)))</f>
        <v>880.2674758110383</v>
      </c>
      <c r="AB190" s="8">
        <f>IF(IF(IF(ISERROR('Model inputs'!AB187&lt;'Model inputs'!AJ82),'Model inputs'!AB187&lt;'Model inputs'!AJ82,IF(OR('Model inputs'!AB187="",'Model inputs'!AJ82=""),"",'Model inputs'!AB187&lt;'Model inputs'!AJ82))="",FALSE,IF(ISERROR('Model inputs'!AB187&lt;'Model inputs'!AJ82),'Model inputs'!AB187&lt;'Model inputs'!AJ82,IF(OR('Model inputs'!AB187="",'Model inputs'!AJ82=""),"",'Model inputs'!AB187&lt;'Model inputs'!AJ82))),0,IF(IF(IF(ISERROR('Model inputs'!AB187='Model inputs'!AJ82),'Model inputs'!AB187='Model inputs'!AJ82,IF(OR('Model inputs'!AB187="",'Model inputs'!AJ82=""),"",'Model inputs'!AB187='Model inputs'!AJ82))="",FALSE,IF(ISERROR('Model inputs'!AB187='Model inputs'!AJ82),'Model inputs'!AB187='Model inputs'!AJ82,IF(OR('Model inputs'!AB187="",'Model inputs'!AJ82=""),"",'Model inputs'!AB187='Model inputs'!AJ82))),IF('Model inputs'!AJ83="","",'Model inputs'!AJ83),'Model inputs'!AA190*(1+'Model inputs'!AJ79-'Model inputs'!AJ84)))</f>
        <v>1117.9396942800186</v>
      </c>
      <c r="AC190" s="8">
        <f>IF(IF(IF(ISERROR('Model inputs'!AC187&lt;'Model inputs'!AJ82),'Model inputs'!AC187&lt;'Model inputs'!AJ82,IF(OR('Model inputs'!AC187="",'Model inputs'!AJ82=""),"",'Model inputs'!AC187&lt;'Model inputs'!AJ82))="",FALSE,IF(ISERROR('Model inputs'!AC187&lt;'Model inputs'!AJ82),'Model inputs'!AC187&lt;'Model inputs'!AJ82,IF(OR('Model inputs'!AC187="",'Model inputs'!AJ82=""),"",'Model inputs'!AC187&lt;'Model inputs'!AJ82))),0,IF(IF(IF(ISERROR('Model inputs'!AC187='Model inputs'!AJ82),'Model inputs'!AC187='Model inputs'!AJ82,IF(OR('Model inputs'!AC187="",'Model inputs'!AJ82=""),"",'Model inputs'!AC187='Model inputs'!AJ82))="",FALSE,IF(ISERROR('Model inputs'!AC187='Model inputs'!AJ82),'Model inputs'!AC187='Model inputs'!AJ82,IF(OR('Model inputs'!AC187="",'Model inputs'!AJ82=""),"",'Model inputs'!AC187='Model inputs'!AJ82))),IF('Model inputs'!AJ83="","",'Model inputs'!AJ83),'Model inputs'!AB190*(1+'Model inputs'!AJ79-'Model inputs'!AJ84)))</f>
        <v>1419.7834117356235</v>
      </c>
      <c r="AD190" s="8">
        <f>IF(IF(IF(ISERROR('Model inputs'!AD187&lt;'Model inputs'!AJ82),'Model inputs'!AD187&lt;'Model inputs'!AJ82,IF(OR('Model inputs'!AD187="",'Model inputs'!AJ82=""),"",'Model inputs'!AD187&lt;'Model inputs'!AJ82))="",FALSE,IF(ISERROR('Model inputs'!AD187&lt;'Model inputs'!AJ82),'Model inputs'!AD187&lt;'Model inputs'!AJ82,IF(OR('Model inputs'!AD187="",'Model inputs'!AJ82=""),"",'Model inputs'!AD187&lt;'Model inputs'!AJ82))),0,IF(IF(IF(ISERROR('Model inputs'!AD187='Model inputs'!AJ82),'Model inputs'!AD187='Model inputs'!AJ82,IF(OR('Model inputs'!AD187="",'Model inputs'!AJ82=""),"",'Model inputs'!AD187='Model inputs'!AJ82))="",FALSE,IF(ISERROR('Model inputs'!AD187='Model inputs'!AJ82),'Model inputs'!AD187='Model inputs'!AJ82,IF(OR('Model inputs'!AD187="",'Model inputs'!AJ82=""),"",'Model inputs'!AD187='Model inputs'!AJ82))),IF('Model inputs'!AJ83="","",'Model inputs'!AJ83),'Model inputs'!AC190*(1+'Model inputs'!AJ79-'Model inputs'!AJ84)))</f>
        <v>1803.1249329042419</v>
      </c>
      <c r="AE190" s="8">
        <f>IF(IF(IF(ISERROR('Model inputs'!AE187&lt;'Model inputs'!AJ82),'Model inputs'!AE187&lt;'Model inputs'!AJ82,IF(OR('Model inputs'!AE187="",'Model inputs'!AJ82=""),"",'Model inputs'!AE187&lt;'Model inputs'!AJ82))="",FALSE,IF(ISERROR('Model inputs'!AE187&lt;'Model inputs'!AJ82),'Model inputs'!AE187&lt;'Model inputs'!AJ82,IF(OR('Model inputs'!AE187="",'Model inputs'!AJ82=""),"",'Model inputs'!AE187&lt;'Model inputs'!AJ82))),0,IF(IF(IF(ISERROR('Model inputs'!AE187='Model inputs'!AJ82),'Model inputs'!AE187='Model inputs'!AJ82,IF(OR('Model inputs'!AE187="",'Model inputs'!AJ82=""),"",'Model inputs'!AE187='Model inputs'!AJ82))="",FALSE,IF(ISERROR('Model inputs'!AE187='Model inputs'!AJ82),'Model inputs'!AE187='Model inputs'!AJ82,IF(OR('Model inputs'!AE187="",'Model inputs'!AJ82=""),"",'Model inputs'!AE187='Model inputs'!AJ82))),IF('Model inputs'!AJ83="","",'Model inputs'!AJ83),'Model inputs'!AD190*(1+'Model inputs'!AJ79-'Model inputs'!AJ84)))</f>
        <v>2289.9686647883873</v>
      </c>
      <c r="AF190" s="8">
        <f>IF(IF(IF(ISERROR('Model inputs'!AF187&lt;'Model inputs'!AJ82),'Model inputs'!AF187&lt;'Model inputs'!AJ82,IF(OR('Model inputs'!AF187="",'Model inputs'!AJ82=""),"",'Model inputs'!AF187&lt;'Model inputs'!AJ82))="",FALSE,IF(ISERROR('Model inputs'!AF187&lt;'Model inputs'!AJ82),'Model inputs'!AF187&lt;'Model inputs'!AJ82,IF(OR('Model inputs'!AF187="",'Model inputs'!AJ82=""),"",'Model inputs'!AF187&lt;'Model inputs'!AJ82))),0,IF(IF(IF(ISERROR('Model inputs'!AF187='Model inputs'!AJ82),'Model inputs'!AF187='Model inputs'!AJ82,IF(OR('Model inputs'!AF187="",'Model inputs'!AJ82=""),"",'Model inputs'!AF187='Model inputs'!AJ82))="",FALSE,IF(ISERROR('Model inputs'!AF187='Model inputs'!AJ82),'Model inputs'!AF187='Model inputs'!AJ82,IF(OR('Model inputs'!AF187="",'Model inputs'!AJ82=""),"",'Model inputs'!AF187='Model inputs'!AJ82))),IF('Model inputs'!AJ83="","",'Model inputs'!AJ83),'Model inputs'!AE190*(1+'Model inputs'!AJ79-'Model inputs'!AJ84)))</f>
        <v>2908.260204281252</v>
      </c>
      <c r="AG190" s="8">
        <f>IF(IF(IF(ISERROR('Model inputs'!AG187&lt;'Model inputs'!AJ82),'Model inputs'!AG187&lt;'Model inputs'!AJ82,IF(OR('Model inputs'!AG187="",'Model inputs'!AJ82=""),"",'Model inputs'!AG187&lt;'Model inputs'!AJ82))="",FALSE,IF(ISERROR('Model inputs'!AG187&lt;'Model inputs'!AJ82),'Model inputs'!AG187&lt;'Model inputs'!AJ82,IF(OR('Model inputs'!AG187="",'Model inputs'!AJ82=""),"",'Model inputs'!AG187&lt;'Model inputs'!AJ82))),0,IF(IF(IF(ISERROR('Model inputs'!AG187='Model inputs'!AJ82),'Model inputs'!AG187='Model inputs'!AJ82,IF(OR('Model inputs'!AG187="",'Model inputs'!AJ82=""),"",'Model inputs'!AG187='Model inputs'!AJ82))="",FALSE,IF(ISERROR('Model inputs'!AG187='Model inputs'!AJ82),'Model inputs'!AG187='Model inputs'!AJ82,IF(OR('Model inputs'!AG187="",'Model inputs'!AJ82=""),"",'Model inputs'!AG187='Model inputs'!AJ82))),IF('Model inputs'!AJ83="","",'Model inputs'!AJ83),'Model inputs'!AF190*(1+'Model inputs'!AJ79-'Model inputs'!AJ84)))</f>
        <v>3693.49045943719</v>
      </c>
      <c r="AH190" s="8">
        <f>IF(IF(IF(ISERROR('Model inputs'!AH187&lt;'Model inputs'!AJ82),'Model inputs'!AH187&lt;'Model inputs'!AJ82,IF(OR('Model inputs'!AH187="",'Model inputs'!AJ82=""),"",'Model inputs'!AH187&lt;'Model inputs'!AJ82))="",FALSE,IF(ISERROR('Model inputs'!AH187&lt;'Model inputs'!AJ82),'Model inputs'!AH187&lt;'Model inputs'!AJ82,IF(OR('Model inputs'!AH187="",'Model inputs'!AJ82=""),"",'Model inputs'!AH187&lt;'Model inputs'!AJ82))),0,IF(IF(IF(ISERROR('Model inputs'!AH187='Model inputs'!AJ82),'Model inputs'!AH187='Model inputs'!AJ82,IF(OR('Model inputs'!AH187="",'Model inputs'!AJ82=""),"",'Model inputs'!AH187='Model inputs'!AJ82))="",FALSE,IF(ISERROR('Model inputs'!AH187='Model inputs'!AJ82),'Model inputs'!AH187='Model inputs'!AJ82,IF(OR('Model inputs'!AH187="",'Model inputs'!AJ82=""),"",'Model inputs'!AH187='Model inputs'!AJ82))),IF('Model inputs'!AJ83="","",'Model inputs'!AJ83),'Model inputs'!AG190*(1+'Model inputs'!AJ79-'Model inputs'!AJ84)))</f>
        <v>4690.7328834852315</v>
      </c>
      <c r="AI190" s="8">
        <f>IF(IF(IF(ISERROR('Model inputs'!AI187&lt;'Model inputs'!AJ82),'Model inputs'!AI187&lt;'Model inputs'!AJ82,IF(OR('Model inputs'!AI187="",'Model inputs'!AJ82=""),"",'Model inputs'!AI187&lt;'Model inputs'!AJ82))="",FALSE,IF(ISERROR('Model inputs'!AI187&lt;'Model inputs'!AJ82),'Model inputs'!AI187&lt;'Model inputs'!AJ82,IF(OR('Model inputs'!AI187="",'Model inputs'!AJ82=""),"",'Model inputs'!AI187&lt;'Model inputs'!AJ82))),0,IF(IF(IF(ISERROR('Model inputs'!AI187='Model inputs'!AJ82),'Model inputs'!AI187='Model inputs'!AJ82,IF(OR('Model inputs'!AI187="",'Model inputs'!AJ82=""),"",'Model inputs'!AI187='Model inputs'!AJ82))="",FALSE,IF(ISERROR('Model inputs'!AI187='Model inputs'!AJ82),'Model inputs'!AI187='Model inputs'!AJ82,IF(OR('Model inputs'!AI187="",'Model inputs'!AJ82=""),"",'Model inputs'!AI187='Model inputs'!AJ82))),IF('Model inputs'!AJ83="","",'Model inputs'!AJ83),'Model inputs'!AH190*(1+'Model inputs'!AJ79-'Model inputs'!AJ84)))</f>
        <v>5957.230762026244</v>
      </c>
    </row>
    <row r="191">
      <c r="A191" t="inlineStr" s="13">
        <is>
          <t xml:space="preserve">Haq CSC operators · Haq Acquisition top-up · Conservative · Conservative</t>
        </is>
      </c>
      <c r="B191" s="8">
        <f>IF(IF(IF(ISERROR('Model inputs'!B188&lt;'Model inputs'!AJ138),'Model inputs'!B188&lt;'Model inputs'!AJ138,IF(OR('Model inputs'!B188="",'Model inputs'!AJ138=""),"",'Model inputs'!B188&lt;'Model inputs'!AJ138))="",FALSE,IF(ISERROR('Model inputs'!B188&lt;'Model inputs'!AJ138),'Model inputs'!B188&lt;'Model inputs'!AJ138,IF(OR('Model inputs'!B188="",'Model inputs'!AJ138=""),"",'Model inputs'!B188&lt;'Model inputs'!AJ138))),0,IF(IF(IF(ISERROR('Model inputs'!B188='Model inputs'!AJ138),'Model inputs'!B188='Model inputs'!AJ138,IF(OR('Model inputs'!B188="",'Model inputs'!AJ138=""),"",'Model inputs'!B188='Model inputs'!AJ138))="",FALSE,IF(ISERROR('Model inputs'!B188='Model inputs'!AJ138),'Model inputs'!B188='Model inputs'!AJ138,IF(OR('Model inputs'!B188="",'Model inputs'!AJ138=""),"",'Model inputs'!B188='Model inputs'!AJ138))),IF('Model inputs'!AJ139="","",'Model inputs'!AJ139),0*(1+'Model inputs'!AJ135-'Model inputs'!AJ140)))</f>
        <v>0</v>
      </c>
      <c r="C191" s="8">
        <f>IF(IF(IF(ISERROR('Model inputs'!C188&lt;'Model inputs'!AJ138),'Model inputs'!C188&lt;'Model inputs'!AJ138,IF(OR('Model inputs'!C188="",'Model inputs'!AJ138=""),"",'Model inputs'!C188&lt;'Model inputs'!AJ138))="",FALSE,IF(ISERROR('Model inputs'!C188&lt;'Model inputs'!AJ138),'Model inputs'!C188&lt;'Model inputs'!AJ138,IF(OR('Model inputs'!C188="",'Model inputs'!AJ138=""),"",'Model inputs'!C188&lt;'Model inputs'!AJ138))),0,IF(IF(IF(ISERROR('Model inputs'!C188='Model inputs'!AJ138),'Model inputs'!C188='Model inputs'!AJ138,IF(OR('Model inputs'!C188="",'Model inputs'!AJ138=""),"",'Model inputs'!C188='Model inputs'!AJ138))="",FALSE,IF(ISERROR('Model inputs'!C188='Model inputs'!AJ138),'Model inputs'!C188='Model inputs'!AJ138,IF(OR('Model inputs'!C188="",'Model inputs'!AJ138=""),"",'Model inputs'!C188='Model inputs'!AJ138))),IF('Model inputs'!AJ139="","",'Model inputs'!AJ139),'Model inputs'!B191*(1+'Model inputs'!AJ135-'Model inputs'!AJ140)))</f>
        <v>0</v>
      </c>
      <c r="D191" s="8">
        <f>IF(IF(IF(ISERROR('Model inputs'!D188&lt;'Model inputs'!AJ138),'Model inputs'!D188&lt;'Model inputs'!AJ138,IF(OR('Model inputs'!D188="",'Model inputs'!AJ138=""),"",'Model inputs'!D188&lt;'Model inputs'!AJ138))="",FALSE,IF(ISERROR('Model inputs'!D188&lt;'Model inputs'!AJ138),'Model inputs'!D188&lt;'Model inputs'!AJ138,IF(OR('Model inputs'!D188="",'Model inputs'!AJ138=""),"",'Model inputs'!D188&lt;'Model inputs'!AJ138))),0,IF(IF(IF(ISERROR('Model inputs'!D188='Model inputs'!AJ138),'Model inputs'!D188='Model inputs'!AJ138,IF(OR('Model inputs'!D188="",'Model inputs'!AJ138=""),"",'Model inputs'!D188='Model inputs'!AJ138))="",FALSE,IF(ISERROR('Model inputs'!D188='Model inputs'!AJ138),'Model inputs'!D188='Model inputs'!AJ138,IF(OR('Model inputs'!D188="",'Model inputs'!AJ138=""),"",'Model inputs'!D188='Model inputs'!AJ138))),IF('Model inputs'!AJ139="","",'Model inputs'!AJ139),'Model inputs'!C191*(1+'Model inputs'!AJ135-'Model inputs'!AJ140)))</f>
        <v>0</v>
      </c>
      <c r="E191" s="8">
        <f>IF(IF(IF(ISERROR('Model inputs'!E188&lt;'Model inputs'!AJ138),'Model inputs'!E188&lt;'Model inputs'!AJ138,IF(OR('Model inputs'!E188="",'Model inputs'!AJ138=""),"",'Model inputs'!E188&lt;'Model inputs'!AJ138))="",FALSE,IF(ISERROR('Model inputs'!E188&lt;'Model inputs'!AJ138),'Model inputs'!E188&lt;'Model inputs'!AJ138,IF(OR('Model inputs'!E188="",'Model inputs'!AJ138=""),"",'Model inputs'!E188&lt;'Model inputs'!AJ138))),0,IF(IF(IF(ISERROR('Model inputs'!E188='Model inputs'!AJ138),'Model inputs'!E188='Model inputs'!AJ138,IF(OR('Model inputs'!E188="",'Model inputs'!AJ138=""),"",'Model inputs'!E188='Model inputs'!AJ138))="",FALSE,IF(ISERROR('Model inputs'!E188='Model inputs'!AJ138),'Model inputs'!E188='Model inputs'!AJ138,IF(OR('Model inputs'!E188="",'Model inputs'!AJ138=""),"",'Model inputs'!E188='Model inputs'!AJ138))),IF('Model inputs'!AJ139="","",'Model inputs'!AJ139),'Model inputs'!D191*(1+'Model inputs'!AJ135-'Model inputs'!AJ140)))</f>
        <v>0</v>
      </c>
      <c r="F191" s="8">
        <f>IF(IF(IF(ISERROR('Model inputs'!F188&lt;'Model inputs'!AJ138),'Model inputs'!F188&lt;'Model inputs'!AJ138,IF(OR('Model inputs'!F188="",'Model inputs'!AJ138=""),"",'Model inputs'!F188&lt;'Model inputs'!AJ138))="",FALSE,IF(ISERROR('Model inputs'!F188&lt;'Model inputs'!AJ138),'Model inputs'!F188&lt;'Model inputs'!AJ138,IF(OR('Model inputs'!F188="",'Model inputs'!AJ138=""),"",'Model inputs'!F188&lt;'Model inputs'!AJ138))),0,IF(IF(IF(ISERROR('Model inputs'!F188='Model inputs'!AJ138),'Model inputs'!F188='Model inputs'!AJ138,IF(OR('Model inputs'!F188="",'Model inputs'!AJ138=""),"",'Model inputs'!F188='Model inputs'!AJ138))="",FALSE,IF(ISERROR('Model inputs'!F188='Model inputs'!AJ138),'Model inputs'!F188='Model inputs'!AJ138,IF(OR('Model inputs'!F188="",'Model inputs'!AJ138=""),"",'Model inputs'!F188='Model inputs'!AJ138))),IF('Model inputs'!AJ139="","",'Model inputs'!AJ139),'Model inputs'!E191*(1+'Model inputs'!AJ135-'Model inputs'!AJ140)))</f>
        <v>0</v>
      </c>
      <c r="G191" s="8">
        <f>IF(IF(IF(ISERROR('Model inputs'!G188&lt;'Model inputs'!AJ138),'Model inputs'!G188&lt;'Model inputs'!AJ138,IF(OR('Model inputs'!G188="",'Model inputs'!AJ138=""),"",'Model inputs'!G188&lt;'Model inputs'!AJ138))="",FALSE,IF(ISERROR('Model inputs'!G188&lt;'Model inputs'!AJ138),'Model inputs'!G188&lt;'Model inputs'!AJ138,IF(OR('Model inputs'!G188="",'Model inputs'!AJ138=""),"",'Model inputs'!G188&lt;'Model inputs'!AJ138))),0,IF(IF(IF(ISERROR('Model inputs'!G188='Model inputs'!AJ138),'Model inputs'!G188='Model inputs'!AJ138,IF(OR('Model inputs'!G188="",'Model inputs'!AJ138=""),"",'Model inputs'!G188='Model inputs'!AJ138))="",FALSE,IF(ISERROR('Model inputs'!G188='Model inputs'!AJ138),'Model inputs'!G188='Model inputs'!AJ138,IF(OR('Model inputs'!G188="",'Model inputs'!AJ138=""),"",'Model inputs'!G188='Model inputs'!AJ138))),IF('Model inputs'!AJ139="","",'Model inputs'!AJ139),'Model inputs'!F191*(1+'Model inputs'!AJ135-'Model inputs'!AJ140)))</f>
        <v>0</v>
      </c>
      <c r="H191" s="8">
        <f>IF(IF(IF(ISERROR('Model inputs'!H188&lt;'Model inputs'!AJ138),'Model inputs'!H188&lt;'Model inputs'!AJ138,IF(OR('Model inputs'!H188="",'Model inputs'!AJ138=""),"",'Model inputs'!H188&lt;'Model inputs'!AJ138))="",FALSE,IF(ISERROR('Model inputs'!H188&lt;'Model inputs'!AJ138),'Model inputs'!H188&lt;'Model inputs'!AJ138,IF(OR('Model inputs'!H188="",'Model inputs'!AJ138=""),"",'Model inputs'!H188&lt;'Model inputs'!AJ138))),0,IF(IF(IF(ISERROR('Model inputs'!H188='Model inputs'!AJ138),'Model inputs'!H188='Model inputs'!AJ138,IF(OR('Model inputs'!H188="",'Model inputs'!AJ138=""),"",'Model inputs'!H188='Model inputs'!AJ138))="",FALSE,IF(ISERROR('Model inputs'!H188='Model inputs'!AJ138),'Model inputs'!H188='Model inputs'!AJ138,IF(OR('Model inputs'!H188="",'Model inputs'!AJ138=""),"",'Model inputs'!H188='Model inputs'!AJ138))),IF('Model inputs'!AJ139="","",'Model inputs'!AJ139),'Model inputs'!G191*(1+'Model inputs'!AJ135-'Model inputs'!AJ140)))</f>
        <v>0</v>
      </c>
      <c r="I191" s="8">
        <f>IF(IF(IF(ISERROR('Model inputs'!I188&lt;'Model inputs'!AJ138),'Model inputs'!I188&lt;'Model inputs'!AJ138,IF(OR('Model inputs'!I188="",'Model inputs'!AJ138=""),"",'Model inputs'!I188&lt;'Model inputs'!AJ138))="",FALSE,IF(ISERROR('Model inputs'!I188&lt;'Model inputs'!AJ138),'Model inputs'!I188&lt;'Model inputs'!AJ138,IF(OR('Model inputs'!I188="",'Model inputs'!AJ138=""),"",'Model inputs'!I188&lt;'Model inputs'!AJ138))),0,IF(IF(IF(ISERROR('Model inputs'!I188='Model inputs'!AJ138),'Model inputs'!I188='Model inputs'!AJ138,IF(OR('Model inputs'!I188="",'Model inputs'!AJ138=""),"",'Model inputs'!I188='Model inputs'!AJ138))="",FALSE,IF(ISERROR('Model inputs'!I188='Model inputs'!AJ138),'Model inputs'!I188='Model inputs'!AJ138,IF(OR('Model inputs'!I188="",'Model inputs'!AJ138=""),"",'Model inputs'!I188='Model inputs'!AJ138))),IF('Model inputs'!AJ139="","",'Model inputs'!AJ139),'Model inputs'!H191*(1+'Model inputs'!AJ135-'Model inputs'!AJ140)))</f>
        <v>0</v>
      </c>
      <c r="J191" s="8">
        <f>IF(IF(IF(ISERROR('Model inputs'!J188&lt;'Model inputs'!AJ138),'Model inputs'!J188&lt;'Model inputs'!AJ138,IF(OR('Model inputs'!J188="",'Model inputs'!AJ138=""),"",'Model inputs'!J188&lt;'Model inputs'!AJ138))="",FALSE,IF(ISERROR('Model inputs'!J188&lt;'Model inputs'!AJ138),'Model inputs'!J188&lt;'Model inputs'!AJ138,IF(OR('Model inputs'!J188="",'Model inputs'!AJ138=""),"",'Model inputs'!J188&lt;'Model inputs'!AJ138))),0,IF(IF(IF(ISERROR('Model inputs'!J188='Model inputs'!AJ138),'Model inputs'!J188='Model inputs'!AJ138,IF(OR('Model inputs'!J188="",'Model inputs'!AJ138=""),"",'Model inputs'!J188='Model inputs'!AJ138))="",FALSE,IF(ISERROR('Model inputs'!J188='Model inputs'!AJ138),'Model inputs'!J188='Model inputs'!AJ138,IF(OR('Model inputs'!J188="",'Model inputs'!AJ138=""),"",'Model inputs'!J188='Model inputs'!AJ138))),IF('Model inputs'!AJ139="","",'Model inputs'!AJ139),'Model inputs'!I191*(1+'Model inputs'!AJ135-'Model inputs'!AJ140)))</f>
        <v>0</v>
      </c>
      <c r="K191" s="8">
        <f>IF(IF(IF(ISERROR('Model inputs'!K188&lt;'Model inputs'!AJ138),'Model inputs'!K188&lt;'Model inputs'!AJ138,IF(OR('Model inputs'!K188="",'Model inputs'!AJ138=""),"",'Model inputs'!K188&lt;'Model inputs'!AJ138))="",FALSE,IF(ISERROR('Model inputs'!K188&lt;'Model inputs'!AJ138),'Model inputs'!K188&lt;'Model inputs'!AJ138,IF(OR('Model inputs'!K188="",'Model inputs'!AJ138=""),"",'Model inputs'!K188&lt;'Model inputs'!AJ138))),0,IF(IF(IF(ISERROR('Model inputs'!K188='Model inputs'!AJ138),'Model inputs'!K188='Model inputs'!AJ138,IF(OR('Model inputs'!K188="",'Model inputs'!AJ138=""),"",'Model inputs'!K188='Model inputs'!AJ138))="",FALSE,IF(ISERROR('Model inputs'!K188='Model inputs'!AJ138),'Model inputs'!K188='Model inputs'!AJ138,IF(OR('Model inputs'!K188="",'Model inputs'!AJ138=""),"",'Model inputs'!K188='Model inputs'!AJ138))),IF('Model inputs'!AJ139="","",'Model inputs'!AJ139),'Model inputs'!J191*(1+'Model inputs'!AJ135-'Model inputs'!AJ140)))</f>
        <v>0</v>
      </c>
      <c r="L191" s="8">
        <f>IF(IF(IF(ISERROR('Model inputs'!L188&lt;'Model inputs'!AJ138),'Model inputs'!L188&lt;'Model inputs'!AJ138,IF(OR('Model inputs'!L188="",'Model inputs'!AJ138=""),"",'Model inputs'!L188&lt;'Model inputs'!AJ138))="",FALSE,IF(ISERROR('Model inputs'!L188&lt;'Model inputs'!AJ138),'Model inputs'!L188&lt;'Model inputs'!AJ138,IF(OR('Model inputs'!L188="",'Model inputs'!AJ138=""),"",'Model inputs'!L188&lt;'Model inputs'!AJ138))),0,IF(IF(IF(ISERROR('Model inputs'!L188='Model inputs'!AJ138),'Model inputs'!L188='Model inputs'!AJ138,IF(OR('Model inputs'!L188="",'Model inputs'!AJ138=""),"",'Model inputs'!L188='Model inputs'!AJ138))="",FALSE,IF(ISERROR('Model inputs'!L188='Model inputs'!AJ138),'Model inputs'!L188='Model inputs'!AJ138,IF(OR('Model inputs'!L188="",'Model inputs'!AJ138=""),"",'Model inputs'!L188='Model inputs'!AJ138))),IF('Model inputs'!AJ139="","",'Model inputs'!AJ139),'Model inputs'!K191*(1+'Model inputs'!AJ135-'Model inputs'!AJ140)))</f>
        <v>0</v>
      </c>
      <c r="M191" s="8">
        <f>IF(IF(IF(ISERROR('Model inputs'!M188&lt;'Model inputs'!AJ138),'Model inputs'!M188&lt;'Model inputs'!AJ138,IF(OR('Model inputs'!M188="",'Model inputs'!AJ138=""),"",'Model inputs'!M188&lt;'Model inputs'!AJ138))="",FALSE,IF(ISERROR('Model inputs'!M188&lt;'Model inputs'!AJ138),'Model inputs'!M188&lt;'Model inputs'!AJ138,IF(OR('Model inputs'!M188="",'Model inputs'!AJ138=""),"",'Model inputs'!M188&lt;'Model inputs'!AJ138))),0,IF(IF(IF(ISERROR('Model inputs'!M188='Model inputs'!AJ138),'Model inputs'!M188='Model inputs'!AJ138,IF(OR('Model inputs'!M188="",'Model inputs'!AJ138=""),"",'Model inputs'!M188='Model inputs'!AJ138))="",FALSE,IF(ISERROR('Model inputs'!M188='Model inputs'!AJ138),'Model inputs'!M188='Model inputs'!AJ138,IF(OR('Model inputs'!M188="",'Model inputs'!AJ138=""),"",'Model inputs'!M188='Model inputs'!AJ138))),IF('Model inputs'!AJ139="","",'Model inputs'!AJ139),'Model inputs'!L191*(1+'Model inputs'!AJ135-'Model inputs'!AJ140)))</f>
        <v>0</v>
      </c>
      <c r="N191" s="8">
        <f>IF(IF(IF(ISERROR('Model inputs'!N188&lt;'Model inputs'!AJ138),'Model inputs'!N188&lt;'Model inputs'!AJ138,IF(OR('Model inputs'!N188="",'Model inputs'!AJ138=""),"",'Model inputs'!N188&lt;'Model inputs'!AJ138))="",FALSE,IF(ISERROR('Model inputs'!N188&lt;'Model inputs'!AJ138),'Model inputs'!N188&lt;'Model inputs'!AJ138,IF(OR('Model inputs'!N188="",'Model inputs'!AJ138=""),"",'Model inputs'!N188&lt;'Model inputs'!AJ138))),0,IF(IF(IF(ISERROR('Model inputs'!N188='Model inputs'!AJ138),'Model inputs'!N188='Model inputs'!AJ138,IF(OR('Model inputs'!N188="",'Model inputs'!AJ138=""),"",'Model inputs'!N188='Model inputs'!AJ138))="",FALSE,IF(ISERROR('Model inputs'!N188='Model inputs'!AJ138),'Model inputs'!N188='Model inputs'!AJ138,IF(OR('Model inputs'!N188="",'Model inputs'!AJ138=""),"",'Model inputs'!N188='Model inputs'!AJ138))),IF('Model inputs'!AJ139="","",'Model inputs'!AJ139),'Model inputs'!M191*(1+'Model inputs'!AJ135-'Model inputs'!AJ140)))</f>
        <v>0</v>
      </c>
      <c r="O191" s="8">
        <f>IF(IF(IF(ISERROR('Model inputs'!O188&lt;'Model inputs'!AJ138),'Model inputs'!O188&lt;'Model inputs'!AJ138,IF(OR('Model inputs'!O188="",'Model inputs'!AJ138=""),"",'Model inputs'!O188&lt;'Model inputs'!AJ138))="",FALSE,IF(ISERROR('Model inputs'!O188&lt;'Model inputs'!AJ138),'Model inputs'!O188&lt;'Model inputs'!AJ138,IF(OR('Model inputs'!O188="",'Model inputs'!AJ138=""),"",'Model inputs'!O188&lt;'Model inputs'!AJ138))),0,IF(IF(IF(ISERROR('Model inputs'!O188='Model inputs'!AJ138),'Model inputs'!O188='Model inputs'!AJ138,IF(OR('Model inputs'!O188="",'Model inputs'!AJ138=""),"",'Model inputs'!O188='Model inputs'!AJ138))="",FALSE,IF(ISERROR('Model inputs'!O188='Model inputs'!AJ138),'Model inputs'!O188='Model inputs'!AJ138,IF(OR('Model inputs'!O188="",'Model inputs'!AJ138=""),"",'Model inputs'!O188='Model inputs'!AJ138))),IF('Model inputs'!AJ139="","",'Model inputs'!AJ139),'Model inputs'!N191*(1+'Model inputs'!AJ135-'Model inputs'!AJ140)))</f>
        <v>50</v>
      </c>
      <c r="P191" s="8">
        <f>IF(IF(IF(ISERROR('Model inputs'!P188&lt;'Model inputs'!AJ138),'Model inputs'!P188&lt;'Model inputs'!AJ138,IF(OR('Model inputs'!P188="",'Model inputs'!AJ138=""),"",'Model inputs'!P188&lt;'Model inputs'!AJ138))="",FALSE,IF(ISERROR('Model inputs'!P188&lt;'Model inputs'!AJ138),'Model inputs'!P188&lt;'Model inputs'!AJ138,IF(OR('Model inputs'!P188="",'Model inputs'!AJ138=""),"",'Model inputs'!P188&lt;'Model inputs'!AJ138))),0,IF(IF(IF(ISERROR('Model inputs'!P188='Model inputs'!AJ138),'Model inputs'!P188='Model inputs'!AJ138,IF(OR('Model inputs'!P188="",'Model inputs'!AJ138=""),"",'Model inputs'!P188='Model inputs'!AJ138))="",FALSE,IF(ISERROR('Model inputs'!P188='Model inputs'!AJ138),'Model inputs'!P188='Model inputs'!AJ138,IF(OR('Model inputs'!P188="",'Model inputs'!AJ138=""),"",'Model inputs'!P188='Model inputs'!AJ138))),IF('Model inputs'!AJ139="","",'Model inputs'!AJ139),'Model inputs'!O191*(1+'Model inputs'!AJ135-'Model inputs'!AJ140)))</f>
        <v>51.5</v>
      </c>
      <c r="Q191" s="8">
        <f>IF(IF(IF(ISERROR('Model inputs'!Q188&lt;'Model inputs'!AJ138),'Model inputs'!Q188&lt;'Model inputs'!AJ138,IF(OR('Model inputs'!Q188="",'Model inputs'!AJ138=""),"",'Model inputs'!Q188&lt;'Model inputs'!AJ138))="",FALSE,IF(ISERROR('Model inputs'!Q188&lt;'Model inputs'!AJ138),'Model inputs'!Q188&lt;'Model inputs'!AJ138,IF(OR('Model inputs'!Q188="",'Model inputs'!AJ138=""),"",'Model inputs'!Q188&lt;'Model inputs'!AJ138))),0,IF(IF(IF(ISERROR('Model inputs'!Q188='Model inputs'!AJ138),'Model inputs'!Q188='Model inputs'!AJ138,IF(OR('Model inputs'!Q188="",'Model inputs'!AJ138=""),"",'Model inputs'!Q188='Model inputs'!AJ138))="",FALSE,IF(ISERROR('Model inputs'!Q188='Model inputs'!AJ138),'Model inputs'!Q188='Model inputs'!AJ138,IF(OR('Model inputs'!Q188="",'Model inputs'!AJ138=""),"",'Model inputs'!Q188='Model inputs'!AJ138))),IF('Model inputs'!AJ139="","",'Model inputs'!AJ139),'Model inputs'!P191*(1+'Model inputs'!AJ135-'Model inputs'!AJ140)))</f>
        <v>53.045</v>
      </c>
      <c r="R191" s="8">
        <f>IF(IF(IF(ISERROR('Model inputs'!R188&lt;'Model inputs'!AJ138),'Model inputs'!R188&lt;'Model inputs'!AJ138,IF(OR('Model inputs'!R188="",'Model inputs'!AJ138=""),"",'Model inputs'!R188&lt;'Model inputs'!AJ138))="",FALSE,IF(ISERROR('Model inputs'!R188&lt;'Model inputs'!AJ138),'Model inputs'!R188&lt;'Model inputs'!AJ138,IF(OR('Model inputs'!R188="",'Model inputs'!AJ138=""),"",'Model inputs'!R188&lt;'Model inputs'!AJ138))),0,IF(IF(IF(ISERROR('Model inputs'!R188='Model inputs'!AJ138),'Model inputs'!R188='Model inputs'!AJ138,IF(OR('Model inputs'!R188="",'Model inputs'!AJ138=""),"",'Model inputs'!R188='Model inputs'!AJ138))="",FALSE,IF(ISERROR('Model inputs'!R188='Model inputs'!AJ138),'Model inputs'!R188='Model inputs'!AJ138,IF(OR('Model inputs'!R188="",'Model inputs'!AJ138=""),"",'Model inputs'!R188='Model inputs'!AJ138))),IF('Model inputs'!AJ139="","",'Model inputs'!AJ139),'Model inputs'!Q191*(1+'Model inputs'!AJ135-'Model inputs'!AJ140)))</f>
        <v>54.63635</v>
      </c>
      <c r="S191" s="8">
        <f>IF(IF(IF(ISERROR('Model inputs'!S188&lt;'Model inputs'!AJ138),'Model inputs'!S188&lt;'Model inputs'!AJ138,IF(OR('Model inputs'!S188="",'Model inputs'!AJ138=""),"",'Model inputs'!S188&lt;'Model inputs'!AJ138))="",FALSE,IF(ISERROR('Model inputs'!S188&lt;'Model inputs'!AJ138),'Model inputs'!S188&lt;'Model inputs'!AJ138,IF(OR('Model inputs'!S188="",'Model inputs'!AJ138=""),"",'Model inputs'!S188&lt;'Model inputs'!AJ138))),0,IF(IF(IF(ISERROR('Model inputs'!S188='Model inputs'!AJ138),'Model inputs'!S188='Model inputs'!AJ138,IF(OR('Model inputs'!S188="",'Model inputs'!AJ138=""),"",'Model inputs'!S188='Model inputs'!AJ138))="",FALSE,IF(ISERROR('Model inputs'!S188='Model inputs'!AJ138),'Model inputs'!S188='Model inputs'!AJ138,IF(OR('Model inputs'!S188="",'Model inputs'!AJ138=""),"",'Model inputs'!S188='Model inputs'!AJ138))),IF('Model inputs'!AJ139="","",'Model inputs'!AJ139),'Model inputs'!R191*(1+'Model inputs'!AJ135-'Model inputs'!AJ140)))</f>
        <v>56.2754405</v>
      </c>
      <c r="T191" s="8">
        <f>IF(IF(IF(ISERROR('Model inputs'!T188&lt;'Model inputs'!AJ138),'Model inputs'!T188&lt;'Model inputs'!AJ138,IF(OR('Model inputs'!T188="",'Model inputs'!AJ138=""),"",'Model inputs'!T188&lt;'Model inputs'!AJ138))="",FALSE,IF(ISERROR('Model inputs'!T188&lt;'Model inputs'!AJ138),'Model inputs'!T188&lt;'Model inputs'!AJ138,IF(OR('Model inputs'!T188="",'Model inputs'!AJ138=""),"",'Model inputs'!T188&lt;'Model inputs'!AJ138))),0,IF(IF(IF(ISERROR('Model inputs'!T188='Model inputs'!AJ138),'Model inputs'!T188='Model inputs'!AJ138,IF(OR('Model inputs'!T188="",'Model inputs'!AJ138=""),"",'Model inputs'!T188='Model inputs'!AJ138))="",FALSE,IF(ISERROR('Model inputs'!T188='Model inputs'!AJ138),'Model inputs'!T188='Model inputs'!AJ138,IF(OR('Model inputs'!T188="",'Model inputs'!AJ138=""),"",'Model inputs'!T188='Model inputs'!AJ138))),IF('Model inputs'!AJ139="","",'Model inputs'!AJ139),'Model inputs'!S191*(1+'Model inputs'!AJ135-'Model inputs'!AJ140)))</f>
        <v>57.963703715</v>
      </c>
      <c r="U191" s="8">
        <f>IF(IF(IF(ISERROR('Model inputs'!U188&lt;'Model inputs'!AJ138),'Model inputs'!U188&lt;'Model inputs'!AJ138,IF(OR('Model inputs'!U188="",'Model inputs'!AJ138=""),"",'Model inputs'!U188&lt;'Model inputs'!AJ138))="",FALSE,IF(ISERROR('Model inputs'!U188&lt;'Model inputs'!AJ138),'Model inputs'!U188&lt;'Model inputs'!AJ138,IF(OR('Model inputs'!U188="",'Model inputs'!AJ138=""),"",'Model inputs'!U188&lt;'Model inputs'!AJ138))),0,IF(IF(IF(ISERROR('Model inputs'!U188='Model inputs'!AJ138),'Model inputs'!U188='Model inputs'!AJ138,IF(OR('Model inputs'!U188="",'Model inputs'!AJ138=""),"",'Model inputs'!U188='Model inputs'!AJ138))="",FALSE,IF(ISERROR('Model inputs'!U188='Model inputs'!AJ138),'Model inputs'!U188='Model inputs'!AJ138,IF(OR('Model inputs'!U188="",'Model inputs'!AJ138=""),"",'Model inputs'!U188='Model inputs'!AJ138))),IF('Model inputs'!AJ139="","",'Model inputs'!AJ139),'Model inputs'!T191*(1+'Model inputs'!AJ135-'Model inputs'!AJ140)))</f>
        <v>59.70261482645</v>
      </c>
      <c r="V191" s="8">
        <f>IF(IF(IF(ISERROR('Model inputs'!V188&lt;'Model inputs'!AJ138),'Model inputs'!V188&lt;'Model inputs'!AJ138,IF(OR('Model inputs'!V188="",'Model inputs'!AJ138=""),"",'Model inputs'!V188&lt;'Model inputs'!AJ138))="",FALSE,IF(ISERROR('Model inputs'!V188&lt;'Model inputs'!AJ138),'Model inputs'!V188&lt;'Model inputs'!AJ138,IF(OR('Model inputs'!V188="",'Model inputs'!AJ138=""),"",'Model inputs'!V188&lt;'Model inputs'!AJ138))),0,IF(IF(IF(ISERROR('Model inputs'!V188='Model inputs'!AJ138),'Model inputs'!V188='Model inputs'!AJ138,IF(OR('Model inputs'!V188="",'Model inputs'!AJ138=""),"",'Model inputs'!V188='Model inputs'!AJ138))="",FALSE,IF(ISERROR('Model inputs'!V188='Model inputs'!AJ138),'Model inputs'!V188='Model inputs'!AJ138,IF(OR('Model inputs'!V188="",'Model inputs'!AJ138=""),"",'Model inputs'!V188='Model inputs'!AJ138))),IF('Model inputs'!AJ139="","",'Model inputs'!AJ139),'Model inputs'!U191*(1+'Model inputs'!AJ135-'Model inputs'!AJ140)))</f>
        <v>61.4936932712435</v>
      </c>
      <c r="W191" s="8">
        <f>IF(IF(IF(ISERROR('Model inputs'!W188&lt;'Model inputs'!AJ138),'Model inputs'!W188&lt;'Model inputs'!AJ138,IF(OR('Model inputs'!W188="",'Model inputs'!AJ138=""),"",'Model inputs'!W188&lt;'Model inputs'!AJ138))="",FALSE,IF(ISERROR('Model inputs'!W188&lt;'Model inputs'!AJ138),'Model inputs'!W188&lt;'Model inputs'!AJ138,IF(OR('Model inputs'!W188="",'Model inputs'!AJ138=""),"",'Model inputs'!W188&lt;'Model inputs'!AJ138))),0,IF(IF(IF(ISERROR('Model inputs'!W188='Model inputs'!AJ138),'Model inputs'!W188='Model inputs'!AJ138,IF(OR('Model inputs'!W188="",'Model inputs'!AJ138=""),"",'Model inputs'!W188='Model inputs'!AJ138))="",FALSE,IF(ISERROR('Model inputs'!W188='Model inputs'!AJ138),'Model inputs'!W188='Model inputs'!AJ138,IF(OR('Model inputs'!W188="",'Model inputs'!AJ138=""),"",'Model inputs'!W188='Model inputs'!AJ138))),IF('Model inputs'!AJ139="","",'Model inputs'!AJ139),'Model inputs'!V191*(1+'Model inputs'!AJ135-'Model inputs'!AJ140)))</f>
        <v>63.33850406938081</v>
      </c>
      <c r="X191" s="8">
        <f>IF(IF(IF(ISERROR('Model inputs'!X188&lt;'Model inputs'!AJ138),'Model inputs'!X188&lt;'Model inputs'!AJ138,IF(OR('Model inputs'!X188="",'Model inputs'!AJ138=""),"",'Model inputs'!X188&lt;'Model inputs'!AJ138))="",FALSE,IF(ISERROR('Model inputs'!X188&lt;'Model inputs'!AJ138),'Model inputs'!X188&lt;'Model inputs'!AJ138,IF(OR('Model inputs'!X188="",'Model inputs'!AJ138=""),"",'Model inputs'!X188&lt;'Model inputs'!AJ138))),0,IF(IF(IF(ISERROR('Model inputs'!X188='Model inputs'!AJ138),'Model inputs'!X188='Model inputs'!AJ138,IF(OR('Model inputs'!X188="",'Model inputs'!AJ138=""),"",'Model inputs'!X188='Model inputs'!AJ138))="",FALSE,IF(ISERROR('Model inputs'!X188='Model inputs'!AJ138),'Model inputs'!X188='Model inputs'!AJ138,IF(OR('Model inputs'!X188="",'Model inputs'!AJ138=""),"",'Model inputs'!X188='Model inputs'!AJ138))),IF('Model inputs'!AJ139="","",'Model inputs'!AJ139),'Model inputs'!W191*(1+'Model inputs'!AJ135-'Model inputs'!AJ140)))</f>
        <v>65.23865919146223</v>
      </c>
      <c r="Y191" s="8">
        <f>IF(IF(IF(ISERROR('Model inputs'!Y188&lt;'Model inputs'!AJ138),'Model inputs'!Y188&lt;'Model inputs'!AJ138,IF(OR('Model inputs'!Y188="",'Model inputs'!AJ138=""),"",'Model inputs'!Y188&lt;'Model inputs'!AJ138))="",FALSE,IF(ISERROR('Model inputs'!Y188&lt;'Model inputs'!AJ138),'Model inputs'!Y188&lt;'Model inputs'!AJ138,IF(OR('Model inputs'!Y188="",'Model inputs'!AJ138=""),"",'Model inputs'!Y188&lt;'Model inputs'!AJ138))),0,IF(IF(IF(ISERROR('Model inputs'!Y188='Model inputs'!AJ138),'Model inputs'!Y188='Model inputs'!AJ138,IF(OR('Model inputs'!Y188="",'Model inputs'!AJ138=""),"",'Model inputs'!Y188='Model inputs'!AJ138))="",FALSE,IF(ISERROR('Model inputs'!Y188='Model inputs'!AJ138),'Model inputs'!Y188='Model inputs'!AJ138,IF(OR('Model inputs'!Y188="",'Model inputs'!AJ138=""),"",'Model inputs'!Y188='Model inputs'!AJ138))),IF('Model inputs'!AJ139="","",'Model inputs'!AJ139),'Model inputs'!X191*(1+'Model inputs'!AJ135-'Model inputs'!AJ140)))</f>
        <v>67.19581896720611</v>
      </c>
      <c r="Z191" s="8">
        <f>IF(IF(IF(ISERROR('Model inputs'!Z188&lt;'Model inputs'!AJ138),'Model inputs'!Z188&lt;'Model inputs'!AJ138,IF(OR('Model inputs'!Z188="",'Model inputs'!AJ138=""),"",'Model inputs'!Z188&lt;'Model inputs'!AJ138))="",FALSE,IF(ISERROR('Model inputs'!Z188&lt;'Model inputs'!AJ138),'Model inputs'!Z188&lt;'Model inputs'!AJ138,IF(OR('Model inputs'!Z188="",'Model inputs'!AJ138=""),"",'Model inputs'!Z188&lt;'Model inputs'!AJ138))),0,IF(IF(IF(ISERROR('Model inputs'!Z188='Model inputs'!AJ138),'Model inputs'!Z188='Model inputs'!AJ138,IF(OR('Model inputs'!Z188="",'Model inputs'!AJ138=""),"",'Model inputs'!Z188='Model inputs'!AJ138))="",FALSE,IF(ISERROR('Model inputs'!Z188='Model inputs'!AJ138),'Model inputs'!Z188='Model inputs'!AJ138,IF(OR('Model inputs'!Z188="",'Model inputs'!AJ138=""),"",'Model inputs'!Z188='Model inputs'!AJ138))),IF('Model inputs'!AJ139="","",'Model inputs'!AJ139),'Model inputs'!Y191*(1+'Model inputs'!AJ135-'Model inputs'!AJ140)))</f>
        <v>69.2116935362223</v>
      </c>
      <c r="AA191" s="8">
        <f>IF(IF(IF(ISERROR('Model inputs'!AA188&lt;'Model inputs'!AJ138),'Model inputs'!AA188&lt;'Model inputs'!AJ138,IF(OR('Model inputs'!AA188="",'Model inputs'!AJ138=""),"",'Model inputs'!AA188&lt;'Model inputs'!AJ138))="",FALSE,IF(ISERROR('Model inputs'!AA188&lt;'Model inputs'!AJ138),'Model inputs'!AA188&lt;'Model inputs'!AJ138,IF(OR('Model inputs'!AA188="",'Model inputs'!AJ138=""),"",'Model inputs'!AA188&lt;'Model inputs'!AJ138))),0,IF(IF(IF(ISERROR('Model inputs'!AA188='Model inputs'!AJ138),'Model inputs'!AA188='Model inputs'!AJ138,IF(OR('Model inputs'!AA188="",'Model inputs'!AJ138=""),"",'Model inputs'!AA188='Model inputs'!AJ138))="",FALSE,IF(ISERROR('Model inputs'!AA188='Model inputs'!AJ138),'Model inputs'!AA188='Model inputs'!AJ138,IF(OR('Model inputs'!AA188="",'Model inputs'!AJ138=""),"",'Model inputs'!AA188='Model inputs'!AJ138))),IF('Model inputs'!AJ139="","",'Model inputs'!AJ139),'Model inputs'!Z191*(1+'Model inputs'!AJ135-'Model inputs'!AJ140)))</f>
        <v>71.28804434230896</v>
      </c>
      <c r="AB191" s="8">
        <f>IF(IF(IF(ISERROR('Model inputs'!AB188&lt;'Model inputs'!AJ138),'Model inputs'!AB188&lt;'Model inputs'!AJ138,IF(OR('Model inputs'!AB188="",'Model inputs'!AJ138=""),"",'Model inputs'!AB188&lt;'Model inputs'!AJ138))="",FALSE,IF(ISERROR('Model inputs'!AB188&lt;'Model inputs'!AJ138),'Model inputs'!AB188&lt;'Model inputs'!AJ138,IF(OR('Model inputs'!AB188="",'Model inputs'!AJ138=""),"",'Model inputs'!AB188&lt;'Model inputs'!AJ138))),0,IF(IF(IF(ISERROR('Model inputs'!AB188='Model inputs'!AJ138),'Model inputs'!AB188='Model inputs'!AJ138,IF(OR('Model inputs'!AB188="",'Model inputs'!AJ138=""),"",'Model inputs'!AB188='Model inputs'!AJ138))="",FALSE,IF(ISERROR('Model inputs'!AB188='Model inputs'!AJ138),'Model inputs'!AB188='Model inputs'!AJ138,IF(OR('Model inputs'!AB188="",'Model inputs'!AJ138=""),"",'Model inputs'!AB188='Model inputs'!AJ138))),IF('Model inputs'!AJ139="","",'Model inputs'!AJ139),'Model inputs'!AA191*(1+'Model inputs'!AJ135-'Model inputs'!AJ140)))</f>
        <v>73.42668567257823</v>
      </c>
      <c r="AC191" s="8">
        <f>IF(IF(IF(ISERROR('Model inputs'!AC188&lt;'Model inputs'!AJ138),'Model inputs'!AC188&lt;'Model inputs'!AJ138,IF(OR('Model inputs'!AC188="",'Model inputs'!AJ138=""),"",'Model inputs'!AC188&lt;'Model inputs'!AJ138))="",FALSE,IF(ISERROR('Model inputs'!AC188&lt;'Model inputs'!AJ138),'Model inputs'!AC188&lt;'Model inputs'!AJ138,IF(OR('Model inputs'!AC188="",'Model inputs'!AJ138=""),"",'Model inputs'!AC188&lt;'Model inputs'!AJ138))),0,IF(IF(IF(ISERROR('Model inputs'!AC188='Model inputs'!AJ138),'Model inputs'!AC188='Model inputs'!AJ138,IF(OR('Model inputs'!AC188="",'Model inputs'!AJ138=""),"",'Model inputs'!AC188='Model inputs'!AJ138))="",FALSE,IF(ISERROR('Model inputs'!AC188='Model inputs'!AJ138),'Model inputs'!AC188='Model inputs'!AJ138,IF(OR('Model inputs'!AC188="",'Model inputs'!AJ138=""),"",'Model inputs'!AC188='Model inputs'!AJ138))),IF('Model inputs'!AJ139="","",'Model inputs'!AJ139),'Model inputs'!AB191*(1+'Model inputs'!AJ135-'Model inputs'!AJ140)))</f>
        <v>75.62948624275558</v>
      </c>
      <c r="AD191" s="8">
        <f>IF(IF(IF(ISERROR('Model inputs'!AD188&lt;'Model inputs'!AJ138),'Model inputs'!AD188&lt;'Model inputs'!AJ138,IF(OR('Model inputs'!AD188="",'Model inputs'!AJ138=""),"",'Model inputs'!AD188&lt;'Model inputs'!AJ138))="",FALSE,IF(ISERROR('Model inputs'!AD188&lt;'Model inputs'!AJ138),'Model inputs'!AD188&lt;'Model inputs'!AJ138,IF(OR('Model inputs'!AD188="",'Model inputs'!AJ138=""),"",'Model inputs'!AD188&lt;'Model inputs'!AJ138))),0,IF(IF(IF(ISERROR('Model inputs'!AD188='Model inputs'!AJ138),'Model inputs'!AD188='Model inputs'!AJ138,IF(OR('Model inputs'!AD188="",'Model inputs'!AJ138=""),"",'Model inputs'!AD188='Model inputs'!AJ138))="",FALSE,IF(ISERROR('Model inputs'!AD188='Model inputs'!AJ138),'Model inputs'!AD188='Model inputs'!AJ138,IF(OR('Model inputs'!AD188="",'Model inputs'!AJ138=""),"",'Model inputs'!AD188='Model inputs'!AJ138))),IF('Model inputs'!AJ139="","",'Model inputs'!AJ139),'Model inputs'!AC191*(1+'Model inputs'!AJ135-'Model inputs'!AJ140)))</f>
        <v>77.89837083003825</v>
      </c>
      <c r="AE191" s="8">
        <f>IF(IF(IF(ISERROR('Model inputs'!AE188&lt;'Model inputs'!AJ138),'Model inputs'!AE188&lt;'Model inputs'!AJ138,IF(OR('Model inputs'!AE188="",'Model inputs'!AJ138=""),"",'Model inputs'!AE188&lt;'Model inputs'!AJ138))="",FALSE,IF(ISERROR('Model inputs'!AE188&lt;'Model inputs'!AJ138),'Model inputs'!AE188&lt;'Model inputs'!AJ138,IF(OR('Model inputs'!AE188="",'Model inputs'!AJ138=""),"",'Model inputs'!AE188&lt;'Model inputs'!AJ138))),0,IF(IF(IF(ISERROR('Model inputs'!AE188='Model inputs'!AJ138),'Model inputs'!AE188='Model inputs'!AJ138,IF(OR('Model inputs'!AE188="",'Model inputs'!AJ138=""),"",'Model inputs'!AE188='Model inputs'!AJ138))="",FALSE,IF(ISERROR('Model inputs'!AE188='Model inputs'!AJ138),'Model inputs'!AE188='Model inputs'!AJ138,IF(OR('Model inputs'!AE188="",'Model inputs'!AJ138=""),"",'Model inputs'!AE188='Model inputs'!AJ138))),IF('Model inputs'!AJ139="","",'Model inputs'!AJ139),'Model inputs'!AD191*(1+'Model inputs'!AJ135-'Model inputs'!AJ140)))</f>
        <v>80.2353219549394</v>
      </c>
      <c r="AF191" s="8">
        <f>IF(IF(IF(ISERROR('Model inputs'!AF188&lt;'Model inputs'!AJ138),'Model inputs'!AF188&lt;'Model inputs'!AJ138,IF(OR('Model inputs'!AF188="",'Model inputs'!AJ138=""),"",'Model inputs'!AF188&lt;'Model inputs'!AJ138))="",FALSE,IF(ISERROR('Model inputs'!AF188&lt;'Model inputs'!AJ138),'Model inputs'!AF188&lt;'Model inputs'!AJ138,IF(OR('Model inputs'!AF188="",'Model inputs'!AJ138=""),"",'Model inputs'!AF188&lt;'Model inputs'!AJ138))),0,IF(IF(IF(ISERROR('Model inputs'!AF188='Model inputs'!AJ138),'Model inputs'!AF188='Model inputs'!AJ138,IF(OR('Model inputs'!AF188="",'Model inputs'!AJ138=""),"",'Model inputs'!AF188='Model inputs'!AJ138))="",FALSE,IF(ISERROR('Model inputs'!AF188='Model inputs'!AJ138),'Model inputs'!AF188='Model inputs'!AJ138,IF(OR('Model inputs'!AF188="",'Model inputs'!AJ138=""),"",'Model inputs'!AF188='Model inputs'!AJ138))),IF('Model inputs'!AJ139="","",'Model inputs'!AJ139),'Model inputs'!AE191*(1+'Model inputs'!AJ135-'Model inputs'!AJ140)))</f>
        <v>82.64238161358757</v>
      </c>
      <c r="AG191" s="8">
        <f>IF(IF(IF(ISERROR('Model inputs'!AG188&lt;'Model inputs'!AJ138),'Model inputs'!AG188&lt;'Model inputs'!AJ138,IF(OR('Model inputs'!AG188="",'Model inputs'!AJ138=""),"",'Model inputs'!AG188&lt;'Model inputs'!AJ138))="",FALSE,IF(ISERROR('Model inputs'!AG188&lt;'Model inputs'!AJ138),'Model inputs'!AG188&lt;'Model inputs'!AJ138,IF(OR('Model inputs'!AG188="",'Model inputs'!AJ138=""),"",'Model inputs'!AG188&lt;'Model inputs'!AJ138))),0,IF(IF(IF(ISERROR('Model inputs'!AG188='Model inputs'!AJ138),'Model inputs'!AG188='Model inputs'!AJ138,IF(OR('Model inputs'!AG188="",'Model inputs'!AJ138=""),"",'Model inputs'!AG188='Model inputs'!AJ138))="",FALSE,IF(ISERROR('Model inputs'!AG188='Model inputs'!AJ138),'Model inputs'!AG188='Model inputs'!AJ138,IF(OR('Model inputs'!AG188="",'Model inputs'!AJ138=""),"",'Model inputs'!AG188='Model inputs'!AJ138))),IF('Model inputs'!AJ139="","",'Model inputs'!AJ139),'Model inputs'!AF191*(1+'Model inputs'!AJ135-'Model inputs'!AJ140)))</f>
        <v>85.1216530619952</v>
      </c>
      <c r="AH191" s="8">
        <f>IF(IF(IF(ISERROR('Model inputs'!AH188&lt;'Model inputs'!AJ138),'Model inputs'!AH188&lt;'Model inputs'!AJ138,IF(OR('Model inputs'!AH188="",'Model inputs'!AJ138=""),"",'Model inputs'!AH188&lt;'Model inputs'!AJ138))="",FALSE,IF(ISERROR('Model inputs'!AH188&lt;'Model inputs'!AJ138),'Model inputs'!AH188&lt;'Model inputs'!AJ138,IF(OR('Model inputs'!AH188="",'Model inputs'!AJ138=""),"",'Model inputs'!AH188&lt;'Model inputs'!AJ138))),0,IF(IF(IF(ISERROR('Model inputs'!AH188='Model inputs'!AJ138),'Model inputs'!AH188='Model inputs'!AJ138,IF(OR('Model inputs'!AH188="",'Model inputs'!AJ138=""),"",'Model inputs'!AH188='Model inputs'!AJ138))="",FALSE,IF(ISERROR('Model inputs'!AH188='Model inputs'!AJ138),'Model inputs'!AH188='Model inputs'!AJ138,IF(OR('Model inputs'!AH188="",'Model inputs'!AJ138=""),"",'Model inputs'!AH188='Model inputs'!AJ138))),IF('Model inputs'!AJ139="","",'Model inputs'!AJ139),'Model inputs'!AG191*(1+'Model inputs'!AJ135-'Model inputs'!AJ140)))</f>
        <v>87.67530265385506</v>
      </c>
      <c r="AI191" s="8">
        <f>IF(IF(IF(ISERROR('Model inputs'!AI188&lt;'Model inputs'!AJ138),'Model inputs'!AI188&lt;'Model inputs'!AJ138,IF(OR('Model inputs'!AI188="",'Model inputs'!AJ138=""),"",'Model inputs'!AI188&lt;'Model inputs'!AJ138))="",FALSE,IF(ISERROR('Model inputs'!AI188&lt;'Model inputs'!AJ138),'Model inputs'!AI188&lt;'Model inputs'!AJ138,IF(OR('Model inputs'!AI188="",'Model inputs'!AJ138=""),"",'Model inputs'!AI188&lt;'Model inputs'!AJ138))),0,IF(IF(IF(ISERROR('Model inputs'!AI188='Model inputs'!AJ138),'Model inputs'!AI188='Model inputs'!AJ138,IF(OR('Model inputs'!AI188="",'Model inputs'!AJ138=""),"",'Model inputs'!AI188='Model inputs'!AJ138))="",FALSE,IF(ISERROR('Model inputs'!AI188='Model inputs'!AJ138),'Model inputs'!AI188='Model inputs'!AJ138,IF(OR('Model inputs'!AI188="",'Model inputs'!AJ138=""),"",'Model inputs'!AI188='Model inputs'!AJ138))),IF('Model inputs'!AJ139="","",'Model inputs'!AJ139),'Model inputs'!AH191*(1+'Model inputs'!AJ135-'Model inputs'!AJ140)))</f>
        <v>90.30556173347071</v>
      </c>
    </row>
    <row r="192">
      <c r="A192" t="inlineStr" s="13">
        <is>
          <t xml:space="preserve">Haq input value</t>
        </is>
      </c>
      <c r="AK192" s="6">
        <v>0</v>
      </c>
    </row>
    <row r="193" outlineLevel="1">
      <c r="A193" t="inlineStr" s="14">
        <is>
          <t xml:space="preserve">Haq input value &gt; Annual renewal retention</t>
        </is>
      </c>
      <c r="AK193" s="8">
        <f>'Model inputs'!AJ19</f>
        <v>1</v>
      </c>
    </row>
    <row r="194" outlineLevel="1">
      <c r="A194" t="inlineStr" s="14">
        <is>
          <t xml:space="preserve">Haq input value &gt; Benefit commission rate</t>
        </is>
      </c>
      <c r="AK194" s="8">
        <f>'Model inputs'!AJ20</f>
        <v>0</v>
      </c>
    </row>
    <row r="195" outlineLevel="1">
      <c r="A195" t="inlineStr" s="14">
        <is>
          <t xml:space="preserve">Haq input value &gt; CSC checks per operator</t>
        </is>
      </c>
      <c r="AK195" s="8">
        <f>'Model inputs'!AJ21</f>
        <v>80</v>
      </c>
    </row>
    <row r="196" outlineLevel="1">
      <c r="A196" t="inlineStr" s="14">
        <is>
          <t xml:space="preserve">Haq input value &gt; CSC extra check price</t>
        </is>
      </c>
      <c r="AK196" s="8">
        <f>'Model inputs'!AJ22</f>
        <v>15</v>
      </c>
    </row>
    <row r="197" outlineLevel="1">
      <c r="A197" t="inlineStr" s="14">
        <is>
          <t xml:space="preserve">Haq input value &gt; CSC gross monthly growth</t>
        </is>
      </c>
      <c r="AK197" s="8">
        <f>'Model inputs'!AJ23</f>
        <v>0.2</v>
      </c>
    </row>
    <row r="198" outlineLevel="1">
      <c r="A198" t="inlineStr" s="14">
        <is>
          <t xml:space="preserve">Haq input value &gt; CSC included checks</t>
        </is>
      </c>
      <c r="AK198" s="8">
        <f>'Model inputs'!AJ24</f>
        <v>100</v>
      </c>
    </row>
    <row r="199" outlineLevel="1">
      <c r="A199" t="inlineStr" s="14">
        <is>
          <t xml:space="preserve">Haq input value &gt; CSC incremental CAC</t>
        </is>
      </c>
      <c r="AK199" s="8">
        <f>'Model inputs'!AJ25</f>
        <v>2000</v>
      </c>
    </row>
    <row r="200" outlineLevel="1">
      <c r="A200" t="inlineStr" s="14">
        <is>
          <t xml:space="preserve">Haq input value &gt; CSC launch month</t>
        </is>
      </c>
      <c r="AK200" s="8">
        <f>'Model inputs'!AJ26</f>
        <v>4</v>
      </c>
    </row>
    <row r="201" outlineLevel="1">
      <c r="A201" t="inlineStr" s="14">
        <is>
          <t xml:space="preserve">Haq input value &gt; CSC launch operators</t>
        </is>
      </c>
      <c r="AK201" s="8">
        <f>'Model inputs'!AJ27</f>
        <v>50</v>
      </c>
    </row>
    <row r="202" outlineLevel="1">
      <c r="A202" t="inlineStr" s="14">
        <is>
          <t xml:space="preserve">Haq input value &gt; CSC monthly churn</t>
        </is>
      </c>
      <c r="AK202" s="8">
        <f>'Model inputs'!AJ28</f>
        <v>0.05</v>
      </c>
    </row>
    <row r="203" outlineLevel="1">
      <c r="A203" t="inlineStr" s="14">
        <is>
          <t xml:space="preserve">Haq input value &gt; CSC monthly price</t>
        </is>
      </c>
      <c r="AK203" s="8">
        <f>'Model inputs'!AJ29</f>
        <v>1499</v>
      </c>
    </row>
    <row r="204" outlineLevel="1">
      <c r="A204" t="inlineStr" s="14">
        <is>
          <t xml:space="preserve">Haq input value &gt; CSR annual district price</t>
        </is>
      </c>
      <c r="AK204" s="8">
        <f>'Model inputs'!AJ30</f>
        <v>500000</v>
      </c>
    </row>
    <row r="205" outlineLevel="1">
      <c r="A205" t="inlineStr" s="14">
        <is>
          <t xml:space="preserve">Haq input value &gt; CSR checks per district year</t>
        </is>
      </c>
      <c r="AK205" s="8">
        <f>'Model inputs'!AJ31</f>
        <v>25000</v>
      </c>
    </row>
    <row r="206" outlineLevel="1">
      <c r="A206" t="inlineStr" s="14">
        <is>
          <t xml:space="preserve">Haq input value &gt; CSR district equivalents M12</t>
        </is>
      </c>
      <c r="AK206" s="8">
        <f>'Model inputs'!AJ32</f>
        <v>3</v>
      </c>
    </row>
    <row r="207" outlineLevel="1">
      <c r="A207" t="inlineStr" s="14">
        <is>
          <t xml:space="preserve">Haq input value &gt; CSR district equivalents M15</t>
        </is>
      </c>
      <c r="AK207" s="8">
        <f>'Model inputs'!AJ33</f>
        <v>4</v>
      </c>
    </row>
    <row r="208" outlineLevel="1">
      <c r="A208" t="inlineStr" s="14">
        <is>
          <t xml:space="preserve">Haq input value &gt; CSR district equivalents M18</t>
        </is>
      </c>
      <c r="AK208" s="8">
        <f>'Model inputs'!AJ34</f>
        <v>5</v>
      </c>
    </row>
    <row r="209" outlineLevel="1">
      <c r="A209" t="inlineStr" s="14">
        <is>
          <t xml:space="preserve">Haq input value &gt; CSR district equivalents M21</t>
        </is>
      </c>
      <c r="AK209" s="8">
        <f>'Model inputs'!AJ35</f>
        <v>6</v>
      </c>
    </row>
    <row r="210" outlineLevel="1">
      <c r="A210" t="inlineStr" s="14">
        <is>
          <t xml:space="preserve">Haq input value &gt; CSR district equivalents M23</t>
        </is>
      </c>
      <c r="AK210" s="8">
        <f>'Model inputs'!AJ36</f>
        <v>7</v>
      </c>
    </row>
    <row r="211" outlineLevel="1">
      <c r="A211" t="inlineStr" s="14">
        <is>
          <t xml:space="preserve">Haq input value &gt; CSR district equivalents M24</t>
        </is>
      </c>
      <c r="AK211" s="8">
        <f>'Model inputs'!AJ37</f>
        <v>8</v>
      </c>
    </row>
    <row r="212" outlineLevel="1">
      <c r="A212" t="inlineStr" s="14">
        <is>
          <t xml:space="preserve">Haq input value &gt; CSR district equivalents M6</t>
        </is>
      </c>
      <c r="AK212" s="8">
        <f>'Model inputs'!AJ38</f>
        <v>1</v>
      </c>
    </row>
    <row r="213" outlineLevel="1">
      <c r="A213" t="inlineStr" s="14">
        <is>
          <t xml:space="preserve">Haq input value &gt; CSR district equivalents M9</t>
        </is>
      </c>
      <c r="AK213" s="8">
        <f>'Model inputs'!AJ39</f>
        <v>2</v>
      </c>
    </row>
    <row r="214" outlineLevel="1">
      <c r="A214" t="inlineStr" s="14">
        <is>
          <t xml:space="preserve">Haq input value &gt; Cache begins month</t>
        </is>
      </c>
      <c r="AK214" s="8">
        <f>'Model inputs'!AJ40</f>
        <v>4</v>
      </c>
    </row>
    <row r="215" outlineLevel="1">
      <c r="A215" t="inlineStr" s="14">
        <is>
          <t xml:space="preserve">Haq input value &gt; Cached check cost</t>
        </is>
      </c>
      <c r="AK215" s="8">
        <f>'Model inputs'!AJ41</f>
        <v>10</v>
      </c>
    </row>
    <row r="216" outlineLevel="1">
      <c r="A216" t="inlineStr" s="14">
        <is>
          <t xml:space="preserve">Haq input value &gt; Citizen price</t>
        </is>
      </c>
      <c r="AK216" s="8">
        <f>'Model inputs'!AJ42</f>
        <v>0</v>
      </c>
    </row>
    <row r="217" outlineLevel="1">
      <c r="A217" t="inlineStr" s="14">
        <is>
          <t xml:space="preserve">Haq input value &gt; Cloud fixed monthly</t>
        </is>
      </c>
      <c r="AK217" s="8">
        <f>'Model inputs'!AJ43</f>
        <v>25000</v>
      </c>
    </row>
    <row r="218" outlineLevel="1">
      <c r="A218" t="inlineStr" s="14">
        <is>
          <t xml:space="preserve">Haq input value &gt; Cloud per 100 checks</t>
        </is>
      </c>
      <c r="AK218" s="8">
        <f>'Model inputs'!AJ44</f>
        <v>1</v>
      </c>
    </row>
    <row r="219" outlineLevel="1">
      <c r="A219" t="inlineStr" s="14">
        <is>
          <t xml:space="preserve">Haq input value &gt; Collection delay</t>
        </is>
      </c>
      <c r="AK219" s="8">
        <f>'Model inputs'!AJ45</f>
        <v>0</v>
      </c>
    </row>
    <row r="220" outlineLevel="1">
      <c r="A220" t="inlineStr" s="14">
        <is>
          <t xml:space="preserve">Haq input value &gt; Collection fee rate</t>
        </is>
      </c>
      <c r="AK220" s="8">
        <f>'Model inputs'!AJ46</f>
        <v>0.02</v>
      </c>
    </row>
    <row r="221" outlineLevel="1">
      <c r="A221" t="inlineStr" s="14">
        <is>
          <t xml:space="preserve">Haq input value &gt; Developer count</t>
        </is>
      </c>
      <c r="AK221" s="8">
        <f>'Model inputs'!AJ47</f>
        <v>1</v>
      </c>
    </row>
    <row r="222" outlineLevel="1">
      <c r="A222" t="inlineStr" s="14">
        <is>
          <t xml:space="preserve">Haq input value &gt; Developer monthly salary</t>
        </is>
      </c>
      <c r="AK222" s="8">
        <f>'Model inputs'!AJ48</f>
        <v>150000</v>
      </c>
    </row>
    <row r="223" outlineLevel="1">
      <c r="A223" t="inlineStr" s="14">
        <is>
          <t xml:space="preserve">Haq input value &gt; Developer start month</t>
        </is>
      </c>
      <c r="AK223" s="8">
        <f>'Model inputs'!AJ49</f>
        <v>1</v>
      </c>
    </row>
    <row r="224" outlineLevel="1">
      <c r="A224" t="inlineStr" s="14">
        <is>
          <t xml:space="preserve">Haq input value &gt; District launch cost</t>
        </is>
      </c>
      <c r="AK224" s="8">
        <f>'Model inputs'!AJ50</f>
        <v>100000</v>
      </c>
    </row>
    <row r="225" outlineLevel="1">
      <c r="A225" t="inlineStr" s="14">
        <is>
          <t xml:space="preserve">Haq input value &gt; Employer annual worker price</t>
        </is>
      </c>
      <c r="AK225" s="8">
        <f>'Model inputs'!AJ51</f>
        <v>50</v>
      </c>
    </row>
    <row r="226" outlineLevel="1">
      <c r="A226" t="inlineStr" s="14">
        <is>
          <t xml:space="preserve">Haq input value &gt; Employer checks per worker year</t>
        </is>
      </c>
      <c r="AK226" s="8">
        <f>'Model inputs'!AJ52</f>
        <v>1</v>
      </c>
    </row>
    <row r="227" outlineLevel="1">
      <c r="A227" t="inlineStr" s="14">
        <is>
          <t xml:space="preserve">Haq input value &gt; Employer workers M12</t>
        </is>
      </c>
      <c r="AK227" s="8">
        <f>'Model inputs'!AJ53</f>
        <v>20000</v>
      </c>
    </row>
    <row r="228" outlineLevel="1">
      <c r="A228" t="inlineStr" s="14">
        <is>
          <t xml:space="preserve">Haq input value &gt; Employer workers M18</t>
        </is>
      </c>
      <c r="AK228" s="8">
        <f>'Model inputs'!AJ54</f>
        <v>35000</v>
      </c>
    </row>
    <row r="229" outlineLevel="1">
      <c r="A229" t="inlineStr" s="14">
        <is>
          <t xml:space="preserve">Haq input value &gt; Employer workers M24</t>
        </is>
      </c>
      <c r="AK229" s="8">
        <f>'Model inputs'!AJ55</f>
        <v>50000</v>
      </c>
    </row>
    <row r="230" outlineLevel="1">
      <c r="A230" t="inlineStr" s="14">
        <is>
          <t xml:space="preserve">Haq input value &gt; Employer workers M9</t>
        </is>
      </c>
      <c r="AK230" s="8">
        <f>'Model inputs'!AJ56</f>
        <v>10000</v>
      </c>
    </row>
    <row r="231" outlineLevel="1">
      <c r="A231" t="inlineStr" s="14">
        <is>
          <t xml:space="preserve">Haq input value &gt; Field lead count</t>
        </is>
      </c>
      <c r="AK231" s="8">
        <f>'Model inputs'!AJ57</f>
        <v>1</v>
      </c>
    </row>
    <row r="232" outlineLevel="1">
      <c r="A232" t="inlineStr" s="14">
        <is>
          <t xml:space="preserve">Haq input value &gt; Field lead monthly salary</t>
        </is>
      </c>
      <c r="AK232" s="8">
        <f>'Model inputs'!AJ58</f>
        <v>60000</v>
      </c>
    </row>
    <row r="233" outlineLevel="1">
      <c r="A233" t="inlineStr" s="14">
        <is>
          <t xml:space="preserve">Haq input value &gt; Field lead start month</t>
        </is>
      </c>
      <c r="AK233" s="8">
        <f>'Model inputs'!AJ59</f>
        <v>6</v>
      </c>
    </row>
    <row r="234" outlineLevel="1">
      <c r="A234" t="inlineStr" s="14">
        <is>
          <t xml:space="preserve">Haq input value &gt; Founder count</t>
        </is>
      </c>
      <c r="AK234" s="8">
        <f>'Model inputs'!AJ60</f>
        <v>1</v>
      </c>
    </row>
    <row r="235" outlineLevel="1">
      <c r="A235" t="inlineStr" s="14">
        <is>
          <t xml:space="preserve">Haq input value &gt; Founder monthly salary</t>
        </is>
      </c>
      <c r="AK235" s="8">
        <f>'Model inputs'!AJ61</f>
        <v>100000</v>
      </c>
    </row>
    <row r="236" outlineLevel="1">
      <c r="A236" t="inlineStr" s="14">
        <is>
          <t xml:space="preserve">Haq input value &gt; Founder start month</t>
        </is>
      </c>
      <c r="AK236" s="8">
        <f>'Model inputs'!AJ62</f>
        <v>7</v>
      </c>
    </row>
    <row r="237" outlineLevel="1">
      <c r="A237" t="inlineStr" s="14">
        <is>
          <t xml:space="preserve">Haq input value &gt; Funding safety reserve</t>
        </is>
      </c>
      <c r="AK237" s="8">
        <f>'Model inputs'!AJ63</f>
        <v>1000000</v>
      </c>
    </row>
    <row r="238" outlineLevel="1">
      <c r="A238" t="inlineStr" s="14">
        <is>
          <t xml:space="preserve">Haq input value &gt; Marketing acquisition allocation</t>
        </is>
      </c>
      <c r="AK238" s="8">
        <f>'Model inputs'!AJ64</f>
        <v>1</v>
      </c>
    </row>
    <row r="239" outlineLevel="1">
      <c r="A239" t="inlineStr" s="14">
        <is>
          <t xml:space="preserve">Haq input value &gt; Marketing monthly</t>
        </is>
      </c>
      <c r="AK239" s="8">
        <f>'Model inputs'!AJ65</f>
        <v>50000</v>
      </c>
    </row>
    <row r="240" outlineLevel="1">
      <c r="A240" t="inlineStr" s="14">
        <is>
          <t xml:space="preserve">Haq input value &gt; Preview AI cost multiplier</t>
        </is>
      </c>
      <c r="AK240" s="8">
        <f>'Model inputs'!AJ66</f>
        <v>1</v>
      </c>
    </row>
    <row r="241" outlineLevel="1">
      <c r="A241" t="inlineStr" s="14">
        <is>
          <t xml:space="preserve">Haq input value &gt; Preview additional funding</t>
        </is>
      </c>
      <c r="AK241" s="8">
        <f>'Model inputs'!AJ67</f>
        <v>0</v>
      </c>
    </row>
    <row r="242" outlineLevel="1">
      <c r="A242" t="inlineStr" s="14">
        <is>
          <t xml:space="preserve">Haq input value &gt; Recommended CSC price</t>
        </is>
      </c>
      <c r="AK242" s="8">
        <f>'Model inputs'!AJ68</f>
        <v>1499</v>
      </c>
    </row>
    <row r="243" outlineLevel="1">
      <c r="A243" t="inlineStr" s="14">
        <is>
          <t xml:space="preserve">Haq input value &gt; Recommended extra price</t>
        </is>
      </c>
      <c r="AK243" s="8">
        <f>'Model inputs'!AJ69</f>
        <v>15</v>
      </c>
    </row>
    <row r="244" outlineLevel="1">
      <c r="A244" t="inlineStr" s="14">
        <is>
          <t xml:space="preserve">Haq input value &gt; Scale begins month</t>
        </is>
      </c>
      <c r="AK244" s="8">
        <f>'Model inputs'!AJ70</f>
        <v>10</v>
      </c>
    </row>
    <row r="245" outlineLevel="1">
      <c r="A245" t="inlineStr" s="14">
        <is>
          <t xml:space="preserve">Haq input value &gt; Scale check cost</t>
        </is>
      </c>
      <c r="AK245" s="8">
        <f>'Model inputs'!AJ71</f>
        <v>4</v>
      </c>
    </row>
    <row r="246" outlineLevel="1">
      <c r="A246" t="inlineStr" s="14">
        <is>
          <t xml:space="preserve">Haq input value &gt; Starting cash</t>
        </is>
      </c>
      <c r="AK246" s="8">
        <f>'Model inputs'!AJ72</f>
        <v>2500000</v>
      </c>
    </row>
    <row r="247" outlineLevel="1">
      <c r="A247" t="inlineStr" s="14">
        <is>
          <t xml:space="preserve">Haq input value &gt; Uncached check cost</t>
        </is>
      </c>
      <c r="AK247" s="8">
        <f>'Model inputs'!AJ73</f>
        <v>20</v>
      </c>
    </row>
    <row r="248">
      <c r="A248" t="inlineStr" s="13">
        <is>
          <t xml:space="preserve">Haq input value</t>
        </is>
      </c>
      <c r="AK248" s="6">
        <v>0</v>
      </c>
    </row>
    <row r="249" outlineLevel="1">
      <c r="A249" t="inlineStr" s="14">
        <is>
          <t xml:space="preserve">Haq input value &gt; Annual renewal retention</t>
        </is>
      </c>
      <c r="AK249" s="8">
        <f>'Model inputs'!AJ19</f>
        <v>1</v>
      </c>
    </row>
    <row r="250" outlineLevel="1">
      <c r="A250" t="inlineStr" s="14">
        <is>
          <t xml:space="preserve">Haq input value &gt; Benefit commission rate</t>
        </is>
      </c>
      <c r="AK250" s="8">
        <f>'Model inputs'!AJ20</f>
        <v>0</v>
      </c>
    </row>
    <row r="251" outlineLevel="1">
      <c r="A251" t="inlineStr" s="14">
        <is>
          <t xml:space="preserve">Haq input value &gt; CSC checks per operator</t>
        </is>
      </c>
      <c r="AK251" s="8">
        <f>'Model inputs'!AJ21</f>
        <v>80</v>
      </c>
    </row>
    <row r="252" outlineLevel="1">
      <c r="A252" t="inlineStr" s="14">
        <is>
          <t xml:space="preserve">Haq input value &gt; CSC extra check price</t>
        </is>
      </c>
      <c r="AK252" s="8">
        <f>'Model inputs'!AJ22</f>
        <v>15</v>
      </c>
    </row>
    <row r="253" outlineLevel="1">
      <c r="A253" t="inlineStr" s="14">
        <is>
          <t xml:space="preserve">Haq input value &gt; CSC gross monthly growth</t>
        </is>
      </c>
      <c r="AK253" s="8">
        <f>'Model inputs'!AJ79</f>
        <v>0.3</v>
      </c>
    </row>
    <row r="254" outlineLevel="1">
      <c r="A254" t="inlineStr" s="14">
        <is>
          <t xml:space="preserve">Haq input value &gt; CSC included checks</t>
        </is>
      </c>
      <c r="AK254" s="8">
        <f>'Model inputs'!AJ24</f>
        <v>100</v>
      </c>
    </row>
    <row r="255" outlineLevel="1">
      <c r="A255" t="inlineStr" s="14">
        <is>
          <t xml:space="preserve">Haq input value &gt; CSC incremental CAC</t>
        </is>
      </c>
      <c r="AK255" s="8">
        <f>'Model inputs'!AJ25</f>
        <v>2000</v>
      </c>
    </row>
    <row r="256" outlineLevel="1">
      <c r="A256" t="inlineStr" s="14">
        <is>
          <t xml:space="preserve">Haq input value &gt; CSC launch month</t>
        </is>
      </c>
      <c r="AK256" s="8">
        <f>'Model inputs'!AJ26</f>
        <v>4</v>
      </c>
    </row>
    <row r="257" outlineLevel="1">
      <c r="A257" t="inlineStr" s="14">
        <is>
          <t xml:space="preserve">Haq input value &gt; CSC launch operators</t>
        </is>
      </c>
      <c r="AK257" s="8">
        <f>'Model inputs'!AJ27</f>
        <v>50</v>
      </c>
    </row>
    <row r="258" outlineLevel="1">
      <c r="A258" t="inlineStr" s="14">
        <is>
          <t xml:space="preserve">Haq input value &gt; CSC monthly churn</t>
        </is>
      </c>
      <c r="AK258" s="8">
        <f>'Model inputs'!AJ84</f>
        <v>0.03</v>
      </c>
    </row>
    <row r="259" outlineLevel="1">
      <c r="A259" t="inlineStr" s="14">
        <is>
          <t xml:space="preserve">Haq input value &gt; CSC monthly price</t>
        </is>
      </c>
      <c r="AK259" s="8">
        <f>'Model inputs'!AJ85</f>
        <v>1499</v>
      </c>
    </row>
    <row r="260" outlineLevel="1">
      <c r="A260" t="inlineStr" s="14">
        <is>
          <t xml:space="preserve">Haq input value &gt; CSR annual district price</t>
        </is>
      </c>
      <c r="AK260" s="8">
        <f>'Model inputs'!AJ30</f>
        <v>500000</v>
      </c>
    </row>
    <row r="261" outlineLevel="1">
      <c r="A261" t="inlineStr" s="14">
        <is>
          <t xml:space="preserve">Haq input value &gt; CSR checks per district year</t>
        </is>
      </c>
      <c r="AK261" s="8">
        <f>'Model inputs'!AJ31</f>
        <v>25000</v>
      </c>
    </row>
    <row r="262" outlineLevel="1">
      <c r="A262" t="inlineStr" s="14">
        <is>
          <t xml:space="preserve">Haq input value &gt; CSR district equivalents M12</t>
        </is>
      </c>
      <c r="AK262" s="8">
        <f>'Model inputs'!AJ88</f>
        <v>6</v>
      </c>
    </row>
    <row r="263" outlineLevel="1">
      <c r="A263" t="inlineStr" s="14">
        <is>
          <t xml:space="preserve">Haq input value &gt; CSR district equivalents M15</t>
        </is>
      </c>
      <c r="AK263" s="8">
        <f>'Model inputs'!AJ89</f>
        <v>8</v>
      </c>
    </row>
    <row r="264" outlineLevel="1">
      <c r="A264" t="inlineStr" s="14">
        <is>
          <t xml:space="preserve">Haq input value &gt; CSR district equivalents M18</t>
        </is>
      </c>
      <c r="AK264" s="8">
        <f>'Model inputs'!AJ90</f>
        <v>10</v>
      </c>
    </row>
    <row r="265" outlineLevel="1">
      <c r="A265" t="inlineStr" s="14">
        <is>
          <t xml:space="preserve">Haq input value &gt; CSR district equivalents M21</t>
        </is>
      </c>
      <c r="AK265" s="8">
        <f>'Model inputs'!AJ91</f>
        <v>12</v>
      </c>
    </row>
    <row r="266" outlineLevel="1">
      <c r="A266" t="inlineStr" s="14">
        <is>
          <t xml:space="preserve">Haq input value &gt; CSR district equivalents M23</t>
        </is>
      </c>
      <c r="AK266" s="8">
        <f>'Model inputs'!AJ92</f>
        <v>14</v>
      </c>
    </row>
    <row r="267" outlineLevel="1">
      <c r="A267" t="inlineStr" s="14">
        <is>
          <t xml:space="preserve">Haq input value &gt; CSR district equivalents M24</t>
        </is>
      </c>
      <c r="AK267" s="8">
        <f>'Model inputs'!AJ93</f>
        <v>16</v>
      </c>
    </row>
    <row r="268" outlineLevel="1">
      <c r="A268" t="inlineStr" s="14">
        <is>
          <t xml:space="preserve">Haq input value &gt; CSR district equivalents M6</t>
        </is>
      </c>
      <c r="AK268" s="8">
        <f>'Model inputs'!AJ94</f>
        <v>2</v>
      </c>
    </row>
    <row r="269" outlineLevel="1">
      <c r="A269" t="inlineStr" s="14">
        <is>
          <t xml:space="preserve">Haq input value &gt; CSR district equivalents M9</t>
        </is>
      </c>
      <c r="AK269" s="8">
        <f>'Model inputs'!AJ95</f>
        <v>4</v>
      </c>
    </row>
    <row r="270" outlineLevel="1">
      <c r="A270" t="inlineStr" s="14">
        <is>
          <t xml:space="preserve">Haq input value &gt; Cache begins month</t>
        </is>
      </c>
      <c r="AK270" s="8">
        <f>'Model inputs'!AJ40</f>
        <v>4</v>
      </c>
    </row>
    <row r="271" outlineLevel="1">
      <c r="A271" t="inlineStr" s="14">
        <is>
          <t xml:space="preserve">Haq input value &gt; Cached check cost</t>
        </is>
      </c>
      <c r="AK271" s="8">
        <f>'Model inputs'!AJ41</f>
        <v>10</v>
      </c>
    </row>
    <row r="272" outlineLevel="1">
      <c r="A272" t="inlineStr" s="14">
        <is>
          <t xml:space="preserve">Haq input value &gt; Citizen price</t>
        </is>
      </c>
      <c r="AK272" s="8">
        <f>'Model inputs'!AJ42</f>
        <v>0</v>
      </c>
    </row>
    <row r="273" outlineLevel="1">
      <c r="A273" t="inlineStr" s="14">
        <is>
          <t xml:space="preserve">Haq input value &gt; Cloud fixed monthly</t>
        </is>
      </c>
      <c r="AK273" s="8">
        <f>'Model inputs'!AJ43</f>
        <v>25000</v>
      </c>
    </row>
    <row r="274" outlineLevel="1">
      <c r="A274" t="inlineStr" s="14">
        <is>
          <t xml:space="preserve">Haq input value &gt; Cloud per 100 checks</t>
        </is>
      </c>
      <c r="AK274" s="8">
        <f>'Model inputs'!AJ44</f>
        <v>1</v>
      </c>
    </row>
    <row r="275" outlineLevel="1">
      <c r="A275" t="inlineStr" s="14">
        <is>
          <t xml:space="preserve">Haq input value &gt; Collection delay</t>
        </is>
      </c>
      <c r="AK275" s="8">
        <f>'Model inputs'!AJ45</f>
        <v>0</v>
      </c>
    </row>
    <row r="276" outlineLevel="1">
      <c r="A276" t="inlineStr" s="14">
        <is>
          <t xml:space="preserve">Haq input value &gt; Collection fee rate</t>
        </is>
      </c>
      <c r="AK276" s="8">
        <f>'Model inputs'!AJ46</f>
        <v>0.02</v>
      </c>
    </row>
    <row r="277" outlineLevel="1">
      <c r="A277" t="inlineStr" s="14">
        <is>
          <t xml:space="preserve">Haq input value &gt; Developer count</t>
        </is>
      </c>
      <c r="AK277" s="8">
        <f>'Model inputs'!AJ47</f>
        <v>1</v>
      </c>
    </row>
    <row r="278" outlineLevel="1">
      <c r="A278" t="inlineStr" s="14">
        <is>
          <t xml:space="preserve">Haq input value &gt; Developer monthly salary</t>
        </is>
      </c>
      <c r="AK278" s="8">
        <f>'Model inputs'!AJ48</f>
        <v>150000</v>
      </c>
    </row>
    <row r="279" outlineLevel="1">
      <c r="A279" t="inlineStr" s="14">
        <is>
          <t xml:space="preserve">Haq input value &gt; Developer start month</t>
        </is>
      </c>
      <c r="AK279" s="8">
        <f>'Model inputs'!AJ49</f>
        <v>1</v>
      </c>
    </row>
    <row r="280" outlineLevel="1">
      <c r="A280" t="inlineStr" s="14">
        <is>
          <t xml:space="preserve">Haq input value &gt; District launch cost</t>
        </is>
      </c>
      <c r="AK280" s="8">
        <f>'Model inputs'!AJ50</f>
        <v>100000</v>
      </c>
    </row>
    <row r="281" outlineLevel="1">
      <c r="A281" t="inlineStr" s="14">
        <is>
          <t xml:space="preserve">Haq input value &gt; Employer annual worker price</t>
        </is>
      </c>
      <c r="AK281" s="8">
        <f>'Model inputs'!AJ51</f>
        <v>50</v>
      </c>
    </row>
    <row r="282" outlineLevel="1">
      <c r="A282" t="inlineStr" s="14">
        <is>
          <t xml:space="preserve">Haq input value &gt; Employer checks per worker year</t>
        </is>
      </c>
      <c r="AK282" s="8">
        <f>'Model inputs'!AJ52</f>
        <v>1</v>
      </c>
    </row>
    <row r="283" outlineLevel="1">
      <c r="A283" t="inlineStr" s="14">
        <is>
          <t xml:space="preserve">Haq input value &gt; Employer workers M12</t>
        </is>
      </c>
      <c r="AK283" s="8">
        <f>'Model inputs'!AJ109</f>
        <v>40000</v>
      </c>
    </row>
    <row r="284" outlineLevel="1">
      <c r="A284" t="inlineStr" s="14">
        <is>
          <t xml:space="preserve">Haq input value &gt; Employer workers M18</t>
        </is>
      </c>
      <c r="AK284" s="8">
        <f>'Model inputs'!AJ110</f>
        <v>70000</v>
      </c>
    </row>
    <row r="285" outlineLevel="1">
      <c r="A285" t="inlineStr" s="14">
        <is>
          <t xml:space="preserve">Haq input value &gt; Employer workers M24</t>
        </is>
      </c>
      <c r="AK285" s="8">
        <f>'Model inputs'!AJ111</f>
        <v>100000</v>
      </c>
    </row>
    <row r="286" outlineLevel="1">
      <c r="A286" t="inlineStr" s="14">
        <is>
          <t xml:space="preserve">Haq input value &gt; Employer workers M9</t>
        </is>
      </c>
      <c r="AK286" s="8">
        <f>'Model inputs'!AJ112</f>
        <v>20000</v>
      </c>
    </row>
    <row r="287" outlineLevel="1">
      <c r="A287" t="inlineStr" s="14">
        <is>
          <t xml:space="preserve">Haq input value &gt; Field lead count</t>
        </is>
      </c>
      <c r="AK287" s="8">
        <f>'Model inputs'!AJ57</f>
        <v>1</v>
      </c>
    </row>
    <row r="288" outlineLevel="1">
      <c r="A288" t="inlineStr" s="14">
        <is>
          <t xml:space="preserve">Haq input value &gt; Field lead monthly salary</t>
        </is>
      </c>
      <c r="AK288" s="8">
        <f>'Model inputs'!AJ58</f>
        <v>60000</v>
      </c>
    </row>
    <row r="289" outlineLevel="1">
      <c r="A289" t="inlineStr" s="14">
        <is>
          <t xml:space="preserve">Haq input value &gt; Field lead start month</t>
        </is>
      </c>
      <c r="AK289" s="8">
        <f>'Model inputs'!AJ59</f>
        <v>6</v>
      </c>
    </row>
    <row r="290" outlineLevel="1">
      <c r="A290" t="inlineStr" s="14">
        <is>
          <t xml:space="preserve">Haq input value &gt; Founder count</t>
        </is>
      </c>
      <c r="AK290" s="8">
        <f>'Model inputs'!AJ60</f>
        <v>1</v>
      </c>
    </row>
    <row r="291" outlineLevel="1">
      <c r="A291" t="inlineStr" s="14">
        <is>
          <t xml:space="preserve">Haq input value &gt; Founder monthly salary</t>
        </is>
      </c>
      <c r="AK291" s="8">
        <f>'Model inputs'!AJ61</f>
        <v>100000</v>
      </c>
    </row>
    <row r="292" outlineLevel="1">
      <c r="A292" t="inlineStr" s="14">
        <is>
          <t xml:space="preserve">Haq input value &gt; Founder start month</t>
        </is>
      </c>
      <c r="AK292" s="8">
        <f>'Model inputs'!AJ62</f>
        <v>7</v>
      </c>
    </row>
    <row r="293" outlineLevel="1">
      <c r="A293" t="inlineStr" s="14">
        <is>
          <t xml:space="preserve">Haq input value &gt; Funding safety reserve</t>
        </is>
      </c>
      <c r="AK293" s="8">
        <f>'Model inputs'!AJ63</f>
        <v>1000000</v>
      </c>
    </row>
    <row r="294" outlineLevel="1">
      <c r="A294" t="inlineStr" s="14">
        <is>
          <t xml:space="preserve">Haq input value &gt; Marketing acquisition allocation</t>
        </is>
      </c>
      <c r="AK294" s="8">
        <f>'Model inputs'!AJ64</f>
        <v>1</v>
      </c>
    </row>
    <row r="295" outlineLevel="1">
      <c r="A295" t="inlineStr" s="14">
        <is>
          <t xml:space="preserve">Haq input value &gt; Marketing monthly</t>
        </is>
      </c>
      <c r="AK295" s="8">
        <f>'Model inputs'!AJ65</f>
        <v>50000</v>
      </c>
    </row>
    <row r="296" outlineLevel="1">
      <c r="A296" t="inlineStr" s="14">
        <is>
          <t xml:space="preserve">Haq input value &gt; Preview AI cost multiplier</t>
        </is>
      </c>
      <c r="AK296" s="8">
        <f>'Model inputs'!AJ66</f>
        <v>1</v>
      </c>
    </row>
    <row r="297" outlineLevel="1">
      <c r="A297" t="inlineStr" s="14">
        <is>
          <t xml:space="preserve">Haq input value &gt; Preview additional funding</t>
        </is>
      </c>
      <c r="AK297" s="8">
        <f>'Model inputs'!AJ67</f>
        <v>0</v>
      </c>
    </row>
    <row r="298" outlineLevel="1">
      <c r="A298" t="inlineStr" s="14">
        <is>
          <t xml:space="preserve">Haq input value &gt; Recommended CSC price</t>
        </is>
      </c>
      <c r="AK298" s="8">
        <f>'Model inputs'!AJ68</f>
        <v>1499</v>
      </c>
    </row>
    <row r="299" outlineLevel="1">
      <c r="A299" t="inlineStr" s="14">
        <is>
          <t xml:space="preserve">Haq input value &gt; Recommended extra price</t>
        </is>
      </c>
      <c r="AK299" s="8">
        <f>'Model inputs'!AJ69</f>
        <v>15</v>
      </c>
    </row>
    <row r="300" outlineLevel="1">
      <c r="A300" t="inlineStr" s="14">
        <is>
          <t xml:space="preserve">Haq input value &gt; Scale begins month</t>
        </is>
      </c>
      <c r="AK300" s="8">
        <f>'Model inputs'!AJ126</f>
        <v>6</v>
      </c>
    </row>
    <row r="301" outlineLevel="1">
      <c r="A301" t="inlineStr" s="14">
        <is>
          <t xml:space="preserve">Haq input value &gt; Scale check cost</t>
        </is>
      </c>
      <c r="AK301" s="8">
        <f>'Model inputs'!AJ71</f>
        <v>4</v>
      </c>
    </row>
    <row r="302" outlineLevel="1">
      <c r="A302" t="inlineStr" s="14">
        <is>
          <t xml:space="preserve">Haq input value &gt; Starting cash</t>
        </is>
      </c>
      <c r="AK302" s="8">
        <f>'Model inputs'!AJ72</f>
        <v>2500000</v>
      </c>
    </row>
    <row r="303" outlineLevel="1">
      <c r="A303" t="inlineStr" s="14">
        <is>
          <t xml:space="preserve">Haq input value &gt; Uncached check cost</t>
        </is>
      </c>
      <c r="AK303" s="8">
        <f>'Model inputs'!AJ73</f>
        <v>20</v>
      </c>
    </row>
    <row r="304">
      <c r="A304" t="inlineStr" s="13">
        <is>
          <t xml:space="preserve">Haq input value</t>
        </is>
      </c>
      <c r="AK304" s="6">
        <v>0</v>
      </c>
    </row>
    <row r="305" outlineLevel="1">
      <c r="A305" t="inlineStr" s="14">
        <is>
          <t xml:space="preserve">Haq input value &gt; Annual renewal retention</t>
        </is>
      </c>
      <c r="AK305" s="8">
        <f>'Model inputs'!AJ19</f>
        <v>1</v>
      </c>
    </row>
    <row r="306" outlineLevel="1">
      <c r="A306" t="inlineStr" s="14">
        <is>
          <t xml:space="preserve">Haq input value &gt; Benefit commission rate</t>
        </is>
      </c>
      <c r="AK306" s="8">
        <f>'Model inputs'!AJ20</f>
        <v>0</v>
      </c>
    </row>
    <row r="307" outlineLevel="1">
      <c r="A307" t="inlineStr" s="14">
        <is>
          <t xml:space="preserve">Haq input value &gt; CSC checks per operator</t>
        </is>
      </c>
      <c r="AK307" s="8">
        <f>'Model inputs'!AJ21</f>
        <v>80</v>
      </c>
    </row>
    <row r="308" outlineLevel="1">
      <c r="A308" t="inlineStr" s="14">
        <is>
          <t xml:space="preserve">Haq input value &gt; CSC extra check price</t>
        </is>
      </c>
      <c r="AK308" s="8">
        <f>'Model inputs'!AJ22</f>
        <v>15</v>
      </c>
    </row>
    <row r="309" outlineLevel="1">
      <c r="A309" t="inlineStr" s="14">
        <is>
          <t xml:space="preserve">Haq input value &gt; CSC gross monthly growth</t>
        </is>
      </c>
      <c r="AK309" s="8">
        <f>'Model inputs'!AJ135</f>
        <v>0.1</v>
      </c>
    </row>
    <row r="310" outlineLevel="1">
      <c r="A310" t="inlineStr" s="14">
        <is>
          <t xml:space="preserve">Haq input value &gt; CSC included checks</t>
        </is>
      </c>
      <c r="AK310" s="8">
        <f>'Model inputs'!AJ24</f>
        <v>100</v>
      </c>
    </row>
    <row r="311" outlineLevel="1">
      <c r="A311" t="inlineStr" s="14">
        <is>
          <t xml:space="preserve">Haq input value &gt; CSC incremental CAC</t>
        </is>
      </c>
      <c r="AK311" s="8">
        <f>'Model inputs'!AJ25</f>
        <v>2000</v>
      </c>
    </row>
    <row r="312" outlineLevel="1">
      <c r="A312" t="inlineStr" s="14">
        <is>
          <t xml:space="preserve">Haq input value &gt; CSC launch month</t>
        </is>
      </c>
      <c r="AK312" s="8">
        <f>'Model inputs'!AJ26</f>
        <v>4</v>
      </c>
    </row>
    <row r="313" outlineLevel="1">
      <c r="A313" t="inlineStr" s="14">
        <is>
          <t xml:space="preserve">Haq input value &gt; CSC launch operators</t>
        </is>
      </c>
      <c r="AK313" s="8">
        <f>'Model inputs'!AJ27</f>
        <v>50</v>
      </c>
    </row>
    <row r="314" outlineLevel="1">
      <c r="A314" t="inlineStr" s="14">
        <is>
          <t xml:space="preserve">Haq input value &gt; CSC monthly churn</t>
        </is>
      </c>
      <c r="AK314" s="8">
        <f>'Model inputs'!AJ140</f>
        <v>0.07</v>
      </c>
    </row>
    <row r="315" outlineLevel="1">
      <c r="A315" t="inlineStr" s="14">
        <is>
          <t xml:space="preserve">Haq input value &gt; CSC monthly price</t>
        </is>
      </c>
      <c r="AK315" s="8">
        <f>'Model inputs'!AJ141</f>
        <v>1499</v>
      </c>
    </row>
    <row r="316" outlineLevel="1">
      <c r="A316" t="inlineStr" s="14">
        <is>
          <t xml:space="preserve">Haq input value &gt; CSR annual district price</t>
        </is>
      </c>
      <c r="AK316" s="8">
        <f>'Model inputs'!AJ30</f>
        <v>500000</v>
      </c>
    </row>
    <row r="317" outlineLevel="1">
      <c r="A317" t="inlineStr" s="14">
        <is>
          <t xml:space="preserve">Haq input value &gt; CSR checks per district year</t>
        </is>
      </c>
      <c r="AK317" s="8">
        <f>'Model inputs'!AJ31</f>
        <v>25000</v>
      </c>
    </row>
    <row r="318" outlineLevel="1">
      <c r="A318" t="inlineStr" s="14">
        <is>
          <t xml:space="preserve">Haq input value &gt; CSR district equivalents M12</t>
        </is>
      </c>
      <c r="AK318" s="8">
        <f>'Model inputs'!AJ144</f>
        <v>1.5</v>
      </c>
    </row>
    <row r="319" outlineLevel="1">
      <c r="A319" t="inlineStr" s="14">
        <is>
          <t xml:space="preserve">Haq input value &gt; CSR district equivalents M15</t>
        </is>
      </c>
      <c r="AK319" s="8">
        <f>'Model inputs'!AJ145</f>
        <v>2</v>
      </c>
    </row>
    <row r="320" outlineLevel="1">
      <c r="A320" t="inlineStr" s="14">
        <is>
          <t xml:space="preserve">Haq input value &gt; CSR district equivalents M18</t>
        </is>
      </c>
      <c r="AK320" s="8">
        <f>'Model inputs'!AJ146</f>
        <v>2.5</v>
      </c>
    </row>
    <row r="321" outlineLevel="1">
      <c r="A321" t="inlineStr" s="14">
        <is>
          <t xml:space="preserve">Haq input value &gt; CSR district equivalents M21</t>
        </is>
      </c>
      <c r="AK321" s="8">
        <f>'Model inputs'!AJ147</f>
        <v>3</v>
      </c>
    </row>
    <row r="322" outlineLevel="1">
      <c r="A322" t="inlineStr" s="14">
        <is>
          <t xml:space="preserve">Haq input value &gt; CSR district equivalents M23</t>
        </is>
      </c>
      <c r="AK322" s="8">
        <f>'Model inputs'!AJ148</f>
        <v>3.5</v>
      </c>
    </row>
    <row r="323" outlineLevel="1">
      <c r="A323" t="inlineStr" s="14">
        <is>
          <t xml:space="preserve">Haq input value &gt; CSR district equivalents M24</t>
        </is>
      </c>
      <c r="AK323" s="8">
        <f>'Model inputs'!AJ149</f>
        <v>4</v>
      </c>
    </row>
    <row r="324" outlineLevel="1">
      <c r="A324" t="inlineStr" s="14">
        <is>
          <t xml:space="preserve">Haq input value &gt; CSR district equivalents M6</t>
        </is>
      </c>
      <c r="AK324" s="8">
        <f>'Model inputs'!AJ150</f>
        <v>0.5</v>
      </c>
    </row>
    <row r="325" outlineLevel="1">
      <c r="A325" t="inlineStr" s="14">
        <is>
          <t xml:space="preserve">Haq input value &gt; CSR district equivalents M9</t>
        </is>
      </c>
      <c r="AK325" s="8">
        <f>'Model inputs'!AJ151</f>
        <v>1</v>
      </c>
    </row>
    <row r="326" outlineLevel="1">
      <c r="A326" t="inlineStr" s="14">
        <is>
          <t xml:space="preserve">Haq input value &gt; Cache begins month</t>
        </is>
      </c>
      <c r="AK326" s="8">
        <f>'Model inputs'!AJ40</f>
        <v>4</v>
      </c>
    </row>
    <row r="327" outlineLevel="1">
      <c r="A327" t="inlineStr" s="14">
        <is>
          <t xml:space="preserve">Haq input value &gt; Cached check cost</t>
        </is>
      </c>
      <c r="AK327" s="8">
        <f>'Model inputs'!AJ41</f>
        <v>10</v>
      </c>
    </row>
    <row r="328" outlineLevel="1">
      <c r="A328" t="inlineStr" s="14">
        <is>
          <t xml:space="preserve">Haq input value &gt; Citizen price</t>
        </is>
      </c>
      <c r="AK328" s="8">
        <f>'Model inputs'!AJ42</f>
        <v>0</v>
      </c>
    </row>
    <row r="329" outlineLevel="1">
      <c r="A329" t="inlineStr" s="14">
        <is>
          <t xml:space="preserve">Haq input value &gt; Cloud fixed monthly</t>
        </is>
      </c>
      <c r="AK329" s="8">
        <f>'Model inputs'!AJ43</f>
        <v>25000</v>
      </c>
    </row>
    <row r="330" outlineLevel="1">
      <c r="A330" t="inlineStr" s="14">
        <is>
          <t xml:space="preserve">Haq input value &gt; Cloud per 100 checks</t>
        </is>
      </c>
      <c r="AK330" s="8">
        <f>'Model inputs'!AJ44</f>
        <v>1</v>
      </c>
    </row>
    <row r="331" outlineLevel="1">
      <c r="A331" t="inlineStr" s="14">
        <is>
          <t xml:space="preserve">Haq input value &gt; Collection delay</t>
        </is>
      </c>
      <c r="AK331" s="8">
        <f>'Model inputs'!AJ45</f>
        <v>0</v>
      </c>
    </row>
    <row r="332" outlineLevel="1">
      <c r="A332" t="inlineStr" s="14">
        <is>
          <t xml:space="preserve">Haq input value &gt; Collection fee rate</t>
        </is>
      </c>
      <c r="AK332" s="8">
        <f>'Model inputs'!AJ46</f>
        <v>0.02</v>
      </c>
    </row>
    <row r="333" outlineLevel="1">
      <c r="A333" t="inlineStr" s="14">
        <is>
          <t xml:space="preserve">Haq input value &gt; Developer count</t>
        </is>
      </c>
      <c r="AK333" s="8">
        <f>'Model inputs'!AJ47</f>
        <v>1</v>
      </c>
    </row>
    <row r="334" outlineLevel="1">
      <c r="A334" t="inlineStr" s="14">
        <is>
          <t xml:space="preserve">Haq input value &gt; Developer monthly salary</t>
        </is>
      </c>
      <c r="AK334" s="8">
        <f>'Model inputs'!AJ48</f>
        <v>150000</v>
      </c>
    </row>
    <row r="335" outlineLevel="1">
      <c r="A335" t="inlineStr" s="14">
        <is>
          <t xml:space="preserve">Haq input value &gt; Developer start month</t>
        </is>
      </c>
      <c r="AK335" s="8">
        <f>'Model inputs'!AJ49</f>
        <v>1</v>
      </c>
    </row>
    <row r="336" outlineLevel="1">
      <c r="A336" t="inlineStr" s="14">
        <is>
          <t xml:space="preserve">Haq input value &gt; District launch cost</t>
        </is>
      </c>
      <c r="AK336" s="8">
        <f>'Model inputs'!AJ50</f>
        <v>100000</v>
      </c>
    </row>
    <row r="337" outlineLevel="1">
      <c r="A337" t="inlineStr" s="14">
        <is>
          <t xml:space="preserve">Haq input value &gt; Employer annual worker price</t>
        </is>
      </c>
      <c r="AK337" s="8">
        <f>'Model inputs'!AJ51</f>
        <v>50</v>
      </c>
    </row>
    <row r="338" outlineLevel="1">
      <c r="A338" t="inlineStr" s="14">
        <is>
          <t xml:space="preserve">Haq input value &gt; Employer checks per worker year</t>
        </is>
      </c>
      <c r="AK338" s="8">
        <f>'Model inputs'!AJ52</f>
        <v>1</v>
      </c>
    </row>
    <row r="339" outlineLevel="1">
      <c r="A339" t="inlineStr" s="14">
        <is>
          <t xml:space="preserve">Haq input value &gt; Employer workers M12</t>
        </is>
      </c>
      <c r="AK339" s="8">
        <f>'Model inputs'!AJ165</f>
        <v>10000</v>
      </c>
    </row>
    <row r="340" outlineLevel="1">
      <c r="A340" t="inlineStr" s="14">
        <is>
          <t xml:space="preserve">Haq input value &gt; Employer workers M18</t>
        </is>
      </c>
      <c r="AK340" s="8">
        <f>'Model inputs'!AJ166</f>
        <v>17500</v>
      </c>
    </row>
    <row r="341" outlineLevel="1">
      <c r="A341" t="inlineStr" s="14">
        <is>
          <t xml:space="preserve">Haq input value &gt; Employer workers M24</t>
        </is>
      </c>
      <c r="AK341" s="8">
        <f>'Model inputs'!AJ167</f>
        <v>25000</v>
      </c>
    </row>
    <row r="342" outlineLevel="1">
      <c r="A342" t="inlineStr" s="14">
        <is>
          <t xml:space="preserve">Haq input value &gt; Employer workers M9</t>
        </is>
      </c>
      <c r="AK342" s="8">
        <f>'Model inputs'!AJ168</f>
        <v>5000</v>
      </c>
    </row>
    <row r="343" outlineLevel="1">
      <c r="A343" t="inlineStr" s="14">
        <is>
          <t xml:space="preserve">Haq input value &gt; Field lead count</t>
        </is>
      </c>
      <c r="AK343" s="8">
        <f>'Model inputs'!AJ57</f>
        <v>1</v>
      </c>
    </row>
    <row r="344" outlineLevel="1">
      <c r="A344" t="inlineStr" s="14">
        <is>
          <t xml:space="preserve">Haq input value &gt; Field lead monthly salary</t>
        </is>
      </c>
      <c r="AK344" s="8">
        <f>'Model inputs'!AJ58</f>
        <v>60000</v>
      </c>
    </row>
    <row r="345" outlineLevel="1">
      <c r="A345" t="inlineStr" s="14">
        <is>
          <t xml:space="preserve">Haq input value &gt; Field lead start month</t>
        </is>
      </c>
      <c r="AK345" s="8">
        <f>'Model inputs'!AJ59</f>
        <v>6</v>
      </c>
    </row>
    <row r="346" outlineLevel="1">
      <c r="A346" t="inlineStr" s="14">
        <is>
          <t xml:space="preserve">Haq input value &gt; Founder count</t>
        </is>
      </c>
      <c r="AK346" s="8">
        <f>'Model inputs'!AJ60</f>
        <v>1</v>
      </c>
    </row>
    <row r="347" outlineLevel="1">
      <c r="A347" t="inlineStr" s="14">
        <is>
          <t xml:space="preserve">Haq input value &gt; Founder monthly salary</t>
        </is>
      </c>
      <c r="AK347" s="8">
        <f>'Model inputs'!AJ61</f>
        <v>100000</v>
      </c>
    </row>
    <row r="348" outlineLevel="1">
      <c r="A348" t="inlineStr" s="14">
        <is>
          <t xml:space="preserve">Haq input value &gt; Founder start month</t>
        </is>
      </c>
      <c r="AK348" s="8">
        <f>'Model inputs'!AJ62</f>
        <v>7</v>
      </c>
    </row>
    <row r="349" outlineLevel="1">
      <c r="A349" t="inlineStr" s="14">
        <is>
          <t xml:space="preserve">Haq input value &gt; Funding safety reserve</t>
        </is>
      </c>
      <c r="AK349" s="8">
        <f>'Model inputs'!AJ63</f>
        <v>1000000</v>
      </c>
    </row>
    <row r="350" outlineLevel="1">
      <c r="A350" t="inlineStr" s="14">
        <is>
          <t xml:space="preserve">Haq input value &gt; Marketing acquisition allocation</t>
        </is>
      </c>
      <c r="AK350" s="8">
        <f>'Model inputs'!AJ64</f>
        <v>1</v>
      </c>
    </row>
    <row r="351" outlineLevel="1">
      <c r="A351" t="inlineStr" s="14">
        <is>
          <t xml:space="preserve">Haq input value &gt; Marketing monthly</t>
        </is>
      </c>
      <c r="AK351" s="8">
        <f>'Model inputs'!AJ65</f>
        <v>50000</v>
      </c>
    </row>
    <row r="352" outlineLevel="1">
      <c r="A352" t="inlineStr" s="14">
        <is>
          <t xml:space="preserve">Haq input value &gt; Preview AI cost multiplier</t>
        </is>
      </c>
      <c r="AK352" s="8">
        <f>'Model inputs'!AJ66</f>
        <v>1</v>
      </c>
    </row>
    <row r="353" outlineLevel="1">
      <c r="A353" t="inlineStr" s="14">
        <is>
          <t xml:space="preserve">Haq input value &gt; Preview additional funding</t>
        </is>
      </c>
      <c r="AK353" s="8">
        <f>'Model inputs'!AJ67</f>
        <v>0</v>
      </c>
    </row>
    <row r="354" outlineLevel="1">
      <c r="A354" t="inlineStr" s="14">
        <is>
          <t xml:space="preserve">Haq input value &gt; Recommended CSC price</t>
        </is>
      </c>
      <c r="AK354" s="8">
        <f>'Model inputs'!AJ68</f>
        <v>1499</v>
      </c>
    </row>
    <row r="355" outlineLevel="1">
      <c r="A355" t="inlineStr" s="14">
        <is>
          <t xml:space="preserve">Haq input value &gt; Recommended extra price</t>
        </is>
      </c>
      <c r="AK355" s="8">
        <f>'Model inputs'!AJ69</f>
        <v>15</v>
      </c>
    </row>
    <row r="356" outlineLevel="1">
      <c r="A356" t="inlineStr" s="14">
        <is>
          <t xml:space="preserve">Haq input value &gt; Scale begins month</t>
        </is>
      </c>
      <c r="AK356" s="8">
        <f>'Model inputs'!AJ182</f>
        <v>25</v>
      </c>
    </row>
    <row r="357" outlineLevel="1">
      <c r="A357" t="inlineStr" s="14">
        <is>
          <t xml:space="preserve">Haq input value &gt; Scale check cost</t>
        </is>
      </c>
      <c r="AK357" s="8">
        <f>'Model inputs'!AJ71</f>
        <v>4</v>
      </c>
    </row>
    <row r="358" outlineLevel="1">
      <c r="A358" t="inlineStr" s="14">
        <is>
          <t xml:space="preserve">Haq input value &gt; Starting cash</t>
        </is>
      </c>
      <c r="AK358" s="8">
        <f>'Model inputs'!AJ72</f>
        <v>2500000</v>
      </c>
    </row>
    <row r="359" outlineLevel="1">
      <c r="A359" t="inlineStr" s="14">
        <is>
          <t xml:space="preserve">Haq input value &gt; Uncached check cost</t>
        </is>
      </c>
      <c r="AK359" s="8">
        <f>'Model inputs'!AJ73</f>
        <v>20</v>
      </c>
    </row>
    <row r="360">
      <c r="A360" t="inlineStr" s="13">
        <is>
          <t xml:space="preserve">Haq Net cash flow · Haq Ending cash · Main Scenario · Main Scenario</t>
        </is>
      </c>
      <c r="B360" s="9">
        <f>'Model inputs'!B372-'Model inputs'!B369-'Model inputs'!B366-'Model inputs'!B378</f>
        <v>-75000</v>
      </c>
      <c r="C360" s="9">
        <f>'Model inputs'!C372-'Model inputs'!C369-'Model inputs'!C366-'Model inputs'!C378</f>
        <v>-75000</v>
      </c>
      <c r="D360" s="9">
        <f>'Model inputs'!D372-'Model inputs'!D369-'Model inputs'!D366-'Model inputs'!D378</f>
        <v>-75000</v>
      </c>
      <c r="E360" s="9">
        <f>'Model inputs'!E372-'Model inputs'!E369-'Model inputs'!E366-'Model inputs'!E378</f>
        <v>-75000</v>
      </c>
      <c r="F360" s="9">
        <f>'Model inputs'!F372-'Model inputs'!F369-'Model inputs'!F366-'Model inputs'!F378</f>
        <v>-75000</v>
      </c>
      <c r="G360" s="9">
        <f>'Model inputs'!G372-'Model inputs'!G369-'Model inputs'!G366-'Model inputs'!G378</f>
        <v>-75000</v>
      </c>
      <c r="H360" s="9">
        <f>'Model inputs'!H372-'Model inputs'!H369-'Model inputs'!H366-'Model inputs'!H378</f>
        <v>-75000</v>
      </c>
      <c r="I360" s="9">
        <f>'Model inputs'!I372-'Model inputs'!I369-'Model inputs'!I366-'Model inputs'!I378</f>
        <v>-75000</v>
      </c>
      <c r="J360" s="9">
        <f>'Model inputs'!J372-'Model inputs'!J369-'Model inputs'!J366-'Model inputs'!J378</f>
        <v>-75000</v>
      </c>
      <c r="K360" s="9">
        <f>'Model inputs'!K372-'Model inputs'!K369-'Model inputs'!K366-'Model inputs'!K378</f>
        <v>-75000</v>
      </c>
      <c r="L360" s="9">
        <f>'Model inputs'!L372-'Model inputs'!L369-'Model inputs'!L366-'Model inputs'!L378</f>
        <v>-225000</v>
      </c>
      <c r="M360" s="9">
        <f>'Model inputs'!M372-'Model inputs'!M369-'Model inputs'!M366-'Model inputs'!M378</f>
        <v>-225000</v>
      </c>
      <c r="N360" s="9">
        <f>'Model inputs'!N372-'Model inputs'!N369-'Model inputs'!N366-'Model inputs'!N378</f>
        <v>-225000</v>
      </c>
      <c r="O360" s="9">
        <f>'Model inputs'!O372-'Model inputs'!O369-'Model inputs'!O366-'Model inputs'!O378</f>
        <v>-241589</v>
      </c>
      <c r="P360" s="9">
        <f>'Model inputs'!P372-'Model inputs'!P369-'Model inputs'!P366-'Model inputs'!P378</f>
        <v>-186577.35</v>
      </c>
      <c r="Q360" s="9">
        <f>'Model inputs'!Q372-'Model inputs'!Q369-'Model inputs'!Q366-'Model inputs'!Q378</f>
        <v>128331.88083333336</v>
      </c>
      <c r="R360" s="9">
        <f>'Model inputs'!R372-'Model inputs'!R369-'Model inputs'!R366-'Model inputs'!R378</f>
        <v>-355040.2120416667</v>
      </c>
      <c r="S360" s="9">
        <f>'Model inputs'!S372-'Model inputs'!S369-'Model inputs'!S366-'Model inputs'!S378</f>
        <v>-347418.11884791666</v>
      </c>
      <c r="T360" s="9">
        <f>'Model inputs'!T372-'Model inputs'!T369-'Model inputs'!T366-'Model inputs'!T378</f>
        <v>512151.4549915623</v>
      </c>
      <c r="U360" s="9">
        <f>'Model inputs'!U372-'Model inputs'!U369-'Model inputs'!U366-'Model inputs'!U378</f>
        <v>-272254.8683847032</v>
      </c>
      <c r="V360" s="9">
        <f>'Model inputs'!V372-'Model inputs'!V369-'Model inputs'!V366-'Model inputs'!V378</f>
        <v>-252335.5986424087</v>
      </c>
      <c r="W360" s="9">
        <f>'Model inputs'!W372-'Model inputs'!W369-'Model inputs'!W366-'Model inputs'!W378</f>
        <v>635675.3306185218</v>
      </c>
      <c r="X360" s="9">
        <f>'Model inputs'!X372-'Model inputs'!X369-'Model inputs'!X366-'Model inputs'!X378</f>
        <v>-225961.49478870007</v>
      </c>
      <c r="Y360" s="9">
        <f>'Model inputs'!Y372-'Model inputs'!Y369-'Model inputs'!Y366-'Model inputs'!Y378</f>
        <v>-204843.8440070051</v>
      </c>
      <c r="Z360" s="9">
        <f>'Model inputs'!Z372-'Model inputs'!Z369-'Model inputs'!Z366-'Model inputs'!Z378</f>
        <v>201087.28772527736</v>
      </c>
      <c r="AA360" s="9">
        <f>'Model inputs'!AA372-'Model inputs'!AA369-'Model inputs'!AA366-'Model inputs'!AA378</f>
        <v>-160984.61911593098</v>
      </c>
      <c r="AB360" s="9">
        <f>'Model inputs'!AB372-'Model inputs'!AB369-'Model inputs'!AB366-'Model inputs'!AB378</f>
        <v>-128867.31198332051</v>
      </c>
      <c r="AC360" s="9">
        <f>'Model inputs'!AC372-'Model inputs'!AC369-'Model inputs'!AC366-'Model inputs'!AC378</f>
        <v>1509700.9245525147</v>
      </c>
      <c r="AD360" s="9">
        <f>'Model inputs'!AD372-'Model inputs'!AD369-'Model inputs'!AD366-'Model inputs'!AD378</f>
        <v>-62823.936764608196</v>
      </c>
      <c r="AE360" s="9">
        <f>'Model inputs'!AE372-'Model inputs'!AE369-'Model inputs'!AE366-'Model inputs'!AE378</f>
        <v>-13977.527279299335</v>
      </c>
      <c r="AF360" s="9">
        <f>'Model inputs'!AF372-'Model inputs'!AF369-'Model inputs'!AF366-'Model inputs'!AF378</f>
        <v>1403841.6769621389</v>
      </c>
      <c r="AG360" s="9">
        <f>'Model inputs'!AG372-'Model inputs'!AG369-'Model inputs'!AG366-'Model inputs'!AG378</f>
        <v>98441.05350645969</v>
      </c>
      <c r="AH360" s="9">
        <f>'Model inputs'!AH372-'Model inputs'!AH369-'Model inputs'!AH366-'Model inputs'!AH378</f>
        <v>554376.1698657621</v>
      </c>
      <c r="AI360" s="9">
        <f>'Model inputs'!AI372-'Model inputs'!AI369-'Model inputs'!AI366-'Model inputs'!AI378</f>
        <v>2341442.1786789596</v>
      </c>
    </row>
    <row r="361">
      <c r="A361" t="inlineStr" s="13">
        <is>
          <t xml:space="preserve">Haq Net cash flow · Haq Ending cash · Growth · Growth</t>
        </is>
      </c>
      <c r="B361" s="9">
        <f>'Model inputs'!B373-'Model inputs'!B370-'Model inputs'!B367-'Model inputs'!B379</f>
        <v>-75000</v>
      </c>
      <c r="C361" s="9">
        <f>'Model inputs'!C373-'Model inputs'!C370-'Model inputs'!C367-'Model inputs'!C379</f>
        <v>-75000</v>
      </c>
      <c r="D361" s="9">
        <f>'Model inputs'!D373-'Model inputs'!D370-'Model inputs'!D367-'Model inputs'!D379</f>
        <v>-75000</v>
      </c>
      <c r="E361" s="9">
        <f>'Model inputs'!E373-'Model inputs'!E370-'Model inputs'!E367-'Model inputs'!E379</f>
        <v>-75000</v>
      </c>
      <c r="F361" s="9">
        <f>'Model inputs'!F373-'Model inputs'!F370-'Model inputs'!F367-'Model inputs'!F379</f>
        <v>-75000</v>
      </c>
      <c r="G361" s="9">
        <f>'Model inputs'!G373-'Model inputs'!G370-'Model inputs'!G367-'Model inputs'!G379</f>
        <v>-75000</v>
      </c>
      <c r="H361" s="9">
        <f>'Model inputs'!H373-'Model inputs'!H370-'Model inputs'!H367-'Model inputs'!H379</f>
        <v>-75000</v>
      </c>
      <c r="I361" s="9">
        <f>'Model inputs'!I373-'Model inputs'!I370-'Model inputs'!I367-'Model inputs'!I379</f>
        <v>-75000</v>
      </c>
      <c r="J361" s="9">
        <f>'Model inputs'!J373-'Model inputs'!J370-'Model inputs'!J367-'Model inputs'!J379</f>
        <v>-75000</v>
      </c>
      <c r="K361" s="9">
        <f>'Model inputs'!K373-'Model inputs'!K370-'Model inputs'!K367-'Model inputs'!K379</f>
        <v>-75000</v>
      </c>
      <c r="L361" s="9">
        <f>'Model inputs'!L373-'Model inputs'!L370-'Model inputs'!L367-'Model inputs'!L379</f>
        <v>-225000</v>
      </c>
      <c r="M361" s="9">
        <f>'Model inputs'!M373-'Model inputs'!M370-'Model inputs'!M367-'Model inputs'!M379</f>
        <v>-225000</v>
      </c>
      <c r="N361" s="9">
        <f>'Model inputs'!N373-'Model inputs'!N370-'Model inputs'!N367-'Model inputs'!N379</f>
        <v>-225000</v>
      </c>
      <c r="O361" s="9">
        <f>'Model inputs'!O373-'Model inputs'!O370-'Model inputs'!O367-'Model inputs'!O379</f>
        <v>-241589</v>
      </c>
      <c r="P361" s="9">
        <f>'Model inputs'!P373-'Model inputs'!P370-'Model inputs'!P367-'Model inputs'!P379</f>
        <v>-182568.02999999997</v>
      </c>
      <c r="Q361" s="9">
        <f>'Model inputs'!Q373-'Model inputs'!Q370-'Model inputs'!Q367-'Model inputs'!Q379</f>
        <v>570889.8685666666</v>
      </c>
      <c r="R361" s="9">
        <f>'Model inputs'!R373-'Model inputs'!R370-'Model inputs'!R367-'Model inputs'!R379</f>
        <v>-284108.61692033336</v>
      </c>
      <c r="S361" s="9">
        <f>'Model inputs'!S373-'Model inputs'!S370-'Model inputs'!S367-'Model inputs'!S379</f>
        <v>-263808.18348882324</v>
      </c>
      <c r="T361" s="9">
        <f>'Model inputs'!T373-'Model inputs'!T370-'Model inputs'!T367-'Model inputs'!T379</f>
        <v>1496533.1903025273</v>
      </c>
      <c r="U361" s="9">
        <f>'Model inputs'!U373-'Model inputs'!U370-'Model inputs'!U367-'Model inputs'!U379</f>
        <v>-233325.84831578983</v>
      </c>
      <c r="V361" s="9">
        <f>'Model inputs'!V373-'Model inputs'!V370-'Model inputs'!V367-'Model inputs'!V379</f>
        <v>-195046.8273610531</v>
      </c>
      <c r="W361" s="9">
        <f>'Model inputs'!W373-'Model inputs'!W370-'Model inputs'!W367-'Model inputs'!W379</f>
        <v>1590175.8625847958</v>
      </c>
      <c r="X361" s="9">
        <f>'Model inputs'!X373-'Model inputs'!X370-'Model inputs'!X367-'Model inputs'!X379</f>
        <v>-108083.9045173091</v>
      </c>
      <c r="Y361" s="9">
        <f>'Model inputs'!Y373-'Model inputs'!Y370-'Model inputs'!Y367-'Model inputs'!Y379</f>
        <v>-29673.808736982523</v>
      </c>
      <c r="Z361" s="9">
        <f>'Model inputs'!Z373-'Model inputs'!Z370-'Model inputs'!Z367-'Model inputs'!Z379</f>
        <v>833198.6795706988</v>
      </c>
      <c r="AA361" s="9">
        <f>'Model inputs'!AA373-'Model inputs'!AA370-'Model inputs'!AA367-'Model inputs'!AA379</f>
        <v>179666.32305478724</v>
      </c>
      <c r="AB361" s="9">
        <f>'Model inputs'!AB373-'Model inputs'!AB370-'Model inputs'!AB367-'Model inputs'!AB379</f>
        <v>340280.23027957976</v>
      </c>
      <c r="AC361" s="9">
        <f>'Model inputs'!AC373-'Model inputs'!AC370-'Model inputs'!AC367-'Model inputs'!AC379</f>
        <v>3747526.5591217326</v>
      </c>
      <c r="AD361" s="9">
        <f>'Model inputs'!AD373-'Model inputs'!AD370-'Model inputs'!AD367-'Model inputs'!AD379</f>
        <v>776580.7300846018</v>
      </c>
      <c r="AE361" s="9">
        <f>'Model inputs'!AE373-'Model inputs'!AE370-'Model inputs'!AE367-'Model inputs'!AE379</f>
        <v>1105579.5272074435</v>
      </c>
      <c r="AF361" s="9">
        <f>'Model inputs'!AF373-'Model inputs'!AF370-'Model inputs'!AF367-'Model inputs'!AF379</f>
        <v>4246699.666220119</v>
      </c>
      <c r="AG361" s="9">
        <f>'Model inputs'!AG373-'Model inputs'!AG370-'Model inputs'!AG367-'Model inputs'!AG379</f>
        <v>2037341.8260995524</v>
      </c>
      <c r="AH361" s="9">
        <f>'Model inputs'!AH373-'Model inputs'!AH370-'Model inputs'!AH367-'Model inputs'!AH379</f>
        <v>3474549.035813099</v>
      </c>
      <c r="AI361" s="9">
        <f>'Model inputs'!AI373-'Model inputs'!AI370-'Model inputs'!AI367-'Model inputs'!AI379</f>
        <v>7733688.442149303</v>
      </c>
    </row>
    <row r="362">
      <c r="A362" t="inlineStr" s="13">
        <is>
          <t xml:space="preserve">Haq Net cash flow · Haq Ending cash · Conservative · Conservative</t>
        </is>
      </c>
      <c r="B362" s="9">
        <f>'Model inputs'!B374-'Model inputs'!B371-'Model inputs'!B368-'Model inputs'!B380</f>
        <v>-75000</v>
      </c>
      <c r="C362" s="9">
        <f>'Model inputs'!C374-'Model inputs'!C371-'Model inputs'!C368-'Model inputs'!C380</f>
        <v>-75000</v>
      </c>
      <c r="D362" s="9">
        <f>'Model inputs'!D374-'Model inputs'!D371-'Model inputs'!D368-'Model inputs'!D380</f>
        <v>-75000</v>
      </c>
      <c r="E362" s="9">
        <f>'Model inputs'!E374-'Model inputs'!E371-'Model inputs'!E368-'Model inputs'!E380</f>
        <v>-75000</v>
      </c>
      <c r="F362" s="9">
        <f>'Model inputs'!F374-'Model inputs'!F371-'Model inputs'!F368-'Model inputs'!F380</f>
        <v>-75000</v>
      </c>
      <c r="G362" s="9">
        <f>'Model inputs'!G374-'Model inputs'!G371-'Model inputs'!G368-'Model inputs'!G380</f>
        <v>-75000</v>
      </c>
      <c r="H362" s="9">
        <f>'Model inputs'!H374-'Model inputs'!H371-'Model inputs'!H368-'Model inputs'!H380</f>
        <v>-75000</v>
      </c>
      <c r="I362" s="9">
        <f>'Model inputs'!I374-'Model inputs'!I371-'Model inputs'!I368-'Model inputs'!I380</f>
        <v>-75000</v>
      </c>
      <c r="J362" s="9">
        <f>'Model inputs'!J374-'Model inputs'!J371-'Model inputs'!J368-'Model inputs'!J380</f>
        <v>-75000</v>
      </c>
      <c r="K362" s="9">
        <f>'Model inputs'!K374-'Model inputs'!K371-'Model inputs'!K368-'Model inputs'!K380</f>
        <v>-75000</v>
      </c>
      <c r="L362" s="9">
        <f>'Model inputs'!L374-'Model inputs'!L371-'Model inputs'!L368-'Model inputs'!L380</f>
        <v>-225000</v>
      </c>
      <c r="M362" s="9">
        <f>'Model inputs'!M374-'Model inputs'!M371-'Model inputs'!M368-'Model inputs'!M380</f>
        <v>-225000</v>
      </c>
      <c r="N362" s="9">
        <f>'Model inputs'!N374-'Model inputs'!N371-'Model inputs'!N368-'Model inputs'!N380</f>
        <v>-225000</v>
      </c>
      <c r="O362" s="9">
        <f>'Model inputs'!O374-'Model inputs'!O371-'Model inputs'!O368-'Model inputs'!O380</f>
        <v>-241589</v>
      </c>
      <c r="P362" s="9">
        <f>'Model inputs'!P374-'Model inputs'!P371-'Model inputs'!P368-'Model inputs'!P380</f>
        <v>-190586.67</v>
      </c>
      <c r="Q362" s="9">
        <f>'Model inputs'!Q374-'Model inputs'!Q371-'Model inputs'!Q368-'Model inputs'!Q380</f>
        <v>-64981.35343333334</v>
      </c>
      <c r="R362" s="9">
        <f>'Model inputs'!R374-'Model inputs'!R371-'Model inputs'!R368-'Model inputs'!R380</f>
        <v>-358917.98153633333</v>
      </c>
      <c r="S362" s="9">
        <f>'Model inputs'!S374-'Model inputs'!S371-'Model inputs'!S368-'Model inputs'!S380</f>
        <v>-357822.70848242333</v>
      </c>
      <c r="T362" s="9">
        <f>'Model inputs'!T374-'Model inputs'!T371-'Model inputs'!T368-'Model inputs'!T380</f>
        <v>68707.50609643728</v>
      </c>
      <c r="U362" s="9">
        <f>'Model inputs'!U374-'Model inputs'!U371-'Model inputs'!U368-'Model inputs'!U380</f>
        <v>-370130.51872066956</v>
      </c>
      <c r="V362" s="9">
        <f>'Model inputs'!V374-'Model inputs'!V371-'Model inputs'!V368-'Model inputs'!V380</f>
        <v>-368933.6842822897</v>
      </c>
      <c r="W362" s="9">
        <f>'Model inputs'!W374-'Model inputs'!W371-'Model inputs'!W368-'Model inputs'!W380</f>
        <v>57701.13852257497</v>
      </c>
      <c r="X362" s="9">
        <f>'Model inputs'!X374-'Model inputs'!X371-'Model inputs'!X368-'Model inputs'!X380</f>
        <v>-381029.1398217477</v>
      </c>
      <c r="Y362" s="9">
        <f>'Model inputs'!Y374-'Model inputs'!Y371-'Model inputs'!Y368-'Model inputs'!Y380</f>
        <v>-379721.3265164002</v>
      </c>
      <c r="Z362" s="9">
        <f>'Model inputs'!Z374-'Model inputs'!Z371-'Model inputs'!Z368-'Model inputs'!Z380</f>
        <v>-193801.36214522552</v>
      </c>
      <c r="AA362" s="9">
        <f>'Model inputs'!AA374-'Model inputs'!AA371-'Model inputs'!AA368-'Model inputs'!AA380</f>
        <v>-387413.9030095823</v>
      </c>
      <c r="AB362" s="9">
        <f>'Model inputs'!AB374-'Model inputs'!AB371-'Model inputs'!AB368-'Model inputs'!AB380</f>
        <v>-385984.8200998698</v>
      </c>
      <c r="AC362" s="9">
        <f>'Model inputs'!AC374-'Model inputs'!AC371-'Model inputs'!AC368-'Model inputs'!AC380</f>
        <v>406303.8019638008</v>
      </c>
      <c r="AD362" s="9">
        <f>'Model inputs'!AD374-'Model inputs'!AD371-'Model inputs'!AD368-'Model inputs'!AD380</f>
        <v>-399680.0839772852</v>
      </c>
      <c r="AE362" s="9">
        <f>'Model inputs'!AE374-'Model inputs'!AE371-'Model inputs'!AE368-'Model inputs'!AE380</f>
        <v>-398118.4864966037</v>
      </c>
      <c r="AF362" s="9">
        <f>'Model inputs'!AF374-'Model inputs'!AF371-'Model inputs'!AF368-'Model inputs'!AF380</f>
        <v>278062.8755751648</v>
      </c>
      <c r="AG362" s="9">
        <f>'Model inputs'!AG374-'Model inputs'!AG371-'Model inputs'!AG368-'Model inputs'!AG380</f>
        <v>-405280.42565758026</v>
      </c>
      <c r="AH362" s="9">
        <f>'Model inputs'!AH374-'Model inputs'!AH371-'Model inputs'!AH368-'Model inputs'!AH380</f>
        <v>-219001.109260641</v>
      </c>
      <c r="AI362" s="9">
        <f>'Model inputs'!AI374-'Model inputs'!AI371-'Model inputs'!AI368-'Model inputs'!AI380</f>
        <v>623573.1491282064</v>
      </c>
    </row>
    <row r="363">
      <c r="A363" t="inlineStr" s="13">
        <is>
          <t xml:space="preserve">Haq Operating profit · Haq Future minimum profit · Main Scenario · Main Scenario</t>
        </is>
      </c>
      <c r="B363" s="9">
        <f>'Model inputs'!B375-'Model inputs'!B378</f>
        <v>-75000</v>
      </c>
      <c r="C363" s="9">
        <f>'Model inputs'!C375-'Model inputs'!C378</f>
        <v>-75000</v>
      </c>
      <c r="D363" s="9">
        <f>'Model inputs'!D375-'Model inputs'!D378</f>
        <v>-75000</v>
      </c>
      <c r="E363" s="9">
        <f>'Model inputs'!E375-'Model inputs'!E378</f>
        <v>-75000</v>
      </c>
      <c r="F363" s="9">
        <f>'Model inputs'!F375-'Model inputs'!F378</f>
        <v>-75000</v>
      </c>
      <c r="G363" s="9">
        <f>'Model inputs'!G375-'Model inputs'!G378</f>
        <v>-75000</v>
      </c>
      <c r="H363" s="9">
        <f>'Model inputs'!H375-'Model inputs'!H378</f>
        <v>-75000</v>
      </c>
      <c r="I363" s="9">
        <f>'Model inputs'!I375-'Model inputs'!I378</f>
        <v>-75000</v>
      </c>
      <c r="J363" s="9">
        <f>'Model inputs'!J375-'Model inputs'!J378</f>
        <v>-75000</v>
      </c>
      <c r="K363" s="9">
        <f>'Model inputs'!K375-'Model inputs'!K378</f>
        <v>-75000</v>
      </c>
      <c r="L363" s="9">
        <f>'Model inputs'!L375-'Model inputs'!L378</f>
        <v>-225000</v>
      </c>
      <c r="M363" s="9">
        <f>'Model inputs'!M375-'Model inputs'!M378</f>
        <v>-225000</v>
      </c>
      <c r="N363" s="9">
        <f>'Model inputs'!N375-'Model inputs'!N378</f>
        <v>-225000</v>
      </c>
      <c r="O363" s="9">
        <f>'Model inputs'!O375-'Model inputs'!O378</f>
        <v>-241589</v>
      </c>
      <c r="P363" s="9">
        <f>'Model inputs'!P375-'Model inputs'!P378</f>
        <v>-186577.35</v>
      </c>
      <c r="Q363" s="9">
        <f>'Model inputs'!Q375-'Model inputs'!Q378</f>
        <v>-320834.7858333333</v>
      </c>
      <c r="R363" s="9">
        <f>'Model inputs'!R375-'Model inputs'!R378</f>
        <v>-314206.87870833336</v>
      </c>
      <c r="S363" s="9">
        <f>'Model inputs'!S375-'Model inputs'!S378</f>
        <v>-306584.78551458335</v>
      </c>
      <c r="T363" s="9">
        <f>'Model inputs'!T375-'Model inputs'!T378</f>
        <v>-345348.5450084375</v>
      </c>
      <c r="U363" s="9">
        <f>'Model inputs'!U375-'Model inputs'!U378</f>
        <v>-149754.8683847032</v>
      </c>
      <c r="V363" s="9">
        <f>'Model inputs'!V375-'Model inputs'!V378</f>
        <v>-129835.59864240873</v>
      </c>
      <c r="W363" s="9">
        <f>'Model inputs'!W375-'Model inputs'!W378</f>
        <v>-140158.00271481165</v>
      </c>
      <c r="X363" s="9">
        <f>'Model inputs'!X375-'Model inputs'!X378</f>
        <v>-21794.828122033447</v>
      </c>
      <c r="Y363" s="9">
        <f>'Model inputs'!Y375-'Model inputs'!Y378</f>
        <v>-677.1773403384723</v>
      </c>
      <c r="Z363" s="9">
        <f>'Model inputs'!Z375-'Model inputs'!Z378</f>
        <v>-43912.71227472258</v>
      </c>
      <c r="AA363" s="9">
        <f>'Model inputs'!AA375-'Model inputs'!AA378</f>
        <v>84015.38088406896</v>
      </c>
      <c r="AB363" s="9">
        <f>'Model inputs'!AB375-'Model inputs'!AB378</f>
        <v>116132.68801667949</v>
      </c>
      <c r="AC363" s="9">
        <f>'Model inputs'!AC375-'Model inputs'!AC378</f>
        <v>141784.25788584794</v>
      </c>
      <c r="AD363" s="9">
        <f>'Model inputs'!AD375-'Model inputs'!AD378</f>
        <v>284259.3965687251</v>
      </c>
      <c r="AE363" s="9">
        <f>'Model inputs'!AE375-'Model inputs'!AE378</f>
        <v>333105.8060540339</v>
      </c>
      <c r="AF363" s="9">
        <f>'Model inputs'!AF375-'Model inputs'!AF378</f>
        <v>321758.3436288057</v>
      </c>
      <c r="AG363" s="9">
        <f>'Model inputs'!AG375-'Model inputs'!AG378</f>
        <v>486357.72017312644</v>
      </c>
      <c r="AH363" s="9">
        <f>'Model inputs'!AH375-'Model inputs'!AH378</f>
        <v>493126.1698657619</v>
      </c>
      <c r="AI363" s="9">
        <f>'Model inputs'!AI375-'Model inputs'!AI378</f>
        <v>667275.5120122929</v>
      </c>
    </row>
    <row r="364">
      <c r="A364" t="inlineStr" s="13">
        <is>
          <t xml:space="preserve">Haq Operating profit · Haq Future minimum profit · Growth · Growth</t>
        </is>
      </c>
      <c r="B364" s="9">
        <f>'Model inputs'!B376-'Model inputs'!B379</f>
        <v>-75000</v>
      </c>
      <c r="C364" s="9">
        <f>'Model inputs'!C376-'Model inputs'!C379</f>
        <v>-75000</v>
      </c>
      <c r="D364" s="9">
        <f>'Model inputs'!D376-'Model inputs'!D379</f>
        <v>-75000</v>
      </c>
      <c r="E364" s="9">
        <f>'Model inputs'!E376-'Model inputs'!E379</f>
        <v>-75000</v>
      </c>
      <c r="F364" s="9">
        <f>'Model inputs'!F376-'Model inputs'!F379</f>
        <v>-75000</v>
      </c>
      <c r="G364" s="9">
        <f>'Model inputs'!G376-'Model inputs'!G379</f>
        <v>-75000</v>
      </c>
      <c r="H364" s="9">
        <f>'Model inputs'!H376-'Model inputs'!H379</f>
        <v>-75000</v>
      </c>
      <c r="I364" s="9">
        <f>'Model inputs'!I376-'Model inputs'!I379</f>
        <v>-75000</v>
      </c>
      <c r="J364" s="9">
        <f>'Model inputs'!J376-'Model inputs'!J379</f>
        <v>-75000</v>
      </c>
      <c r="K364" s="9">
        <f>'Model inputs'!K376-'Model inputs'!K379</f>
        <v>-75000</v>
      </c>
      <c r="L364" s="9">
        <f>'Model inputs'!L376-'Model inputs'!L379</f>
        <v>-225000</v>
      </c>
      <c r="M364" s="9">
        <f>'Model inputs'!M376-'Model inputs'!M379</f>
        <v>-225000</v>
      </c>
      <c r="N364" s="9">
        <f>'Model inputs'!N376-'Model inputs'!N379</f>
        <v>-225000</v>
      </c>
      <c r="O364" s="9">
        <f>'Model inputs'!O376-'Model inputs'!O379</f>
        <v>-241589</v>
      </c>
      <c r="P364" s="9">
        <f>'Model inputs'!P376-'Model inputs'!P379</f>
        <v>-182568.03</v>
      </c>
      <c r="Q364" s="9">
        <f>'Model inputs'!Q376-'Model inputs'!Q379</f>
        <v>-327443.4647666667</v>
      </c>
      <c r="R364" s="9">
        <f>'Model inputs'!R376-'Model inputs'!R379</f>
        <v>-202441.95025366667</v>
      </c>
      <c r="S364" s="9">
        <f>'Model inputs'!S376-'Model inputs'!S379</f>
        <v>-182141.5168221566</v>
      </c>
      <c r="T364" s="9">
        <f>'Model inputs'!T376-'Model inputs'!T379</f>
        <v>-218466.8096974722</v>
      </c>
      <c r="U364" s="9">
        <f>'Model inputs'!U376-'Model inputs'!U379</f>
        <v>11674.15168421017</v>
      </c>
      <c r="V364" s="9">
        <f>'Model inputs'!V376-'Model inputs'!V379</f>
        <v>49953.17263894691</v>
      </c>
      <c r="W364" s="9">
        <f>'Model inputs'!W376-'Model inputs'!W379</f>
        <v>38509.19591812929</v>
      </c>
      <c r="X364" s="9">
        <f>'Model inputs'!X376-'Model inputs'!X379</f>
        <v>300249.4288160241</v>
      </c>
      <c r="Y364" s="9">
        <f>'Model inputs'!Y376-'Model inputs'!Y379</f>
        <v>378659.52459635073</v>
      </c>
      <c r="Z364" s="9">
        <f>'Model inputs'!Z376-'Model inputs'!Z379</f>
        <v>343198.67957069876</v>
      </c>
      <c r="AA364" s="9">
        <f>'Model inputs'!AA376-'Model inputs'!AA379</f>
        <v>669666.3230547872</v>
      </c>
      <c r="AB364" s="9">
        <f>'Model inputs'!AB376-'Model inputs'!AB379</f>
        <v>830280.2302795798</v>
      </c>
      <c r="AC364" s="9">
        <f>'Model inputs'!AC376-'Model inputs'!AC379</f>
        <v>1011693.2257883996</v>
      </c>
      <c r="AD364" s="9">
        <f>'Model inputs'!AD376-'Model inputs'!AD379</f>
        <v>1470747.3967512678</v>
      </c>
      <c r="AE364" s="9">
        <f>'Model inputs'!AE376-'Model inputs'!AE379</f>
        <v>1799746.19387411</v>
      </c>
      <c r="AF364" s="9">
        <f>'Model inputs'!AF376-'Model inputs'!AF379</f>
        <v>2082532.9995534532</v>
      </c>
      <c r="AG364" s="9">
        <f>'Model inputs'!AG376-'Model inputs'!AG379</f>
        <v>2813175.159432886</v>
      </c>
      <c r="AH364" s="9">
        <f>'Model inputs'!AH376-'Model inputs'!AH379</f>
        <v>3352049.035813099</v>
      </c>
      <c r="AI364" s="9">
        <f>'Model inputs'!AI376-'Model inputs'!AI379</f>
        <v>4385355.108815969</v>
      </c>
    </row>
    <row r="365">
      <c r="A365" t="inlineStr" s="13">
        <is>
          <t xml:space="preserve">Haq Operating profit · Haq Future minimum profit · Conservative · Conservative</t>
        </is>
      </c>
      <c r="B365" s="9">
        <f>'Model inputs'!B377-'Model inputs'!B380</f>
        <v>-75000</v>
      </c>
      <c r="C365" s="9">
        <f>'Model inputs'!C377-'Model inputs'!C380</f>
        <v>-75000</v>
      </c>
      <c r="D365" s="9">
        <f>'Model inputs'!D377-'Model inputs'!D380</f>
        <v>-75000</v>
      </c>
      <c r="E365" s="9">
        <f>'Model inputs'!E377-'Model inputs'!E380</f>
        <v>-75000</v>
      </c>
      <c r="F365" s="9">
        <f>'Model inputs'!F377-'Model inputs'!F380</f>
        <v>-75000</v>
      </c>
      <c r="G365" s="9">
        <f>'Model inputs'!G377-'Model inputs'!G380</f>
        <v>-75000</v>
      </c>
      <c r="H365" s="9">
        <f>'Model inputs'!H377-'Model inputs'!H380</f>
        <v>-75000</v>
      </c>
      <c r="I365" s="9">
        <f>'Model inputs'!I377-'Model inputs'!I380</f>
        <v>-75000</v>
      </c>
      <c r="J365" s="9">
        <f>'Model inputs'!J377-'Model inputs'!J380</f>
        <v>-75000</v>
      </c>
      <c r="K365" s="9">
        <f>'Model inputs'!K377-'Model inputs'!K380</f>
        <v>-75000</v>
      </c>
      <c r="L365" s="9">
        <f>'Model inputs'!L377-'Model inputs'!L380</f>
        <v>-225000</v>
      </c>
      <c r="M365" s="9">
        <f>'Model inputs'!M377-'Model inputs'!M380</f>
        <v>-225000</v>
      </c>
      <c r="N365" s="9">
        <f>'Model inputs'!N377-'Model inputs'!N380</f>
        <v>-225000</v>
      </c>
      <c r="O365" s="9">
        <f>'Model inputs'!O377-'Model inputs'!O380</f>
        <v>-241589</v>
      </c>
      <c r="P365" s="9">
        <f>'Model inputs'!P377-'Model inputs'!P380</f>
        <v>-190586.67</v>
      </c>
      <c r="Q365" s="9">
        <f>'Model inputs'!Q377-'Model inputs'!Q380</f>
        <v>-289564.68676666665</v>
      </c>
      <c r="R365" s="9">
        <f>'Model inputs'!R377-'Model inputs'!R380</f>
        <v>-338501.3148696667</v>
      </c>
      <c r="S365" s="9">
        <f>'Model inputs'!S377-'Model inputs'!S380</f>
        <v>-337406.04181575665</v>
      </c>
      <c r="T365" s="9">
        <f>'Model inputs'!T377-'Model inputs'!T380</f>
        <v>-360042.49390356266</v>
      </c>
      <c r="U365" s="9">
        <f>'Model inputs'!U377-'Model inputs'!U380</f>
        <v>-308880.51872066956</v>
      </c>
      <c r="V365" s="9">
        <f>'Model inputs'!V377-'Model inputs'!V380</f>
        <v>-307683.6842822897</v>
      </c>
      <c r="W365" s="9">
        <f>'Model inputs'!W377-'Model inputs'!W380</f>
        <v>-330215.5281440917</v>
      </c>
      <c r="X365" s="9">
        <f>'Model inputs'!X377-'Model inputs'!X380</f>
        <v>-278945.8064884144</v>
      </c>
      <c r="Y365" s="9">
        <f>'Model inputs'!Y377-'Model inputs'!Y380</f>
        <v>-277637.99318306684</v>
      </c>
      <c r="Z365" s="9">
        <f>'Model inputs'!Z377-'Model inputs'!Z380</f>
        <v>-316301.3621452255</v>
      </c>
      <c r="AA365" s="9">
        <f>'Model inputs'!AA377-'Model inputs'!AA380</f>
        <v>-264913.9030095823</v>
      </c>
      <c r="AB365" s="9">
        <f>'Model inputs'!AB377-'Model inputs'!AB380</f>
        <v>-263484.8200998698</v>
      </c>
      <c r="AC365" s="9">
        <f>'Model inputs'!AC377-'Model inputs'!AC380</f>
        <v>-277654.5313695326</v>
      </c>
      <c r="AD365" s="9">
        <f>'Model inputs'!AD377-'Model inputs'!AD380</f>
        <v>-226138.41731061853</v>
      </c>
      <c r="AE365" s="9">
        <f>'Model inputs'!AE377-'Model inputs'!AE380</f>
        <v>-224576.81982993704</v>
      </c>
      <c r="AF365" s="9">
        <f>'Model inputs'!AF377-'Model inputs'!AF380</f>
        <v>-262978.79109150183</v>
      </c>
      <c r="AG365" s="9">
        <f>'Model inputs'!AG377-'Model inputs'!AG380</f>
        <v>-211322.09232424689</v>
      </c>
      <c r="AH365" s="9">
        <f>'Model inputs'!AH377-'Model inputs'!AH380</f>
        <v>-249626.109260641</v>
      </c>
      <c r="AI365" s="9">
        <f>'Model inputs'!AI377-'Model inputs'!AI380</f>
        <v>-213510.1842051269</v>
      </c>
    </row>
    <row r="366">
      <c r="A366" t="inlineStr" s="13">
        <is>
          <t xml:space="preserve">Haq AI cost · Haq Ending cash · Main Scenario · Main Scenario</t>
        </is>
      </c>
      <c r="B366" s="9">
        <f>'Model inputs'!B408*'Model inputs'!B381</f>
        <v>0</v>
      </c>
      <c r="C366" s="9">
        <f>'Model inputs'!C408*'Model inputs'!C381</f>
        <v>0</v>
      </c>
      <c r="D366" s="9">
        <f>'Model inputs'!D408*'Model inputs'!D381</f>
        <v>0</v>
      </c>
      <c r="E366" s="9">
        <f>'Model inputs'!E408*'Model inputs'!E381</f>
        <v>0</v>
      </c>
      <c r="F366" s="9">
        <f>'Model inputs'!F408*'Model inputs'!F381</f>
        <v>0</v>
      </c>
      <c r="G366" s="9">
        <f>'Model inputs'!G408*'Model inputs'!G381</f>
        <v>0</v>
      </c>
      <c r="H366" s="9">
        <f>'Model inputs'!H408*'Model inputs'!H381</f>
        <v>0</v>
      </c>
      <c r="I366" s="9">
        <f>'Model inputs'!I408*'Model inputs'!I381</f>
        <v>0</v>
      </c>
      <c r="J366" s="9">
        <f>'Model inputs'!J408*'Model inputs'!J381</f>
        <v>0</v>
      </c>
      <c r="K366" s="9">
        <f>'Model inputs'!K408*'Model inputs'!K381</f>
        <v>0</v>
      </c>
      <c r="L366" s="9">
        <f>'Model inputs'!L408*'Model inputs'!L381</f>
        <v>0</v>
      </c>
      <c r="M366" s="9">
        <f>'Model inputs'!M408*'Model inputs'!M381</f>
        <v>0</v>
      </c>
      <c r="N366" s="9">
        <f>'Model inputs'!N408*'Model inputs'!N381</f>
        <v>0</v>
      </c>
      <c r="O366" s="9">
        <f>'Model inputs'!O408*'Model inputs'!O381</f>
        <v>40000</v>
      </c>
      <c r="P366" s="9">
        <f>'Model inputs'!P408*'Model inputs'!P381</f>
        <v>45999.99999999999</v>
      </c>
      <c r="Q366" s="9">
        <f>'Model inputs'!Q408*'Model inputs'!Q381</f>
        <v>73733.33333333331</v>
      </c>
      <c r="R366" s="9">
        <f>'Model inputs'!R408*'Model inputs'!R381</f>
        <v>81668.33333333331</v>
      </c>
      <c r="S366" s="9">
        <f>'Model inputs'!S408*'Model inputs'!S381</f>
        <v>90793.5833333333</v>
      </c>
      <c r="T366" s="9">
        <f>'Model inputs'!T408*'Model inputs'!T381</f>
        <v>130454.28749999995</v>
      </c>
      <c r="U366" s="9">
        <f>'Model inputs'!U408*'Model inputs'!U381</f>
        <v>57008.97224999998</v>
      </c>
      <c r="V366" s="9">
        <f>'Model inputs'!V408*'Model inputs'!V381</f>
        <v>62560.31808749997</v>
      </c>
      <c r="W366" s="9">
        <f>'Model inputs'!W408*'Model inputs'!W381</f>
        <v>80611.03246729163</v>
      </c>
      <c r="X366" s="9">
        <f>'Model inputs'!X408*'Model inputs'!X381</f>
        <v>87952.68733738537</v>
      </c>
      <c r="Y366" s="9">
        <f>'Model inputs'!Y408*'Model inputs'!Y381</f>
        <v>96395.59043799317</v>
      </c>
      <c r="Z366" s="9">
        <f>'Model inputs'!Z408*'Model inputs'!Z381</f>
        <v>114438.26233702549</v>
      </c>
      <c r="AA366" s="9">
        <f>'Model inputs'!AA408*'Model inputs'!AA381</f>
        <v>125604.0016875793</v>
      </c>
      <c r="AB366" s="9">
        <f>'Model inputs'!AB408*'Model inputs'!AB381</f>
        <v>138444.60194071618</v>
      </c>
      <c r="AC366" s="9">
        <f>'Model inputs'!AC408*'Model inputs'!AC381</f>
        <v>166544.62556515692</v>
      </c>
      <c r="AD366" s="9">
        <f>'Model inputs'!AD408*'Model inputs'!AD381</f>
        <v>183526.31939993048</v>
      </c>
      <c r="AE366" s="9">
        <f>'Model inputs'!AE408*'Model inputs'!AE381</f>
        <v>203055.26730992005</v>
      </c>
      <c r="AF366" s="9">
        <f>'Model inputs'!AF408*'Model inputs'!AF381</f>
        <v>233846.89073974133</v>
      </c>
      <c r="AG366" s="9">
        <f>'Model inputs'!AG408*'Model inputs'!AG381</f>
        <v>259673.92435070252</v>
      </c>
      <c r="AH366" s="9">
        <f>'Model inputs'!AH408*'Model inputs'!AH381</f>
        <v>297708.34633664123</v>
      </c>
      <c r="AI366" s="9">
        <f>'Model inputs'!AI408*'Model inputs'!AI381</f>
        <v>345197.9316204707</v>
      </c>
    </row>
    <row r="367">
      <c r="A367" t="inlineStr" s="13">
        <is>
          <t xml:space="preserve">Haq AI cost · Haq Ending cash · Growth · Growth</t>
        </is>
      </c>
      <c r="B367" s="9">
        <f>'Model inputs'!B409*'Model inputs'!B382</f>
        <v>0</v>
      </c>
      <c r="C367" s="9">
        <f>'Model inputs'!C409*'Model inputs'!C382</f>
        <v>0</v>
      </c>
      <c r="D367" s="9">
        <f>'Model inputs'!D409*'Model inputs'!D382</f>
        <v>0</v>
      </c>
      <c r="E367" s="9">
        <f>'Model inputs'!E409*'Model inputs'!E382</f>
        <v>0</v>
      </c>
      <c r="F367" s="9">
        <f>'Model inputs'!F409*'Model inputs'!F382</f>
        <v>0</v>
      </c>
      <c r="G367" s="9">
        <f>'Model inputs'!G409*'Model inputs'!G382</f>
        <v>0</v>
      </c>
      <c r="H367" s="9">
        <f>'Model inputs'!H409*'Model inputs'!H382</f>
        <v>0</v>
      </c>
      <c r="I367" s="9">
        <f>'Model inputs'!I409*'Model inputs'!I382</f>
        <v>0</v>
      </c>
      <c r="J367" s="9">
        <f>'Model inputs'!J409*'Model inputs'!J382</f>
        <v>0</v>
      </c>
      <c r="K367" s="9">
        <f>'Model inputs'!K409*'Model inputs'!K382</f>
        <v>0</v>
      </c>
      <c r="L367" s="9">
        <f>'Model inputs'!L409*'Model inputs'!L382</f>
        <v>0</v>
      </c>
      <c r="M367" s="9">
        <f>'Model inputs'!M409*'Model inputs'!M382</f>
        <v>0</v>
      </c>
      <c r="N367" s="9">
        <f>'Model inputs'!N409*'Model inputs'!N382</f>
        <v>0</v>
      </c>
      <c r="O367" s="9">
        <f>'Model inputs'!O409*'Model inputs'!O382</f>
        <v>40000</v>
      </c>
      <c r="P367" s="9">
        <f>'Model inputs'!P409*'Model inputs'!P382</f>
        <v>50800</v>
      </c>
      <c r="Q367" s="9">
        <f>'Model inputs'!Q409*'Model inputs'!Q382</f>
        <v>42473.066666666666</v>
      </c>
      <c r="R367" s="9">
        <f>'Model inputs'!R409*'Model inputs'!R382</f>
        <v>49440.79466666666</v>
      </c>
      <c r="S367" s="9">
        <f>'Model inputs'!S409*'Model inputs'!S382</f>
        <v>58289.80922666667</v>
      </c>
      <c r="T367" s="9">
        <f>'Model inputs'!T409*'Model inputs'!T382</f>
        <v>92861.3910512</v>
      </c>
      <c r="U367" s="9">
        <f>'Model inputs'!U409*'Model inputs'!U382</f>
        <v>107133.966635024</v>
      </c>
      <c r="V367" s="9">
        <f>'Model inputs'!V409*'Model inputs'!V382</f>
        <v>125260.13762648049</v>
      </c>
      <c r="W367" s="9">
        <f>'Model inputs'!W409*'Model inputs'!W382</f>
        <v>171613.70811896352</v>
      </c>
      <c r="X367" s="9">
        <f>'Model inputs'!X409*'Model inputs'!X382</f>
        <v>200849.40931108367</v>
      </c>
      <c r="Y367" s="9">
        <f>'Model inputs'!Y409*'Model inputs'!Y382</f>
        <v>237978.74982507632</v>
      </c>
      <c r="Z367" s="9">
        <f>'Model inputs'!Z409*'Model inputs'!Z382</f>
        <v>301799.67894451355</v>
      </c>
      <c r="AA367" s="9">
        <f>'Model inputs'!AA409*'Model inputs'!AA382</f>
        <v>361685.59225953225</v>
      </c>
      <c r="AB367" s="9">
        <f>'Model inputs'!AB409*'Model inputs'!AB382</f>
        <v>437740.70216960594</v>
      </c>
      <c r="AC367" s="9">
        <f>'Model inputs'!AC409*'Model inputs'!AC382</f>
        <v>560997.3584220662</v>
      </c>
      <c r="AD367" s="9">
        <f>'Model inputs'!AD409*'Model inputs'!AD382</f>
        <v>683666.645196024</v>
      </c>
      <c r="AE367" s="9">
        <f>'Model inputs'!AE409*'Model inputs'!AE382</f>
        <v>839456.6393989505</v>
      </c>
      <c r="AF367" s="9">
        <f>'Model inputs'!AF409*'Model inputs'!AF382</f>
        <v>1053976.5987033339</v>
      </c>
      <c r="AG367" s="9">
        <f>'Model inputs'!AG409*'Model inputs'!AG382</f>
        <v>1305250.2803532341</v>
      </c>
      <c r="AH367" s="9">
        <f>'Model inputs'!AH409*'Model inputs'!AH382</f>
        <v>1641034.522715274</v>
      </c>
      <c r="AI367" s="9">
        <f>'Model inputs'!AI409*'Model inputs'!AI382</f>
        <v>2072980.5105150645</v>
      </c>
    </row>
    <row r="368">
      <c r="A368" t="inlineStr" s="13">
        <is>
          <t xml:space="preserve">Haq AI cost · Haq Ending cash · Conservative · Conservative</t>
        </is>
      </c>
      <c r="B368" s="9">
        <f>'Model inputs'!B410*'Model inputs'!B383</f>
        <v>0</v>
      </c>
      <c r="C368" s="9">
        <f>'Model inputs'!C410*'Model inputs'!C383</f>
        <v>0</v>
      </c>
      <c r="D368" s="9">
        <f>'Model inputs'!D410*'Model inputs'!D383</f>
        <v>0</v>
      </c>
      <c r="E368" s="9">
        <f>'Model inputs'!E410*'Model inputs'!E383</f>
        <v>0</v>
      </c>
      <c r="F368" s="9">
        <f>'Model inputs'!F410*'Model inputs'!F383</f>
        <v>0</v>
      </c>
      <c r="G368" s="9">
        <f>'Model inputs'!G410*'Model inputs'!G383</f>
        <v>0</v>
      </c>
      <c r="H368" s="9">
        <f>'Model inputs'!H410*'Model inputs'!H383</f>
        <v>0</v>
      </c>
      <c r="I368" s="9">
        <f>'Model inputs'!I410*'Model inputs'!I383</f>
        <v>0</v>
      </c>
      <c r="J368" s="9">
        <f>'Model inputs'!J410*'Model inputs'!J383</f>
        <v>0</v>
      </c>
      <c r="K368" s="9">
        <f>'Model inputs'!K410*'Model inputs'!K383</f>
        <v>0</v>
      </c>
      <c r="L368" s="9">
        <f>'Model inputs'!L410*'Model inputs'!L383</f>
        <v>0</v>
      </c>
      <c r="M368" s="9">
        <f>'Model inputs'!M410*'Model inputs'!M383</f>
        <v>0</v>
      </c>
      <c r="N368" s="9">
        <f>'Model inputs'!N410*'Model inputs'!N383</f>
        <v>0</v>
      </c>
      <c r="O368" s="9">
        <f>'Model inputs'!O410*'Model inputs'!O383</f>
        <v>40000</v>
      </c>
      <c r="P368" s="9">
        <f>'Model inputs'!P410*'Model inputs'!P383</f>
        <v>41200</v>
      </c>
      <c r="Q368" s="9">
        <f>'Model inputs'!Q410*'Model inputs'!Q383</f>
        <v>52852.666666666664</v>
      </c>
      <c r="R368" s="9">
        <f>'Model inputs'!R410*'Model inputs'!R383</f>
        <v>54125.74666666667</v>
      </c>
      <c r="S368" s="9">
        <f>'Model inputs'!S410*'Model inputs'!S383</f>
        <v>55437.019066666675</v>
      </c>
      <c r="T368" s="9">
        <f>'Model inputs'!T410*'Model inputs'!T383</f>
        <v>71370.962972</v>
      </c>
      <c r="U368" s="9">
        <f>'Model inputs'!U410*'Model inputs'!U383</f>
        <v>72762.09186116</v>
      </c>
      <c r="V368" s="9">
        <f>'Model inputs'!V410*'Model inputs'!V383</f>
        <v>74194.9546169948</v>
      </c>
      <c r="W368" s="9">
        <f>'Model inputs'!W410*'Model inputs'!W383</f>
        <v>90254.13658883798</v>
      </c>
      <c r="X368" s="9">
        <f>'Model inputs'!X410*'Model inputs'!X383</f>
        <v>91774.26068650311</v>
      </c>
      <c r="Y368" s="9">
        <f>'Model inputs'!Y410*'Model inputs'!Y383</f>
        <v>93339.9885070982</v>
      </c>
      <c r="Z368" s="9">
        <f>'Model inputs'!Z410*'Model inputs'!Z383</f>
        <v>105369.35482897783</v>
      </c>
      <c r="AA368" s="9">
        <f>'Model inputs'!AA410*'Model inputs'!AA383</f>
        <v>107030.43547384717</v>
      </c>
      <c r="AB368" s="9">
        <f>'Model inputs'!AB410*'Model inputs'!AB383</f>
        <v>108741.34853806258</v>
      </c>
      <c r="AC368" s="9">
        <f>'Model inputs'!AC410*'Model inputs'!AC383</f>
        <v>127170.25566087112</v>
      </c>
      <c r="AD368" s="9">
        <f>'Model inputs'!AD410*'Model inputs'!AD383</f>
        <v>128985.36333069726</v>
      </c>
      <c r="AE368" s="9">
        <f>'Model inputs'!AE410*'Model inputs'!AE383</f>
        <v>130854.92423061818</v>
      </c>
      <c r="AF368" s="9">
        <f>'Model inputs'!AF410*'Model inputs'!AF383</f>
        <v>143197.23862420337</v>
      </c>
      <c r="AG368" s="9">
        <f>'Model inputs'!AG410*'Model inputs'!AG383</f>
        <v>145180.6557829295</v>
      </c>
      <c r="AH368" s="9">
        <f>'Model inputs'!AH410*'Model inputs'!AH383</f>
        <v>157640.24212308406</v>
      </c>
      <c r="AI368" s="9">
        <f>'Model inputs'!AI410*'Model inputs'!AI383</f>
        <v>176411.11605344323</v>
      </c>
    </row>
    <row r="369">
      <c r="A369" t="inlineStr" s="13">
        <is>
          <t xml:space="preserve">Haq Cash collection fees · Haq Ending cash · Main Scenario · Main Scenario</t>
        </is>
      </c>
      <c r="B369" s="9">
        <f>'Model inputs'!B372*'Model inputs'!AJ46</f>
        <v>0</v>
      </c>
      <c r="C369" s="9">
        <f>'Model inputs'!C372*'Model inputs'!AJ46</f>
        <v>0</v>
      </c>
      <c r="D369" s="9">
        <f>'Model inputs'!D372*'Model inputs'!AJ46</f>
        <v>0</v>
      </c>
      <c r="E369" s="9">
        <f>'Model inputs'!E372*'Model inputs'!AJ46</f>
        <v>0</v>
      </c>
      <c r="F369" s="9">
        <f>'Model inputs'!F372*'Model inputs'!AJ46</f>
        <v>0</v>
      </c>
      <c r="G369" s="9">
        <f>'Model inputs'!G372*'Model inputs'!AJ46</f>
        <v>0</v>
      </c>
      <c r="H369" s="9">
        <f>'Model inputs'!H372*'Model inputs'!AJ46</f>
        <v>0</v>
      </c>
      <c r="I369" s="9">
        <f>'Model inputs'!I372*'Model inputs'!AJ46</f>
        <v>0</v>
      </c>
      <c r="J369" s="9">
        <f>'Model inputs'!J372*'Model inputs'!AJ46</f>
        <v>0</v>
      </c>
      <c r="K369" s="9">
        <f>'Model inputs'!K372*'Model inputs'!AJ46</f>
        <v>0</v>
      </c>
      <c r="L369" s="9">
        <f>'Model inputs'!L372*'Model inputs'!AJ46</f>
        <v>0</v>
      </c>
      <c r="M369" s="9">
        <f>'Model inputs'!M372*'Model inputs'!AJ46</f>
        <v>0</v>
      </c>
      <c r="N369" s="9">
        <f>'Model inputs'!N372*'Model inputs'!AJ46</f>
        <v>0</v>
      </c>
      <c r="O369" s="9">
        <f>'Model inputs'!O372*'Model inputs'!AJ46</f>
        <v>1499</v>
      </c>
      <c r="P369" s="9">
        <f>'Model inputs'!P372*'Model inputs'!AJ46</f>
        <v>1723.8499999999997</v>
      </c>
      <c r="Q369" s="9">
        <f>'Model inputs'!Q372*'Model inputs'!AJ46</f>
        <v>11982.4275</v>
      </c>
      <c r="R369" s="9">
        <f>'Model inputs'!R372*'Model inputs'!AJ46</f>
        <v>2279.7916249999994</v>
      </c>
      <c r="S369" s="9">
        <f>'Model inputs'!S372*'Model inputs'!AJ46</f>
        <v>2621.7603687499986</v>
      </c>
      <c r="T369" s="9">
        <f>'Model inputs'!T372*'Model inputs'!AJ46</f>
        <v>23015.024424062496</v>
      </c>
      <c r="U369" s="9">
        <f>'Model inputs'!U372*'Model inputs'!AJ46</f>
        <v>3467.278087671873</v>
      </c>
      <c r="V369" s="9">
        <f>'Model inputs'!V372*'Model inputs'!AJ46</f>
        <v>3987.369800822654</v>
      </c>
      <c r="W369" s="9">
        <f>'Model inputs'!W372*'Model inputs'!AJ46</f>
        <v>24585.475270946055</v>
      </c>
      <c r="X369" s="9">
        <f>'Model inputs'!X372*'Model inputs'!AJ46</f>
        <v>5273.296561587959</v>
      </c>
      <c r="Y369" s="9">
        <f>'Model inputs'!Y372*'Model inputs'!AJ46</f>
        <v>6064.291045826152</v>
      </c>
      <c r="Z369" s="9">
        <f>'Model inputs'!Z372*'Model inputs'!AJ46</f>
        <v>16973.934702700073</v>
      </c>
      <c r="AA369" s="9">
        <f>'Model inputs'!AA372*'Model inputs'!AJ46</f>
        <v>8020.024908105085</v>
      </c>
      <c r="AB369" s="9">
        <f>'Model inputs'!AB372*'Model inputs'!AJ46</f>
        <v>9223.028644320848</v>
      </c>
      <c r="AC369" s="9">
        <f>'Model inputs'!AC372*'Model inputs'!AJ46</f>
        <v>45606.48294096898</v>
      </c>
      <c r="AD369" s="9">
        <f>'Model inputs'!AD372*'Model inputs'!AJ46</f>
        <v>12197.455382114318</v>
      </c>
      <c r="AE369" s="9">
        <f>'Model inputs'!AE372*'Model inputs'!AJ46</f>
        <v>14027.073689431467</v>
      </c>
      <c r="AF369" s="9">
        <f>'Model inputs'!AF372*'Model inputs'!AJ46</f>
        <v>46131.13474284618</v>
      </c>
      <c r="AG369" s="9">
        <f>'Model inputs'!AG372*'Model inputs'!AJ46</f>
        <v>18550.80495427311</v>
      </c>
      <c r="AH369" s="9">
        <f>'Model inputs'!AH372*'Model inputs'!AJ46</f>
        <v>31333.425697414074</v>
      </c>
      <c r="AI369" s="9">
        <f>'Model inputs'!AI372*'Model inputs'!AJ46</f>
        <v>69533.43955202619</v>
      </c>
    </row>
    <row r="370">
      <c r="A370" t="inlineStr" s="13">
        <is>
          <t xml:space="preserve">Haq Cash collection fees · Haq Ending cash · Growth · Growth</t>
        </is>
      </c>
      <c r="B370" s="9">
        <f>'Model inputs'!B373*'Model inputs'!AJ102</f>
        <v>0</v>
      </c>
      <c r="C370" s="9">
        <f>'Model inputs'!C373*'Model inputs'!AJ102</f>
        <v>0</v>
      </c>
      <c r="D370" s="9">
        <f>'Model inputs'!D373*'Model inputs'!AJ102</f>
        <v>0</v>
      </c>
      <c r="E370" s="9">
        <f>'Model inputs'!E373*'Model inputs'!AJ102</f>
        <v>0</v>
      </c>
      <c r="F370" s="9">
        <f>'Model inputs'!F373*'Model inputs'!AJ102</f>
        <v>0</v>
      </c>
      <c r="G370" s="9">
        <f>'Model inputs'!G373*'Model inputs'!AJ102</f>
        <v>0</v>
      </c>
      <c r="H370" s="9">
        <f>'Model inputs'!H373*'Model inputs'!AJ102</f>
        <v>0</v>
      </c>
      <c r="I370" s="9">
        <f>'Model inputs'!I373*'Model inputs'!AJ102</f>
        <v>0</v>
      </c>
      <c r="J370" s="9">
        <f>'Model inputs'!J373*'Model inputs'!AJ102</f>
        <v>0</v>
      </c>
      <c r="K370" s="9">
        <f>'Model inputs'!K373*'Model inputs'!AJ102</f>
        <v>0</v>
      </c>
      <c r="L370" s="9">
        <f>'Model inputs'!L373*'Model inputs'!AJ102</f>
        <v>0</v>
      </c>
      <c r="M370" s="9">
        <f>'Model inputs'!M373*'Model inputs'!AJ102</f>
        <v>0</v>
      </c>
      <c r="N370" s="9">
        <f>'Model inputs'!N373*'Model inputs'!AJ102</f>
        <v>0</v>
      </c>
      <c r="O370" s="9">
        <f>'Model inputs'!O373*'Model inputs'!AJ102</f>
        <v>1499</v>
      </c>
      <c r="P370" s="9">
        <f>'Model inputs'!P373*'Model inputs'!AJ102</f>
        <v>1903.73</v>
      </c>
      <c r="Q370" s="9">
        <f>'Model inputs'!Q373*'Model inputs'!AJ102</f>
        <v>22417.7371</v>
      </c>
      <c r="R370" s="9">
        <f>'Model inputs'!R373*'Model inputs'!AJ102</f>
        <v>3070.5261170000003</v>
      </c>
      <c r="S370" s="9">
        <f>'Model inputs'!S373*'Model inputs'!AJ102</f>
        <v>3899.568168590001</v>
      </c>
      <c r="T370" s="9">
        <f>'Model inputs'!T373*'Model inputs'!AJ102</f>
        <v>44952.4515741093</v>
      </c>
      <c r="U370" s="9">
        <f>'Model inputs'!U373*'Model inputs'!AJ102</f>
        <v>6289.613499118812</v>
      </c>
      <c r="V370" s="9">
        <f>'Model inputs'!V373*'Model inputs'!AJ102</f>
        <v>7987.80914388089</v>
      </c>
      <c r="W370" s="9">
        <f>'Model inputs'!W373*'Model inputs'!AJ102</f>
        <v>50144.51761272873</v>
      </c>
      <c r="X370" s="9">
        <f>'Model inputs'!X373*'Model inputs'!AJ102</f>
        <v>12883.537368165487</v>
      </c>
      <c r="Y370" s="9">
        <f>'Model inputs'!Y373*'Model inputs'!AJ102</f>
        <v>16362.09245757017</v>
      </c>
      <c r="Z370" s="9">
        <f>'Model inputs'!Z373*'Model inputs'!AJ102</f>
        <v>40779.85742111412</v>
      </c>
      <c r="AA370" s="9">
        <f>'Model inputs'!AA373*'Model inputs'!AJ102</f>
        <v>26390.41892481493</v>
      </c>
      <c r="AB370" s="9">
        <f>'Model inputs'!AB373*'Model inputs'!AJ102</f>
        <v>33515.832034514955</v>
      </c>
      <c r="AC370" s="9">
        <f>'Model inputs'!AC373*'Model inputs'!AJ102</f>
        <v>112565.10668383399</v>
      </c>
      <c r="AD370" s="9">
        <f>'Model inputs'!AD373*'Model inputs'!AJ102</f>
        <v>54057.68548846917</v>
      </c>
      <c r="AE370" s="9">
        <f>'Model inputs'!AE373*'Model inputs'!AJ102</f>
        <v>68653.26057035585</v>
      </c>
      <c r="AF370" s="9">
        <f>'Model inputs'!AF373*'Model inputs'!AJ102</f>
        <v>147189.64092435193</v>
      </c>
      <c r="AG370" s="9">
        <f>'Model inputs'!AG373*'Model inputs'!AJ102</f>
        <v>110730.84397392697</v>
      </c>
      <c r="AH370" s="9">
        <f>'Model inputs'!AH373*'Model inputs'!AJ102</f>
        <v>160628.17184688724</v>
      </c>
      <c r="AI370" s="9">
        <f>'Model inputs'!AI373*'Model inputs'!AJ102</f>
        <v>268597.7782455468</v>
      </c>
    </row>
    <row r="371">
      <c r="A371" t="inlineStr" s="13">
        <is>
          <t xml:space="preserve">Haq Cash collection fees · Haq Ending cash · Conservative · Conservative</t>
        </is>
      </c>
      <c r="B371" s="9">
        <f>'Model inputs'!B374*'Model inputs'!AJ158</f>
        <v>0</v>
      </c>
      <c r="C371" s="9">
        <f>'Model inputs'!C374*'Model inputs'!AJ158</f>
        <v>0</v>
      </c>
      <c r="D371" s="9">
        <f>'Model inputs'!D374*'Model inputs'!AJ158</f>
        <v>0</v>
      </c>
      <c r="E371" s="9">
        <f>'Model inputs'!E374*'Model inputs'!AJ158</f>
        <v>0</v>
      </c>
      <c r="F371" s="9">
        <f>'Model inputs'!F374*'Model inputs'!AJ158</f>
        <v>0</v>
      </c>
      <c r="G371" s="9">
        <f>'Model inputs'!G374*'Model inputs'!AJ158</f>
        <v>0</v>
      </c>
      <c r="H371" s="9">
        <f>'Model inputs'!H374*'Model inputs'!AJ158</f>
        <v>0</v>
      </c>
      <c r="I371" s="9">
        <f>'Model inputs'!I374*'Model inputs'!AJ158</f>
        <v>0</v>
      </c>
      <c r="J371" s="9">
        <f>'Model inputs'!J374*'Model inputs'!AJ158</f>
        <v>0</v>
      </c>
      <c r="K371" s="9">
        <f>'Model inputs'!K374*'Model inputs'!AJ158</f>
        <v>0</v>
      </c>
      <c r="L371" s="9">
        <f>'Model inputs'!L374*'Model inputs'!AJ158</f>
        <v>0</v>
      </c>
      <c r="M371" s="9">
        <f>'Model inputs'!M374*'Model inputs'!AJ158</f>
        <v>0</v>
      </c>
      <c r="N371" s="9">
        <f>'Model inputs'!N374*'Model inputs'!AJ158</f>
        <v>0</v>
      </c>
      <c r="O371" s="9">
        <f>'Model inputs'!O374*'Model inputs'!AJ158</f>
        <v>1499</v>
      </c>
      <c r="P371" s="9">
        <f>'Model inputs'!P374*'Model inputs'!AJ158</f>
        <v>1543.97</v>
      </c>
      <c r="Q371" s="9">
        <f>'Model inputs'!Q374*'Model inputs'!AJ158</f>
        <v>6590.289100000001</v>
      </c>
      <c r="R371" s="9">
        <f>'Model inputs'!R374*'Model inputs'!AJ158</f>
        <v>1637.9977729999998</v>
      </c>
      <c r="S371" s="9">
        <f>'Model inputs'!S374*'Model inputs'!AJ158</f>
        <v>1687.1377061900002</v>
      </c>
      <c r="T371" s="9">
        <f>'Model inputs'!T374*'Model inputs'!AJ158</f>
        <v>11737.7518373757</v>
      </c>
      <c r="U371" s="9">
        <f>'Model inputs'!U374*'Model inputs'!AJ158</f>
        <v>1789.8843924969713</v>
      </c>
      <c r="V371" s="9">
        <f>'Model inputs'!V374*'Model inputs'!AJ158</f>
        <v>1843.5809242718801</v>
      </c>
      <c r="W371" s="9">
        <f>'Model inputs'!W374*'Model inputs'!AJ158</f>
        <v>11898.888352000036</v>
      </c>
      <c r="X371" s="9">
        <f>'Model inputs'!X374*'Model inputs'!AJ158</f>
        <v>1955.855002560038</v>
      </c>
      <c r="Y371" s="9">
        <f>'Model inputs'!Y374*'Model inputs'!AJ158</f>
        <v>2014.530652636839</v>
      </c>
      <c r="Z371" s="9">
        <f>'Model inputs'!Z374*'Model inputs'!AJ158</f>
        <v>7074.966572215945</v>
      </c>
      <c r="AA371" s="9">
        <f>'Model inputs'!AA374*'Model inputs'!AJ158</f>
        <v>2137.215569382423</v>
      </c>
      <c r="AB371" s="9">
        <f>'Model inputs'!AB374*'Model inputs'!AJ158</f>
        <v>2201.3320364638953</v>
      </c>
      <c r="AC371" s="9">
        <f>'Model inputs'!AC374*'Model inputs'!AJ158</f>
        <v>19767.371997557813</v>
      </c>
      <c r="AD371" s="9">
        <f>'Model inputs'!AD374*'Model inputs'!AJ158</f>
        <v>2335.3931574845465</v>
      </c>
      <c r="AE371" s="9">
        <f>'Model inputs'!AE374*'Model inputs'!AJ158</f>
        <v>2405.4549522090833</v>
      </c>
      <c r="AF371" s="9">
        <f>'Model inputs'!AF374*'Model inputs'!AJ158</f>
        <v>17477.618600775357</v>
      </c>
      <c r="AG371" s="9">
        <f>'Model inputs'!AG374*'Model inputs'!AJ158</f>
        <v>2551.9471587986163</v>
      </c>
      <c r="AH371" s="9">
        <f>'Model inputs'!AH374*'Model inputs'!AJ158</f>
        <v>7628.505573562575</v>
      </c>
      <c r="AI371" s="9">
        <f>'Model inputs'!AI374*'Model inputs'!AJ158</f>
        <v>25207.36074076945</v>
      </c>
    </row>
    <row r="372">
      <c r="A372" t="inlineStr" s="13">
        <is>
          <t xml:space="preserve">Haq Cash receipts · Haq Ending cash · Main Scenario · Main Scenario</t>
        </is>
      </c>
      <c r="B372" s="9">
        <f>'Model inputs'!B390+'Model inputs'!B393+'Model inputs'!B399</f>
        <v>0</v>
      </c>
      <c r="C372" s="9">
        <f>'Model inputs'!C390+'Model inputs'!C393+'Model inputs'!C399</f>
        <v>0</v>
      </c>
      <c r="D372" s="9">
        <f>'Model inputs'!D390+'Model inputs'!D393+'Model inputs'!D399</f>
        <v>0</v>
      </c>
      <c r="E372" s="9">
        <f>'Model inputs'!E390+'Model inputs'!E393+'Model inputs'!E399</f>
        <v>0</v>
      </c>
      <c r="F372" s="9">
        <f>'Model inputs'!F390+'Model inputs'!F393+'Model inputs'!F399</f>
        <v>0</v>
      </c>
      <c r="G372" s="9">
        <f>'Model inputs'!G390+'Model inputs'!G393+'Model inputs'!G399</f>
        <v>0</v>
      </c>
      <c r="H372" s="9">
        <f>'Model inputs'!H390+'Model inputs'!H393+'Model inputs'!H399</f>
        <v>0</v>
      </c>
      <c r="I372" s="9">
        <f>'Model inputs'!I390+'Model inputs'!I393+'Model inputs'!I399</f>
        <v>0</v>
      </c>
      <c r="J372" s="9">
        <f>'Model inputs'!J390+'Model inputs'!J393+'Model inputs'!J399</f>
        <v>0</v>
      </c>
      <c r="K372" s="9">
        <f>'Model inputs'!K390+'Model inputs'!K393+'Model inputs'!K399</f>
        <v>0</v>
      </c>
      <c r="L372" s="9">
        <f>'Model inputs'!L390+'Model inputs'!L393+'Model inputs'!L399</f>
        <v>0</v>
      </c>
      <c r="M372" s="9">
        <f>'Model inputs'!M390+'Model inputs'!M393+'Model inputs'!M399</f>
        <v>0</v>
      </c>
      <c r="N372" s="9">
        <f>'Model inputs'!N390+'Model inputs'!N393+'Model inputs'!N399</f>
        <v>0</v>
      </c>
      <c r="O372" s="9">
        <f>'Model inputs'!O390+'Model inputs'!O393+'Model inputs'!O399</f>
        <v>74950</v>
      </c>
      <c r="P372" s="9">
        <f>'Model inputs'!P390+'Model inputs'!P393+'Model inputs'!P399</f>
        <v>86192.49999999999</v>
      </c>
      <c r="Q372" s="9">
        <f>'Model inputs'!Q390+'Model inputs'!Q393+'Model inputs'!Q399</f>
        <v>599121.375</v>
      </c>
      <c r="R372" s="9">
        <f>'Model inputs'!R390+'Model inputs'!R393+'Model inputs'!R399</f>
        <v>113989.58124999996</v>
      </c>
      <c r="S372" s="9">
        <f>'Model inputs'!S390+'Model inputs'!S393+'Model inputs'!S399</f>
        <v>131088.01843749994</v>
      </c>
      <c r="T372" s="9">
        <f>'Model inputs'!T390+'Model inputs'!T393+'Model inputs'!T399</f>
        <v>1150751.2212031248</v>
      </c>
      <c r="U372" s="9">
        <f>'Model inputs'!U390+'Model inputs'!U393+'Model inputs'!U399</f>
        <v>173363.90438359365</v>
      </c>
      <c r="V372" s="9">
        <f>'Model inputs'!V390+'Model inputs'!V393+'Model inputs'!V399</f>
        <v>199368.4900411327</v>
      </c>
      <c r="W372" s="9">
        <f>'Model inputs'!W390+'Model inputs'!W393+'Model inputs'!W399</f>
        <v>1229273.7635473027</v>
      </c>
      <c r="X372" s="9">
        <f>'Model inputs'!X390+'Model inputs'!X393+'Model inputs'!X399</f>
        <v>263664.82807939796</v>
      </c>
      <c r="Y372" s="9">
        <f>'Model inputs'!Y390+'Model inputs'!Y393+'Model inputs'!Y399</f>
        <v>303214.5522913076</v>
      </c>
      <c r="Z372" s="9">
        <f>'Model inputs'!Z390+'Model inputs'!Z393+'Model inputs'!Z399</f>
        <v>848696.7351350037</v>
      </c>
      <c r="AA372" s="9">
        <f>'Model inputs'!AA390+'Model inputs'!AA393+'Model inputs'!AA399</f>
        <v>401001.24540525425</v>
      </c>
      <c r="AB372" s="9">
        <f>'Model inputs'!AB390+'Model inputs'!AB393+'Model inputs'!AB399</f>
        <v>461151.43221604236</v>
      </c>
      <c r="AC372" s="9">
        <f>'Model inputs'!AC390+'Model inputs'!AC393+'Model inputs'!AC399</f>
        <v>2280324.1470484487</v>
      </c>
      <c r="AD372" s="9">
        <f>'Model inputs'!AD390+'Model inputs'!AD393+'Model inputs'!AD399</f>
        <v>609872.7691057159</v>
      </c>
      <c r="AE372" s="9">
        <f>'Model inputs'!AE390+'Model inputs'!AE393+'Model inputs'!AE399</f>
        <v>701353.6844715733</v>
      </c>
      <c r="AF372" s="9">
        <f>'Model inputs'!AF390+'Model inputs'!AF393+'Model inputs'!AF399</f>
        <v>2306556.737142309</v>
      </c>
      <c r="AG372" s="9">
        <f>'Model inputs'!AG390+'Model inputs'!AG393+'Model inputs'!AG399</f>
        <v>927540.2477136555</v>
      </c>
      <c r="AH372" s="9">
        <f>'Model inputs'!AH390+'Model inputs'!AH393+'Model inputs'!AH399</f>
        <v>1566671.2848707037</v>
      </c>
      <c r="AI372" s="9">
        <f>'Model inputs'!AI390+'Model inputs'!AI393+'Model inputs'!AI399</f>
        <v>3476671.9776013093</v>
      </c>
    </row>
    <row r="373">
      <c r="A373" t="inlineStr" s="13">
        <is>
          <t xml:space="preserve">Haq Cash receipts · Haq Ending cash · Growth · Growth</t>
        </is>
      </c>
      <c r="B373" s="9">
        <f>'Model inputs'!B391+'Model inputs'!B394+'Model inputs'!B400</f>
        <v>0</v>
      </c>
      <c r="C373" s="9">
        <f>'Model inputs'!C391+'Model inputs'!C394+'Model inputs'!C400</f>
        <v>0</v>
      </c>
      <c r="D373" s="9">
        <f>'Model inputs'!D391+'Model inputs'!D394+'Model inputs'!D400</f>
        <v>0</v>
      </c>
      <c r="E373" s="9">
        <f>'Model inputs'!E391+'Model inputs'!E394+'Model inputs'!E400</f>
        <v>0</v>
      </c>
      <c r="F373" s="9">
        <f>'Model inputs'!F391+'Model inputs'!F394+'Model inputs'!F400</f>
        <v>0</v>
      </c>
      <c r="G373" s="9">
        <f>'Model inputs'!G391+'Model inputs'!G394+'Model inputs'!G400</f>
        <v>0</v>
      </c>
      <c r="H373" s="9">
        <f>'Model inputs'!H391+'Model inputs'!H394+'Model inputs'!H400</f>
        <v>0</v>
      </c>
      <c r="I373" s="9">
        <f>'Model inputs'!I391+'Model inputs'!I394+'Model inputs'!I400</f>
        <v>0</v>
      </c>
      <c r="J373" s="9">
        <f>'Model inputs'!J391+'Model inputs'!J394+'Model inputs'!J400</f>
        <v>0</v>
      </c>
      <c r="K373" s="9">
        <f>'Model inputs'!K391+'Model inputs'!K394+'Model inputs'!K400</f>
        <v>0</v>
      </c>
      <c r="L373" s="9">
        <f>'Model inputs'!L391+'Model inputs'!L394+'Model inputs'!L400</f>
        <v>0</v>
      </c>
      <c r="M373" s="9">
        <f>'Model inputs'!M391+'Model inputs'!M394+'Model inputs'!M400</f>
        <v>0</v>
      </c>
      <c r="N373" s="9">
        <f>'Model inputs'!N391+'Model inputs'!N394+'Model inputs'!N400</f>
        <v>0</v>
      </c>
      <c r="O373" s="9">
        <f>'Model inputs'!O391+'Model inputs'!O394+'Model inputs'!O400</f>
        <v>74950</v>
      </c>
      <c r="P373" s="9">
        <f>'Model inputs'!P391+'Model inputs'!P394+'Model inputs'!P400</f>
        <v>95186.5</v>
      </c>
      <c r="Q373" s="9">
        <f>'Model inputs'!Q391+'Model inputs'!Q394+'Model inputs'!Q400</f>
        <v>1120886.855</v>
      </c>
      <c r="R373" s="9">
        <f>'Model inputs'!R391+'Model inputs'!R394+'Model inputs'!R400</f>
        <v>153526.30585</v>
      </c>
      <c r="S373" s="9">
        <f>'Model inputs'!S391+'Model inputs'!S394+'Model inputs'!S400</f>
        <v>194978.40842950004</v>
      </c>
      <c r="T373" s="9">
        <f>'Model inputs'!T391+'Model inputs'!T394+'Model inputs'!T400</f>
        <v>2247622.578705465</v>
      </c>
      <c r="U373" s="9">
        <f>'Model inputs'!U391+'Model inputs'!U394+'Model inputs'!U400</f>
        <v>314480.6749559406</v>
      </c>
      <c r="V373" s="9">
        <f>'Model inputs'!V391+'Model inputs'!V394+'Model inputs'!V400</f>
        <v>399390.4571940445</v>
      </c>
      <c r="W373" s="9">
        <f>'Model inputs'!W391+'Model inputs'!W394+'Model inputs'!W400</f>
        <v>2507225.8806364364</v>
      </c>
      <c r="X373" s="9">
        <f>'Model inputs'!X391+'Model inputs'!X394+'Model inputs'!X400</f>
        <v>644176.8684082744</v>
      </c>
      <c r="Y373" s="9">
        <f>'Model inputs'!Y391+'Model inputs'!Y394+'Model inputs'!Y400</f>
        <v>818104.6228785085</v>
      </c>
      <c r="Z373" s="9">
        <f>'Model inputs'!Z391+'Model inputs'!Z394+'Model inputs'!Z400</f>
        <v>2038992.871055706</v>
      </c>
      <c r="AA373" s="9">
        <f>'Model inputs'!AA391+'Model inputs'!AA394+'Model inputs'!AA400</f>
        <v>1319520.9462407464</v>
      </c>
      <c r="AB373" s="9">
        <f>'Model inputs'!AB391+'Model inputs'!AB394+'Model inputs'!AB400</f>
        <v>1675791.6017257478</v>
      </c>
      <c r="AC373" s="9">
        <f>'Model inputs'!AC391+'Model inputs'!AC394+'Model inputs'!AC400</f>
        <v>5628255.3341916995</v>
      </c>
      <c r="AD373" s="9">
        <f>'Model inputs'!AD391+'Model inputs'!AD394+'Model inputs'!AD400</f>
        <v>2702884.2744234586</v>
      </c>
      <c r="AE373" s="9">
        <f>'Model inputs'!AE391+'Model inputs'!AE394+'Model inputs'!AE400</f>
        <v>3432663.0285177925</v>
      </c>
      <c r="AF373" s="9">
        <f>'Model inputs'!AF391+'Model inputs'!AF394+'Model inputs'!AF400</f>
        <v>7359482.046217596</v>
      </c>
      <c r="AG373" s="9">
        <f>'Model inputs'!AG391+'Model inputs'!AG394+'Model inputs'!AG400</f>
        <v>5536542.198696348</v>
      </c>
      <c r="AH373" s="9">
        <f>'Model inputs'!AH391+'Model inputs'!AH394+'Model inputs'!AH400</f>
        <v>8031408.592344362</v>
      </c>
      <c r="AI373" s="9">
        <f>'Model inputs'!AI391+'Model inputs'!AI394+'Model inputs'!AI400</f>
        <v>13429888.912277339</v>
      </c>
    </row>
    <row r="374">
      <c r="A374" t="inlineStr" s="13">
        <is>
          <t xml:space="preserve">Haq Cash receipts · Haq Ending cash · Conservative · Conservative</t>
        </is>
      </c>
      <c r="B374" s="9">
        <f>'Model inputs'!B392+'Model inputs'!B395+'Model inputs'!B401</f>
        <v>0</v>
      </c>
      <c r="C374" s="9">
        <f>'Model inputs'!C392+'Model inputs'!C395+'Model inputs'!C401</f>
        <v>0</v>
      </c>
      <c r="D374" s="9">
        <f>'Model inputs'!D392+'Model inputs'!D395+'Model inputs'!D401</f>
        <v>0</v>
      </c>
      <c r="E374" s="9">
        <f>'Model inputs'!E392+'Model inputs'!E395+'Model inputs'!E401</f>
        <v>0</v>
      </c>
      <c r="F374" s="9">
        <f>'Model inputs'!F392+'Model inputs'!F395+'Model inputs'!F401</f>
        <v>0</v>
      </c>
      <c r="G374" s="9">
        <f>'Model inputs'!G392+'Model inputs'!G395+'Model inputs'!G401</f>
        <v>0</v>
      </c>
      <c r="H374" s="9">
        <f>'Model inputs'!H392+'Model inputs'!H395+'Model inputs'!H401</f>
        <v>0</v>
      </c>
      <c r="I374" s="9">
        <f>'Model inputs'!I392+'Model inputs'!I395+'Model inputs'!I401</f>
        <v>0</v>
      </c>
      <c r="J374" s="9">
        <f>'Model inputs'!J392+'Model inputs'!J395+'Model inputs'!J401</f>
        <v>0</v>
      </c>
      <c r="K374" s="9">
        <f>'Model inputs'!K392+'Model inputs'!K395+'Model inputs'!K401</f>
        <v>0</v>
      </c>
      <c r="L374" s="9">
        <f>'Model inputs'!L392+'Model inputs'!L395+'Model inputs'!L401</f>
        <v>0</v>
      </c>
      <c r="M374" s="9">
        <f>'Model inputs'!M392+'Model inputs'!M395+'Model inputs'!M401</f>
        <v>0</v>
      </c>
      <c r="N374" s="9">
        <f>'Model inputs'!N392+'Model inputs'!N395+'Model inputs'!N401</f>
        <v>0</v>
      </c>
      <c r="O374" s="9">
        <f>'Model inputs'!O392+'Model inputs'!O395+'Model inputs'!O401</f>
        <v>74950</v>
      </c>
      <c r="P374" s="9">
        <f>'Model inputs'!P392+'Model inputs'!P395+'Model inputs'!P401</f>
        <v>77198.5</v>
      </c>
      <c r="Q374" s="9">
        <f>'Model inputs'!Q392+'Model inputs'!Q395+'Model inputs'!Q401</f>
        <v>329514.455</v>
      </c>
      <c r="R374" s="9">
        <f>'Model inputs'!R392+'Model inputs'!R395+'Model inputs'!R401</f>
        <v>81899.88865</v>
      </c>
      <c r="S374" s="9">
        <f>'Model inputs'!S392+'Model inputs'!S395+'Model inputs'!S401</f>
        <v>84356.88530950001</v>
      </c>
      <c r="T374" s="9">
        <f>'Model inputs'!T392+'Model inputs'!T395+'Model inputs'!T401</f>
        <v>586887.591868785</v>
      </c>
      <c r="U374" s="9">
        <f>'Model inputs'!U392+'Model inputs'!U395+'Model inputs'!U401</f>
        <v>89494.21962484856</v>
      </c>
      <c r="V374" s="9">
        <f>'Model inputs'!V392+'Model inputs'!V395+'Model inputs'!V401</f>
        <v>92179.046213594</v>
      </c>
      <c r="W374" s="9">
        <f>'Model inputs'!W392+'Model inputs'!W395+'Model inputs'!W401</f>
        <v>594944.4176000018</v>
      </c>
      <c r="X374" s="9">
        <f>'Model inputs'!X392+'Model inputs'!X395+'Model inputs'!X401</f>
        <v>97792.75012800189</v>
      </c>
      <c r="Y374" s="9">
        <f>'Model inputs'!Y392+'Model inputs'!Y395+'Model inputs'!Y401</f>
        <v>100726.53263184195</v>
      </c>
      <c r="Z374" s="9">
        <f>'Model inputs'!Z392+'Model inputs'!Z395+'Model inputs'!Z401</f>
        <v>353748.32861079724</v>
      </c>
      <c r="AA374" s="9">
        <f>'Model inputs'!AA392+'Model inputs'!AA395+'Model inputs'!AA401</f>
        <v>106860.77846912114</v>
      </c>
      <c r="AB374" s="9">
        <f>'Model inputs'!AB392+'Model inputs'!AB395+'Model inputs'!AB401</f>
        <v>110066.60182319477</v>
      </c>
      <c r="AC374" s="9">
        <f>'Model inputs'!AC392+'Model inputs'!AC395+'Model inputs'!AC401</f>
        <v>988368.5998778907</v>
      </c>
      <c r="AD374" s="9">
        <f>'Model inputs'!AD392+'Model inputs'!AD395+'Model inputs'!AD401</f>
        <v>116769.65787422733</v>
      </c>
      <c r="AE374" s="9">
        <f>'Model inputs'!AE392+'Model inputs'!AE395+'Model inputs'!AE401</f>
        <v>120272.74761045416</v>
      </c>
      <c r="AF374" s="9">
        <f>'Model inputs'!AF392+'Model inputs'!AF395+'Model inputs'!AF401</f>
        <v>873880.9300387678</v>
      </c>
      <c r="AG374" s="9">
        <f>'Model inputs'!AG392+'Model inputs'!AG395+'Model inputs'!AG401</f>
        <v>127597.35793993081</v>
      </c>
      <c r="AH374" s="9">
        <f>'Model inputs'!AH392+'Model inputs'!AH395+'Model inputs'!AH401</f>
        <v>381425.2786781287</v>
      </c>
      <c r="AI374" s="9">
        <f>'Model inputs'!AI392+'Model inputs'!AI395+'Model inputs'!AI401</f>
        <v>1260368.0370384725</v>
      </c>
    </row>
    <row r="375">
      <c r="A375" t="inlineStr" s="13">
        <is>
          <t xml:space="preserve">Haq Gross profit · Haq Operating profit · Haq Future minimum profit · Main Scenario · Main Scenario · Main Scenario</t>
        </is>
      </c>
      <c r="B375" s="9">
        <f>'Model inputs'!B411-'Model inputs'!B366-'Model inputs'!B387</f>
        <v>0</v>
      </c>
      <c r="C375" s="9">
        <f>'Model inputs'!C411-'Model inputs'!C366-'Model inputs'!C387</f>
        <v>0</v>
      </c>
      <c r="D375" s="9">
        <f>'Model inputs'!D411-'Model inputs'!D366-'Model inputs'!D387</f>
        <v>0</v>
      </c>
      <c r="E375" s="9">
        <f>'Model inputs'!E411-'Model inputs'!E366-'Model inputs'!E387</f>
        <v>0</v>
      </c>
      <c r="F375" s="9">
        <f>'Model inputs'!F411-'Model inputs'!F366-'Model inputs'!F387</f>
        <v>0</v>
      </c>
      <c r="G375" s="9">
        <f>'Model inputs'!G411-'Model inputs'!G366-'Model inputs'!G387</f>
        <v>0</v>
      </c>
      <c r="H375" s="9">
        <f>'Model inputs'!H411-'Model inputs'!H366-'Model inputs'!H387</f>
        <v>0</v>
      </c>
      <c r="I375" s="9">
        <f>'Model inputs'!I411-'Model inputs'!I366-'Model inputs'!I387</f>
        <v>0</v>
      </c>
      <c r="J375" s="9">
        <f>'Model inputs'!J411-'Model inputs'!J366-'Model inputs'!J387</f>
        <v>0</v>
      </c>
      <c r="K375" s="9">
        <f>'Model inputs'!K411-'Model inputs'!K366-'Model inputs'!K387</f>
        <v>0</v>
      </c>
      <c r="L375" s="9">
        <f>'Model inputs'!L411-'Model inputs'!L366-'Model inputs'!L387</f>
        <v>0</v>
      </c>
      <c r="M375" s="9">
        <f>'Model inputs'!M411-'Model inputs'!M366-'Model inputs'!M387</f>
        <v>0</v>
      </c>
      <c r="N375" s="9">
        <f>'Model inputs'!N411-'Model inputs'!N366-'Model inputs'!N387</f>
        <v>0</v>
      </c>
      <c r="O375" s="9">
        <f>'Model inputs'!O411-'Model inputs'!O366-'Model inputs'!O387</f>
        <v>33451</v>
      </c>
      <c r="P375" s="9">
        <f>'Model inputs'!P411-'Model inputs'!P366-'Model inputs'!P387</f>
        <v>38468.649999999994</v>
      </c>
      <c r="Q375" s="9">
        <f>'Model inputs'!Q411-'Model inputs'!Q366-'Model inputs'!Q387</f>
        <v>64238.94750000001</v>
      </c>
      <c r="R375" s="9">
        <f>'Model inputs'!R411-'Model inputs'!R366-'Model inputs'!R387</f>
        <v>70874.78962499998</v>
      </c>
      <c r="S375" s="9">
        <f>'Model inputs'!S411-'Model inputs'!S366-'Model inputs'!S387</f>
        <v>78506.00806874996</v>
      </c>
      <c r="T375" s="9">
        <f>'Model inputs'!T411-'Model inputs'!T366-'Model inputs'!T387</f>
        <v>139781.90927906253</v>
      </c>
      <c r="U375" s="9">
        <f>'Model inputs'!U411-'Model inputs'!U366-'Model inputs'!U387</f>
        <v>235387.65404592178</v>
      </c>
      <c r="V375" s="9">
        <f>'Model inputs'!V411-'Model inputs'!V366-'Model inputs'!V387</f>
        <v>255320.80215281004</v>
      </c>
      <c r="W375" s="9">
        <f>'Model inputs'!W411-'Model inputs'!W366-'Model inputs'!W387</f>
        <v>348243.9224757315</v>
      </c>
      <c r="X375" s="9">
        <f>'Model inputs'!X411-'Model inputs'!X366-'Model inputs'!X387</f>
        <v>374605.51084709127</v>
      </c>
      <c r="Y375" s="9">
        <f>'Model inputs'!Y411-'Model inputs'!Y366-'Model inputs'!Y387</f>
        <v>404921.3374741549</v>
      </c>
      <c r="Z375" s="9">
        <f>'Model inputs'!Z411-'Model inputs'!Z366-'Model inputs'!Z387</f>
        <v>472284.53809527814</v>
      </c>
      <c r="AA375" s="9">
        <f>'Model inputs'!AA411-'Model inputs'!AA366-'Model inputs'!AA387</f>
        <v>512377.2188095698</v>
      </c>
      <c r="AB375" s="9">
        <f>'Model inputs'!AB411-'Model inputs'!AB366-'Model inputs'!AB387</f>
        <v>558483.8016310054</v>
      </c>
      <c r="AC375" s="9">
        <f>'Model inputs'!AC411-'Model inputs'!AC366-'Model inputs'!AC387</f>
        <v>700256.3718756561</v>
      </c>
      <c r="AD375" s="9">
        <f>'Model inputs'!AD411-'Model inputs'!AD366-'Model inputs'!AD387</f>
        <v>761232.3276570045</v>
      </c>
      <c r="AE375" s="9">
        <f>'Model inputs'!AE411-'Model inputs'!AE366-'Model inputs'!AE387</f>
        <v>831354.6768055551</v>
      </c>
      <c r="AF375" s="9">
        <f>'Model inputs'!AF411-'Model inputs'!AF366-'Model inputs'!AF387</f>
        <v>944495.3783263884</v>
      </c>
      <c r="AG375" s="9">
        <f>'Model inputs'!AG411-'Model inputs'!AG366-'Model inputs'!AG387</f>
        <v>1037232.1850753465</v>
      </c>
      <c r="AH375" s="9">
        <f>'Model inputs'!AH411-'Model inputs'!AH366-'Model inputs'!AH387</f>
        <v>1176379.5128366484</v>
      </c>
      <c r="AI375" s="9">
        <f>'Model inputs'!AI411-'Model inputs'!AI366-'Model inputs'!AI387</f>
        <v>1387773.9397621455</v>
      </c>
    </row>
    <row r="376">
      <c r="A376" t="inlineStr" s="13">
        <is>
          <t xml:space="preserve">Haq Gross profit · Haq Operating profit · Haq Future minimum profit · Growth · Growth · Growth</t>
        </is>
      </c>
      <c r="B376" s="9">
        <f>'Model inputs'!B412-'Model inputs'!B367-'Model inputs'!B388</f>
        <v>0</v>
      </c>
      <c r="C376" s="9">
        <f>'Model inputs'!C412-'Model inputs'!C367-'Model inputs'!C388</f>
        <v>0</v>
      </c>
      <c r="D376" s="9">
        <f>'Model inputs'!D412-'Model inputs'!D367-'Model inputs'!D388</f>
        <v>0</v>
      </c>
      <c r="E376" s="9">
        <f>'Model inputs'!E412-'Model inputs'!E367-'Model inputs'!E388</f>
        <v>0</v>
      </c>
      <c r="F376" s="9">
        <f>'Model inputs'!F412-'Model inputs'!F367-'Model inputs'!F388</f>
        <v>0</v>
      </c>
      <c r="G376" s="9">
        <f>'Model inputs'!G412-'Model inputs'!G367-'Model inputs'!G388</f>
        <v>0</v>
      </c>
      <c r="H376" s="9">
        <f>'Model inputs'!H412-'Model inputs'!H367-'Model inputs'!H388</f>
        <v>0</v>
      </c>
      <c r="I376" s="9">
        <f>'Model inputs'!I412-'Model inputs'!I367-'Model inputs'!I388</f>
        <v>0</v>
      </c>
      <c r="J376" s="9">
        <f>'Model inputs'!J412-'Model inputs'!J367-'Model inputs'!J388</f>
        <v>0</v>
      </c>
      <c r="K376" s="9">
        <f>'Model inputs'!K412-'Model inputs'!K367-'Model inputs'!K388</f>
        <v>0</v>
      </c>
      <c r="L376" s="9">
        <f>'Model inputs'!L412-'Model inputs'!L367-'Model inputs'!L388</f>
        <v>0</v>
      </c>
      <c r="M376" s="9">
        <f>'Model inputs'!M412-'Model inputs'!M367-'Model inputs'!M388</f>
        <v>0</v>
      </c>
      <c r="N376" s="9">
        <f>'Model inputs'!N412-'Model inputs'!N367-'Model inputs'!N388</f>
        <v>0</v>
      </c>
      <c r="O376" s="9">
        <f>'Model inputs'!O412-'Model inputs'!O367-'Model inputs'!O388</f>
        <v>33451</v>
      </c>
      <c r="P376" s="9">
        <f>'Model inputs'!P412-'Model inputs'!P367-'Model inputs'!P388</f>
        <v>42482.77</v>
      </c>
      <c r="Q376" s="9">
        <f>'Model inputs'!Q412-'Model inputs'!Q367-'Model inputs'!Q388</f>
        <v>157662.7179</v>
      </c>
      <c r="R376" s="9">
        <f>'Model inputs'!R412-'Model inputs'!R367-'Model inputs'!R388</f>
        <v>182681.651733</v>
      </c>
      <c r="S376" s="9">
        <f>'Model inputs'!S412-'Model inputs'!S367-'Model inputs'!S388</f>
        <v>214455.69770091004</v>
      </c>
      <c r="T376" s="9">
        <f>'Model inputs'!T412-'Model inputs'!T367-'Model inputs'!T388</f>
        <v>394808.73608015577</v>
      </c>
      <c r="U376" s="9">
        <f>'Model inputs'!U412-'Model inputs'!U367-'Model inputs'!U388</f>
        <v>446057.09482179774</v>
      </c>
      <c r="V376" s="9">
        <f>'Model inputs'!V412-'Model inputs'!V367-'Model inputs'!V388</f>
        <v>511142.5104236831</v>
      </c>
      <c r="W376" s="9">
        <f>'Model inputs'!W412-'Model inputs'!W367-'Model inputs'!W388</f>
        <v>733800.9882380776</v>
      </c>
      <c r="X376" s="9">
        <f>'Model inputs'!X412-'Model inputs'!X367-'Model inputs'!X388</f>
        <v>838777.2550623585</v>
      </c>
      <c r="Y376" s="9">
        <f>'Model inputs'!Y412-'Model inputs'!Y367-'Model inputs'!Y388</f>
        <v>972097.1139291953</v>
      </c>
      <c r="Z376" s="9">
        <f>'Model inputs'!Z412-'Model inputs'!Z367-'Model inputs'!Z388</f>
        <v>1206413.3346900782</v>
      </c>
      <c r="AA376" s="9">
        <f>'Model inputs'!AA412-'Model inputs'!AA367-'Model inputs'!AA388</f>
        <v>1421444.935056399</v>
      </c>
      <c r="AB376" s="9">
        <f>'Model inputs'!AB412-'Model inputs'!AB367-'Model inputs'!AB388</f>
        <v>1694535.0675216268</v>
      </c>
      <c r="AC376" s="9">
        <f>'Model inputs'!AC412-'Model inputs'!AC367-'Model inputs'!AC388</f>
        <v>2218859.535752466</v>
      </c>
      <c r="AD376" s="9">
        <f>'Model inputs'!AD412-'Model inputs'!AD367-'Model inputs'!AD388</f>
        <v>2659326.610405632</v>
      </c>
      <c r="AE376" s="9">
        <f>'Model inputs'!AE412-'Model inputs'!AE367-'Model inputs'!AE388</f>
        <v>3218719.7952151527</v>
      </c>
      <c r="AF376" s="9">
        <f>'Model inputs'!AF412-'Model inputs'!AF367-'Model inputs'!AF388</f>
        <v>3994149.139923244</v>
      </c>
      <c r="AG376" s="9">
        <f>'Model inputs'!AG412-'Model inputs'!AG367-'Model inputs'!AG388</f>
        <v>4896394.4077025205</v>
      </c>
      <c r="AH376" s="9">
        <f>'Model inputs'!AH412-'Model inputs'!AH367-'Model inputs'!AH388</f>
        <v>6107245.897782201</v>
      </c>
      <c r="AI376" s="9">
        <f>'Model inputs'!AI412-'Model inputs'!AI367-'Model inputs'!AI388</f>
        <v>7739977.290183395</v>
      </c>
    </row>
    <row r="377">
      <c r="A377" t="inlineStr" s="13">
        <is>
          <t xml:space="preserve">Haq Gross profit · Haq Operating profit · Haq Future minimum profit · Conservative · Conservative · Conservative</t>
        </is>
      </c>
      <c r="B377" s="9">
        <f>'Model inputs'!B413-'Model inputs'!B368-'Model inputs'!B389</f>
        <v>0</v>
      </c>
      <c r="C377" s="9">
        <f>'Model inputs'!C413-'Model inputs'!C368-'Model inputs'!C389</f>
        <v>0</v>
      </c>
      <c r="D377" s="9">
        <f>'Model inputs'!D413-'Model inputs'!D368-'Model inputs'!D389</f>
        <v>0</v>
      </c>
      <c r="E377" s="9">
        <f>'Model inputs'!E413-'Model inputs'!E368-'Model inputs'!E389</f>
        <v>0</v>
      </c>
      <c r="F377" s="9">
        <f>'Model inputs'!F413-'Model inputs'!F368-'Model inputs'!F389</f>
        <v>0</v>
      </c>
      <c r="G377" s="9">
        <f>'Model inputs'!G413-'Model inputs'!G368-'Model inputs'!G389</f>
        <v>0</v>
      </c>
      <c r="H377" s="9">
        <f>'Model inputs'!H413-'Model inputs'!H368-'Model inputs'!H389</f>
        <v>0</v>
      </c>
      <c r="I377" s="9">
        <f>'Model inputs'!I413-'Model inputs'!I368-'Model inputs'!I389</f>
        <v>0</v>
      </c>
      <c r="J377" s="9">
        <f>'Model inputs'!J413-'Model inputs'!J368-'Model inputs'!J389</f>
        <v>0</v>
      </c>
      <c r="K377" s="9">
        <f>'Model inputs'!K413-'Model inputs'!K368-'Model inputs'!K389</f>
        <v>0</v>
      </c>
      <c r="L377" s="9">
        <f>'Model inputs'!L413-'Model inputs'!L368-'Model inputs'!L389</f>
        <v>0</v>
      </c>
      <c r="M377" s="9">
        <f>'Model inputs'!M413-'Model inputs'!M368-'Model inputs'!M389</f>
        <v>0</v>
      </c>
      <c r="N377" s="9">
        <f>'Model inputs'!N413-'Model inputs'!N368-'Model inputs'!N389</f>
        <v>0</v>
      </c>
      <c r="O377" s="9">
        <f>'Model inputs'!O413-'Model inputs'!O368-'Model inputs'!O389</f>
        <v>33451</v>
      </c>
      <c r="P377" s="9">
        <f>'Model inputs'!P413-'Model inputs'!P368-'Model inputs'!P389</f>
        <v>34454.53</v>
      </c>
      <c r="Q377" s="9">
        <f>'Model inputs'!Q413-'Model inputs'!Q368-'Model inputs'!Q389</f>
        <v>45488.1659</v>
      </c>
      <c r="R377" s="9">
        <f>'Model inputs'!R413-'Model inputs'!R368-'Model inputs'!R389</f>
        <v>46552.81087699998</v>
      </c>
      <c r="S377" s="9">
        <f>'Model inputs'!S413-'Model inputs'!S368-'Model inputs'!S389</f>
        <v>47649.39520330999</v>
      </c>
      <c r="T377" s="9">
        <f>'Model inputs'!T413-'Model inputs'!T368-'Model inputs'!T389</f>
        <v>75028.87705940931</v>
      </c>
      <c r="U377" s="9">
        <f>'Model inputs'!U413-'Model inputs'!U368-'Model inputs'!U389</f>
        <v>76192.2433711916</v>
      </c>
      <c r="V377" s="9">
        <f>'Model inputs'!V413-'Model inputs'!V368-'Model inputs'!V389</f>
        <v>77390.51067232732</v>
      </c>
      <c r="W377" s="9">
        <f>'Model inputs'!W413-'Model inputs'!W368-'Model inputs'!W389</f>
        <v>104874.72599249713</v>
      </c>
      <c r="X377" s="9">
        <f>'Model inputs'!X413-'Model inputs'!X368-'Model inputs'!X389</f>
        <v>106145.96777227205</v>
      </c>
      <c r="Y377" s="9">
        <f>'Model inputs'!Y413-'Model inputs'!Y368-'Model inputs'!Y389</f>
        <v>107455.34680544023</v>
      </c>
      <c r="Z377" s="9">
        <f>'Model inputs'!Z413-'Model inputs'!Z368-'Model inputs'!Z389</f>
        <v>118804.00720960347</v>
      </c>
      <c r="AA377" s="9">
        <f>'Model inputs'!AA413-'Model inputs'!AA368-'Model inputs'!AA389</f>
        <v>120193.12742589155</v>
      </c>
      <c r="AB377" s="9">
        <f>'Model inputs'!AB413-'Model inputs'!AB368-'Model inputs'!AB389</f>
        <v>121623.9212486683</v>
      </c>
      <c r="AC377" s="9">
        <f>'Model inputs'!AC413-'Model inputs'!AC368-'Model inputs'!AC389</f>
        <v>157472.63888612835</v>
      </c>
      <c r="AD377" s="9">
        <f>'Model inputs'!AD413-'Model inputs'!AD368-'Model inputs'!AD389</f>
        <v>158990.56805271216</v>
      </c>
      <c r="AE377" s="9">
        <f>'Model inputs'!AE413-'Model inputs'!AE368-'Model inputs'!AE389</f>
        <v>160554.03509429356</v>
      </c>
      <c r="AF377" s="9">
        <f>'Model inputs'!AF413-'Model inputs'!AF368-'Model inputs'!AF389</f>
        <v>172164.40614712238</v>
      </c>
      <c r="AG377" s="9">
        <f>'Model inputs'!AG413-'Model inputs'!AG368-'Model inputs'!AG389</f>
        <v>173823.08833153604</v>
      </c>
      <c r="AH377" s="9">
        <f>'Model inputs'!AH413-'Model inputs'!AH368-'Model inputs'!AH389</f>
        <v>185531.5309814821</v>
      </c>
      <c r="AI377" s="9">
        <f>'Model inputs'!AI413-'Model inputs'!AI368-'Model inputs'!AI389</f>
        <v>221666.22691092658</v>
      </c>
    </row>
    <row r="378">
      <c r="A378" t="inlineStr" s="13">
        <is>
          <t xml:space="preserve">Haq Operating costs · Haq Ending cash · Main Scenario · Main Scenario</t>
        </is>
      </c>
      <c r="B378" s="9">
        <f>'Model inputs'!B405+'Model inputs'!B384+'Model inputs'!B402+'Model inputs'!B396+'Model inputs'!B6</f>
        <v>75000</v>
      </c>
      <c r="C378" s="9">
        <f>'Model inputs'!C405+'Model inputs'!C384+'Model inputs'!C402+'Model inputs'!C396+'Model inputs'!C6</f>
        <v>75000</v>
      </c>
      <c r="D378" s="9">
        <f>'Model inputs'!D405+'Model inputs'!D384+'Model inputs'!D402+'Model inputs'!D396+'Model inputs'!D6</f>
        <v>75000</v>
      </c>
      <c r="E378" s="9">
        <f>'Model inputs'!E405+'Model inputs'!E384+'Model inputs'!E402+'Model inputs'!E396+'Model inputs'!E6</f>
        <v>75000</v>
      </c>
      <c r="F378" s="9">
        <f>'Model inputs'!F405+'Model inputs'!F384+'Model inputs'!F402+'Model inputs'!F396+'Model inputs'!F6</f>
        <v>75000</v>
      </c>
      <c r="G378" s="9">
        <f>'Model inputs'!G405+'Model inputs'!G384+'Model inputs'!G402+'Model inputs'!G396+'Model inputs'!G6</f>
        <v>75000</v>
      </c>
      <c r="H378" s="9">
        <f>'Model inputs'!H405+'Model inputs'!H384+'Model inputs'!H402+'Model inputs'!H396+'Model inputs'!H6</f>
        <v>75000</v>
      </c>
      <c r="I378" s="9">
        <f>'Model inputs'!I405+'Model inputs'!I384+'Model inputs'!I402+'Model inputs'!I396+'Model inputs'!I6</f>
        <v>75000</v>
      </c>
      <c r="J378" s="9">
        <f>'Model inputs'!J405+'Model inputs'!J384+'Model inputs'!J402+'Model inputs'!J396+'Model inputs'!J6</f>
        <v>75000</v>
      </c>
      <c r="K378" s="9">
        <f>'Model inputs'!K405+'Model inputs'!K384+'Model inputs'!K402+'Model inputs'!K396+'Model inputs'!K6</f>
        <v>75000</v>
      </c>
      <c r="L378" s="9">
        <f>'Model inputs'!L405+'Model inputs'!L384+'Model inputs'!L402+'Model inputs'!L396+'Model inputs'!L6</f>
        <v>225000</v>
      </c>
      <c r="M378" s="9">
        <f>'Model inputs'!M405+'Model inputs'!M384+'Model inputs'!M402+'Model inputs'!M396+'Model inputs'!M6</f>
        <v>225000</v>
      </c>
      <c r="N378" s="9">
        <f>'Model inputs'!N405+'Model inputs'!N384+'Model inputs'!N402+'Model inputs'!N396+'Model inputs'!N6</f>
        <v>225000</v>
      </c>
      <c r="O378" s="9">
        <f>'Model inputs'!O405+'Model inputs'!O384+'Model inputs'!O402+'Model inputs'!O396+'Model inputs'!O6</f>
        <v>275040</v>
      </c>
      <c r="P378" s="9">
        <f>'Model inputs'!P405+'Model inputs'!P384+'Model inputs'!P402+'Model inputs'!P396+'Model inputs'!P6</f>
        <v>225046</v>
      </c>
      <c r="Q378" s="9">
        <f>'Model inputs'!Q405+'Model inputs'!Q384+'Model inputs'!Q402+'Model inputs'!Q396+'Model inputs'!Q6</f>
        <v>385073.73333333334</v>
      </c>
      <c r="R378" s="9">
        <f>'Model inputs'!R405+'Model inputs'!R384+'Model inputs'!R402+'Model inputs'!R396+'Model inputs'!R6</f>
        <v>385081.66833333333</v>
      </c>
      <c r="S378" s="9">
        <f>'Model inputs'!S405+'Model inputs'!S384+'Model inputs'!S402+'Model inputs'!S396+'Model inputs'!S6</f>
        <v>385090.7935833333</v>
      </c>
      <c r="T378" s="9">
        <f>'Model inputs'!T405+'Model inputs'!T384+'Model inputs'!T402+'Model inputs'!T396+'Model inputs'!T6</f>
        <v>485130.4542875</v>
      </c>
      <c r="U378" s="9">
        <f>'Model inputs'!U405+'Model inputs'!U384+'Model inputs'!U402+'Model inputs'!U396+'Model inputs'!U6</f>
        <v>385142.522430625</v>
      </c>
      <c r="V378" s="9">
        <f>'Model inputs'!V405+'Model inputs'!V384+'Model inputs'!V402+'Model inputs'!V396+'Model inputs'!V6</f>
        <v>385156.40079521877</v>
      </c>
      <c r="W378" s="9">
        <f>'Model inputs'!W405+'Model inputs'!W384+'Model inputs'!W402+'Model inputs'!W396+'Model inputs'!W6</f>
        <v>488401.9251905432</v>
      </c>
      <c r="X378" s="9">
        <f>'Model inputs'!X405+'Model inputs'!X384+'Model inputs'!X402+'Model inputs'!X396+'Model inputs'!X6</f>
        <v>396400.3389691247</v>
      </c>
      <c r="Y378" s="9">
        <f>'Model inputs'!Y405+'Model inputs'!Y384+'Model inputs'!Y402+'Model inputs'!Y396+'Model inputs'!Y6</f>
        <v>405598.51481449336</v>
      </c>
      <c r="Z378" s="9">
        <f>'Model inputs'!Z405+'Model inputs'!Z384+'Model inputs'!Z402+'Model inputs'!Z396+'Model inputs'!Z6</f>
        <v>516197.2503700007</v>
      </c>
      <c r="AA378" s="9">
        <f>'Model inputs'!AA405+'Model inputs'!AA384+'Model inputs'!AA402+'Model inputs'!AA396+'Model inputs'!AA6</f>
        <v>428361.8379255008</v>
      </c>
      <c r="AB378" s="9">
        <f>'Model inputs'!AB405+'Model inputs'!AB384+'Model inputs'!AB402+'Model inputs'!AB396+'Model inputs'!AB6</f>
        <v>442351.1136143259</v>
      </c>
      <c r="AC378" s="9">
        <f>'Model inputs'!AC405+'Model inputs'!AC384+'Model inputs'!AC402+'Model inputs'!AC396+'Model inputs'!AC6</f>
        <v>558472.1139898081</v>
      </c>
      <c r="AD378" s="9">
        <f>'Model inputs'!AD405+'Model inputs'!AD384+'Model inputs'!AD402+'Model inputs'!AD396+'Model inputs'!AD6</f>
        <v>476972.93108827935</v>
      </c>
      <c r="AE378" s="9">
        <f>'Model inputs'!AE405+'Model inputs'!AE384+'Model inputs'!AE402+'Model inputs'!AE396+'Model inputs'!AE6</f>
        <v>498248.8707515212</v>
      </c>
      <c r="AF378" s="9">
        <f>'Model inputs'!AF405+'Model inputs'!AF384+'Model inputs'!AF402+'Model inputs'!AF396+'Model inputs'!AF6</f>
        <v>622737.0346975827</v>
      </c>
      <c r="AG378" s="9">
        <f>'Model inputs'!AG405+'Model inputs'!AG384+'Model inputs'!AG402+'Model inputs'!AG396+'Model inputs'!AG6</f>
        <v>550874.4649022201</v>
      </c>
      <c r="AH378" s="9">
        <f>'Model inputs'!AH405+'Model inputs'!AH384+'Model inputs'!AH402+'Model inputs'!AH396+'Model inputs'!AH6</f>
        <v>683253.3429708865</v>
      </c>
      <c r="AI378" s="9">
        <f>'Model inputs'!AI405+'Model inputs'!AI384+'Model inputs'!AI402+'Model inputs'!AI396+'Model inputs'!AI6</f>
        <v>720498.4277498526</v>
      </c>
    </row>
    <row r="379">
      <c r="A379" t="inlineStr" s="13">
        <is>
          <t xml:space="preserve">Haq Operating costs · Haq Ending cash · Growth · Growth</t>
        </is>
      </c>
      <c r="B379" s="9">
        <f>'Model inputs'!B406+'Model inputs'!B385+'Model inputs'!B403+'Model inputs'!B397+'Model inputs'!B7</f>
        <v>75000</v>
      </c>
      <c r="C379" s="9">
        <f>'Model inputs'!C406+'Model inputs'!C385+'Model inputs'!C403+'Model inputs'!C397+'Model inputs'!C7</f>
        <v>75000</v>
      </c>
      <c r="D379" s="9">
        <f>'Model inputs'!D406+'Model inputs'!D385+'Model inputs'!D403+'Model inputs'!D397+'Model inputs'!D7</f>
        <v>75000</v>
      </c>
      <c r="E379" s="9">
        <f>'Model inputs'!E406+'Model inputs'!E385+'Model inputs'!E403+'Model inputs'!E397+'Model inputs'!E7</f>
        <v>75000</v>
      </c>
      <c r="F379" s="9">
        <f>'Model inputs'!F406+'Model inputs'!F385+'Model inputs'!F403+'Model inputs'!F397+'Model inputs'!F7</f>
        <v>75000</v>
      </c>
      <c r="G379" s="9">
        <f>'Model inputs'!G406+'Model inputs'!G385+'Model inputs'!G403+'Model inputs'!G397+'Model inputs'!G7</f>
        <v>75000</v>
      </c>
      <c r="H379" s="9">
        <f>'Model inputs'!H406+'Model inputs'!H385+'Model inputs'!H403+'Model inputs'!H397+'Model inputs'!H7</f>
        <v>75000</v>
      </c>
      <c r="I379" s="9">
        <f>'Model inputs'!I406+'Model inputs'!I385+'Model inputs'!I403+'Model inputs'!I397+'Model inputs'!I7</f>
        <v>75000</v>
      </c>
      <c r="J379" s="9">
        <f>'Model inputs'!J406+'Model inputs'!J385+'Model inputs'!J403+'Model inputs'!J397+'Model inputs'!J7</f>
        <v>75000</v>
      </c>
      <c r="K379" s="9">
        <f>'Model inputs'!K406+'Model inputs'!K385+'Model inputs'!K403+'Model inputs'!K397+'Model inputs'!K7</f>
        <v>75000</v>
      </c>
      <c r="L379" s="9">
        <f>'Model inputs'!L406+'Model inputs'!L385+'Model inputs'!L403+'Model inputs'!L397+'Model inputs'!L7</f>
        <v>225000</v>
      </c>
      <c r="M379" s="9">
        <f>'Model inputs'!M406+'Model inputs'!M385+'Model inputs'!M403+'Model inputs'!M397+'Model inputs'!M7</f>
        <v>225000</v>
      </c>
      <c r="N379" s="9">
        <f>'Model inputs'!N406+'Model inputs'!N385+'Model inputs'!N403+'Model inputs'!N397+'Model inputs'!N7</f>
        <v>225000</v>
      </c>
      <c r="O379" s="9">
        <f>'Model inputs'!O406+'Model inputs'!O385+'Model inputs'!O403+'Model inputs'!O397+'Model inputs'!O7</f>
        <v>275040</v>
      </c>
      <c r="P379" s="9">
        <f>'Model inputs'!P406+'Model inputs'!P385+'Model inputs'!P403+'Model inputs'!P397+'Model inputs'!P7</f>
        <v>225050.8</v>
      </c>
      <c r="Q379" s="9">
        <f>'Model inputs'!Q406+'Model inputs'!Q385+'Model inputs'!Q403+'Model inputs'!Q397+'Model inputs'!Q7</f>
        <v>485106.1826666667</v>
      </c>
      <c r="R379" s="9">
        <f>'Model inputs'!R406+'Model inputs'!R385+'Model inputs'!R403+'Model inputs'!R397+'Model inputs'!R7</f>
        <v>385123.6019866667</v>
      </c>
      <c r="S379" s="9">
        <f>'Model inputs'!S406+'Model inputs'!S385+'Model inputs'!S403+'Model inputs'!S397+'Model inputs'!S7</f>
        <v>396597.21452306665</v>
      </c>
      <c r="T379" s="9">
        <f>'Model inputs'!T406+'Model inputs'!T385+'Model inputs'!T403+'Model inputs'!T397+'Model inputs'!T7</f>
        <v>613275.545777628</v>
      </c>
      <c r="U379" s="9">
        <f>'Model inputs'!U406+'Model inputs'!U385+'Model inputs'!U403+'Model inputs'!U397+'Model inputs'!U7</f>
        <v>434382.9431375876</v>
      </c>
      <c r="V379" s="9">
        <f>'Model inputs'!V406+'Model inputs'!V385+'Model inputs'!V403+'Model inputs'!V397+'Model inputs'!V7</f>
        <v>461189.3377847362</v>
      </c>
      <c r="W379" s="9">
        <f>'Model inputs'!W406+'Model inputs'!W385+'Model inputs'!W403+'Model inputs'!W397+'Model inputs'!W7</f>
        <v>695291.7923199483</v>
      </c>
      <c r="X379" s="9">
        <f>'Model inputs'!X406+'Model inputs'!X385+'Model inputs'!X403+'Model inputs'!X397+'Model inputs'!X7</f>
        <v>538527.8262463344</v>
      </c>
      <c r="Y379" s="9">
        <f>'Model inputs'!Y406+'Model inputs'!Y385+'Model inputs'!Y403+'Model inputs'!Y397+'Model inputs'!Y7</f>
        <v>593437.5893328446</v>
      </c>
      <c r="Z379" s="9">
        <f>'Model inputs'!Z406+'Model inputs'!Z385+'Model inputs'!Z403+'Model inputs'!Z397+'Model inputs'!Z7</f>
        <v>863214.6551193794</v>
      </c>
      <c r="AA379" s="9">
        <f>'Model inputs'!AA406+'Model inputs'!AA385+'Model inputs'!AA403+'Model inputs'!AA397+'Model inputs'!AA7</f>
        <v>751778.6120016119</v>
      </c>
      <c r="AB379" s="9">
        <f>'Model inputs'!AB406+'Model inputs'!AB385+'Model inputs'!AB403+'Model inputs'!AB397+'Model inputs'!AB7</f>
        <v>864254.8372420471</v>
      </c>
      <c r="AC379" s="9">
        <f>'Model inputs'!AC406+'Model inputs'!AC385+'Model inputs'!AC403+'Model inputs'!AC397+'Model inputs'!AC7</f>
        <v>1207166.3099640664</v>
      </c>
      <c r="AD379" s="9">
        <f>'Model inputs'!AD406+'Model inputs'!AD385+'Model inputs'!AD403+'Model inputs'!AD397+'Model inputs'!AD7</f>
        <v>1188579.213654364</v>
      </c>
      <c r="AE379" s="9">
        <f>'Model inputs'!AE406+'Model inputs'!AE385+'Model inputs'!AE403+'Model inputs'!AE397+'Model inputs'!AE7</f>
        <v>1418973.6013410427</v>
      </c>
      <c r="AF379" s="9">
        <f>'Model inputs'!AF406+'Model inputs'!AF385+'Model inputs'!AF403+'Model inputs'!AF397+'Model inputs'!AF7</f>
        <v>1911616.1403697906</v>
      </c>
      <c r="AG379" s="9">
        <f>'Model inputs'!AG406+'Model inputs'!AG385+'Model inputs'!AG403+'Model inputs'!AG397+'Model inputs'!AG7</f>
        <v>2083219.248269634</v>
      </c>
      <c r="AH379" s="9">
        <f>'Model inputs'!AH406+'Model inputs'!AH385+'Model inputs'!AH403+'Model inputs'!AH397+'Model inputs'!AH7</f>
        <v>2755196.861969102</v>
      </c>
      <c r="AI379" s="9">
        <f>'Model inputs'!AI406+'Model inputs'!AI385+'Model inputs'!AI403+'Model inputs'!AI397+'Model inputs'!AI7</f>
        <v>3354622.181367426</v>
      </c>
    </row>
    <row r="380">
      <c r="A380" t="inlineStr" s="13">
        <is>
          <t xml:space="preserve">Haq Operating costs · Haq Ending cash · Conservative · Conservative</t>
        </is>
      </c>
      <c r="B380" s="9">
        <f>'Model inputs'!B407+'Model inputs'!B386+'Model inputs'!B404+'Model inputs'!B398+'Model inputs'!B8</f>
        <v>75000</v>
      </c>
      <c r="C380" s="9">
        <f>'Model inputs'!C407+'Model inputs'!C386+'Model inputs'!C404+'Model inputs'!C398+'Model inputs'!C8</f>
        <v>75000</v>
      </c>
      <c r="D380" s="9">
        <f>'Model inputs'!D407+'Model inputs'!D386+'Model inputs'!D404+'Model inputs'!D398+'Model inputs'!D8</f>
        <v>75000</v>
      </c>
      <c r="E380" s="9">
        <f>'Model inputs'!E407+'Model inputs'!E386+'Model inputs'!E404+'Model inputs'!E398+'Model inputs'!E8</f>
        <v>75000</v>
      </c>
      <c r="F380" s="9">
        <f>'Model inputs'!F407+'Model inputs'!F386+'Model inputs'!F404+'Model inputs'!F398+'Model inputs'!F8</f>
        <v>75000</v>
      </c>
      <c r="G380" s="9">
        <f>'Model inputs'!G407+'Model inputs'!G386+'Model inputs'!G404+'Model inputs'!G398+'Model inputs'!G8</f>
        <v>75000</v>
      </c>
      <c r="H380" s="9">
        <f>'Model inputs'!H407+'Model inputs'!H386+'Model inputs'!H404+'Model inputs'!H398+'Model inputs'!H8</f>
        <v>75000</v>
      </c>
      <c r="I380" s="9">
        <f>'Model inputs'!I407+'Model inputs'!I386+'Model inputs'!I404+'Model inputs'!I398+'Model inputs'!I8</f>
        <v>75000</v>
      </c>
      <c r="J380" s="9">
        <f>'Model inputs'!J407+'Model inputs'!J386+'Model inputs'!J404+'Model inputs'!J398+'Model inputs'!J8</f>
        <v>75000</v>
      </c>
      <c r="K380" s="9">
        <f>'Model inputs'!K407+'Model inputs'!K386+'Model inputs'!K404+'Model inputs'!K398+'Model inputs'!K8</f>
        <v>75000</v>
      </c>
      <c r="L380" s="9">
        <f>'Model inputs'!L407+'Model inputs'!L386+'Model inputs'!L404+'Model inputs'!L398+'Model inputs'!L8</f>
        <v>225000</v>
      </c>
      <c r="M380" s="9">
        <f>'Model inputs'!M407+'Model inputs'!M386+'Model inputs'!M404+'Model inputs'!M398+'Model inputs'!M8</f>
        <v>225000</v>
      </c>
      <c r="N380" s="9">
        <f>'Model inputs'!N407+'Model inputs'!N386+'Model inputs'!N404+'Model inputs'!N398+'Model inputs'!N8</f>
        <v>225000</v>
      </c>
      <c r="O380" s="9">
        <f>'Model inputs'!O407+'Model inputs'!O386+'Model inputs'!O404+'Model inputs'!O398+'Model inputs'!O8</f>
        <v>275040</v>
      </c>
      <c r="P380" s="9">
        <f>'Model inputs'!P407+'Model inputs'!P386+'Model inputs'!P404+'Model inputs'!P398+'Model inputs'!P8</f>
        <v>225041.2</v>
      </c>
      <c r="Q380" s="9">
        <f>'Model inputs'!Q407+'Model inputs'!Q386+'Model inputs'!Q404+'Model inputs'!Q398+'Model inputs'!Q8</f>
        <v>335052.8526666667</v>
      </c>
      <c r="R380" s="9">
        <f>'Model inputs'!R407+'Model inputs'!R386+'Model inputs'!R404+'Model inputs'!R398+'Model inputs'!R8</f>
        <v>385054.1257466667</v>
      </c>
      <c r="S380" s="9">
        <f>'Model inputs'!S407+'Model inputs'!S386+'Model inputs'!S404+'Model inputs'!S398+'Model inputs'!S8</f>
        <v>385055.43701906665</v>
      </c>
      <c r="T380" s="9">
        <f>'Model inputs'!T407+'Model inputs'!T386+'Model inputs'!T404+'Model inputs'!T398+'Model inputs'!T8</f>
        <v>435071.370962972</v>
      </c>
      <c r="U380" s="9">
        <f>'Model inputs'!U407+'Model inputs'!U386+'Model inputs'!U404+'Model inputs'!U398+'Model inputs'!U8</f>
        <v>385072.76209186116</v>
      </c>
      <c r="V380" s="9">
        <f>'Model inputs'!V407+'Model inputs'!V386+'Model inputs'!V404+'Model inputs'!V398+'Model inputs'!V8</f>
        <v>385074.194954617</v>
      </c>
      <c r="W380" s="9">
        <f>'Model inputs'!W407+'Model inputs'!W386+'Model inputs'!W404+'Model inputs'!W398+'Model inputs'!W8</f>
        <v>435090.25413658883</v>
      </c>
      <c r="X380" s="9">
        <f>'Model inputs'!X407+'Model inputs'!X386+'Model inputs'!X404+'Model inputs'!X398+'Model inputs'!X8</f>
        <v>385091.7742606865</v>
      </c>
      <c r="Y380" s="9">
        <f>'Model inputs'!Y407+'Model inputs'!Y386+'Model inputs'!Y404+'Model inputs'!Y398+'Model inputs'!Y8</f>
        <v>385093.3399885071</v>
      </c>
      <c r="Z380" s="9">
        <f>'Model inputs'!Z407+'Model inputs'!Z386+'Model inputs'!Z404+'Model inputs'!Z398+'Model inputs'!Z8</f>
        <v>435105.36935482896</v>
      </c>
      <c r="AA380" s="9">
        <f>'Model inputs'!AA407+'Model inputs'!AA386+'Model inputs'!AA404+'Model inputs'!AA398+'Model inputs'!AA8</f>
        <v>385107.03043547383</v>
      </c>
      <c r="AB380" s="9">
        <f>'Model inputs'!AB407+'Model inputs'!AB386+'Model inputs'!AB404+'Model inputs'!AB398+'Model inputs'!AB8</f>
        <v>385108.7413485381</v>
      </c>
      <c r="AC380" s="9">
        <f>'Model inputs'!AC407+'Model inputs'!AC386+'Model inputs'!AC404+'Model inputs'!AC398+'Model inputs'!AC8</f>
        <v>435127.1702556609</v>
      </c>
      <c r="AD380" s="9">
        <f>'Model inputs'!AD407+'Model inputs'!AD386+'Model inputs'!AD404+'Model inputs'!AD398+'Model inputs'!AD8</f>
        <v>385128.9853633307</v>
      </c>
      <c r="AE380" s="9">
        <f>'Model inputs'!AE407+'Model inputs'!AE386+'Model inputs'!AE404+'Model inputs'!AE398+'Model inputs'!AE8</f>
        <v>385130.8549242306</v>
      </c>
      <c r="AF380" s="9">
        <f>'Model inputs'!AF407+'Model inputs'!AF386+'Model inputs'!AF404+'Model inputs'!AF398+'Model inputs'!AF8</f>
        <v>435143.1972386242</v>
      </c>
      <c r="AG380" s="9">
        <f>'Model inputs'!AG407+'Model inputs'!AG386+'Model inputs'!AG404+'Model inputs'!AG398+'Model inputs'!AG8</f>
        <v>385145.1806557829</v>
      </c>
      <c r="AH380" s="9">
        <f>'Model inputs'!AH407+'Model inputs'!AH386+'Model inputs'!AH404+'Model inputs'!AH398+'Model inputs'!AH8</f>
        <v>435157.6402421231</v>
      </c>
      <c r="AI380" s="9">
        <f>'Model inputs'!AI407+'Model inputs'!AI386+'Model inputs'!AI404+'Model inputs'!AI398+'Model inputs'!AI8</f>
        <v>435176.41111605347</v>
      </c>
    </row>
    <row r="381">
      <c r="A381" t="inlineStr" s="13">
        <is>
          <t xml:space="preserve">Haq check cost · Haq Ending cash · Main Scenario · Main Scenario</t>
        </is>
      </c>
      <c r="B381" s="9">
        <f>IF(IF(IF(ISERROR('Model inputs'!B186&lt;'Model inputs'!AJ40),'Model inputs'!B186&lt;'Model inputs'!AJ40,IF(OR('Model inputs'!B186="",'Model inputs'!AJ40=""),"",'Model inputs'!B186&lt;'Model inputs'!AJ40))="",FALSE,IF(ISERROR('Model inputs'!B186&lt;'Model inputs'!AJ40),'Model inputs'!B186&lt;'Model inputs'!AJ40,IF(OR('Model inputs'!B186="",'Model inputs'!AJ40=""),"",'Model inputs'!B186&lt;'Model inputs'!AJ40))),IF('Model inputs'!AJ73="","",'Model inputs'!AJ73),IF(IF(IF(ISERROR('Model inputs'!B186&lt;'Model inputs'!AJ70),'Model inputs'!B186&lt;'Model inputs'!AJ70,IF(OR('Model inputs'!B186="",'Model inputs'!AJ70=""),"",'Model inputs'!B186&lt;'Model inputs'!AJ70))="",FALSE,IF(ISERROR('Model inputs'!B186&lt;'Model inputs'!AJ70),'Model inputs'!B186&lt;'Model inputs'!AJ70,IF(OR('Model inputs'!B186="",'Model inputs'!AJ70=""),"",'Model inputs'!B186&lt;'Model inputs'!AJ70))),IF('Model inputs'!AJ41="","",'Model inputs'!AJ41),IF('Model inputs'!AJ71="","",'Model inputs'!AJ71)))</f>
        <v>20</v>
      </c>
      <c r="C381" s="9">
        <f>IF(IF(IF(ISERROR('Model inputs'!C186&lt;'Model inputs'!AJ40),'Model inputs'!C186&lt;'Model inputs'!AJ40,IF(OR('Model inputs'!C186="",'Model inputs'!AJ40=""),"",'Model inputs'!C186&lt;'Model inputs'!AJ40))="",FALSE,IF(ISERROR('Model inputs'!C186&lt;'Model inputs'!AJ40),'Model inputs'!C186&lt;'Model inputs'!AJ40,IF(OR('Model inputs'!C186="",'Model inputs'!AJ40=""),"",'Model inputs'!C186&lt;'Model inputs'!AJ40))),IF('Model inputs'!AJ73="","",'Model inputs'!AJ73),IF(IF(IF(ISERROR('Model inputs'!C186&lt;'Model inputs'!AJ70),'Model inputs'!C186&lt;'Model inputs'!AJ70,IF(OR('Model inputs'!C186="",'Model inputs'!AJ70=""),"",'Model inputs'!C186&lt;'Model inputs'!AJ70))="",FALSE,IF(ISERROR('Model inputs'!C186&lt;'Model inputs'!AJ70),'Model inputs'!C186&lt;'Model inputs'!AJ70,IF(OR('Model inputs'!C186="",'Model inputs'!AJ70=""),"",'Model inputs'!C186&lt;'Model inputs'!AJ70))),IF('Model inputs'!AJ41="","",'Model inputs'!AJ41),IF('Model inputs'!AJ71="","",'Model inputs'!AJ71)))</f>
        <v>20</v>
      </c>
      <c r="D381" s="9">
        <f>IF(IF(IF(ISERROR('Model inputs'!D186&lt;'Model inputs'!AJ40),'Model inputs'!D186&lt;'Model inputs'!AJ40,IF(OR('Model inputs'!D186="",'Model inputs'!AJ40=""),"",'Model inputs'!D186&lt;'Model inputs'!AJ40))="",FALSE,IF(ISERROR('Model inputs'!D186&lt;'Model inputs'!AJ40),'Model inputs'!D186&lt;'Model inputs'!AJ40,IF(OR('Model inputs'!D186="",'Model inputs'!AJ40=""),"",'Model inputs'!D186&lt;'Model inputs'!AJ40))),IF('Model inputs'!AJ73="","",'Model inputs'!AJ73),IF(IF(IF(ISERROR('Model inputs'!D186&lt;'Model inputs'!AJ70),'Model inputs'!D186&lt;'Model inputs'!AJ70,IF(OR('Model inputs'!D186="",'Model inputs'!AJ70=""),"",'Model inputs'!D186&lt;'Model inputs'!AJ70))="",FALSE,IF(ISERROR('Model inputs'!D186&lt;'Model inputs'!AJ70),'Model inputs'!D186&lt;'Model inputs'!AJ70,IF(OR('Model inputs'!D186="",'Model inputs'!AJ70=""),"",'Model inputs'!D186&lt;'Model inputs'!AJ70))),IF('Model inputs'!AJ41="","",'Model inputs'!AJ41),IF('Model inputs'!AJ71="","",'Model inputs'!AJ71)))</f>
        <v>20</v>
      </c>
      <c r="E381" s="9">
        <f>IF(IF(IF(ISERROR('Model inputs'!E186&lt;'Model inputs'!AJ40),'Model inputs'!E186&lt;'Model inputs'!AJ40,IF(OR('Model inputs'!E186="",'Model inputs'!AJ40=""),"",'Model inputs'!E186&lt;'Model inputs'!AJ40))="",FALSE,IF(ISERROR('Model inputs'!E186&lt;'Model inputs'!AJ40),'Model inputs'!E186&lt;'Model inputs'!AJ40,IF(OR('Model inputs'!E186="",'Model inputs'!AJ40=""),"",'Model inputs'!E186&lt;'Model inputs'!AJ40))),IF('Model inputs'!AJ73="","",'Model inputs'!AJ73),IF(IF(IF(ISERROR('Model inputs'!E186&lt;'Model inputs'!AJ70),'Model inputs'!E186&lt;'Model inputs'!AJ70,IF(OR('Model inputs'!E186="",'Model inputs'!AJ70=""),"",'Model inputs'!E186&lt;'Model inputs'!AJ70))="",FALSE,IF(ISERROR('Model inputs'!E186&lt;'Model inputs'!AJ70),'Model inputs'!E186&lt;'Model inputs'!AJ70,IF(OR('Model inputs'!E186="",'Model inputs'!AJ70=""),"",'Model inputs'!E186&lt;'Model inputs'!AJ70))),IF('Model inputs'!AJ41="","",'Model inputs'!AJ41),IF('Model inputs'!AJ71="","",'Model inputs'!AJ71)))</f>
        <v>20</v>
      </c>
      <c r="F381" s="9">
        <f>IF(IF(IF(ISERROR('Model inputs'!F186&lt;'Model inputs'!AJ40),'Model inputs'!F186&lt;'Model inputs'!AJ40,IF(OR('Model inputs'!F186="",'Model inputs'!AJ40=""),"",'Model inputs'!F186&lt;'Model inputs'!AJ40))="",FALSE,IF(ISERROR('Model inputs'!F186&lt;'Model inputs'!AJ40),'Model inputs'!F186&lt;'Model inputs'!AJ40,IF(OR('Model inputs'!F186="",'Model inputs'!AJ40=""),"",'Model inputs'!F186&lt;'Model inputs'!AJ40))),IF('Model inputs'!AJ73="","",'Model inputs'!AJ73),IF(IF(IF(ISERROR('Model inputs'!F186&lt;'Model inputs'!AJ70),'Model inputs'!F186&lt;'Model inputs'!AJ70,IF(OR('Model inputs'!F186="",'Model inputs'!AJ70=""),"",'Model inputs'!F186&lt;'Model inputs'!AJ70))="",FALSE,IF(ISERROR('Model inputs'!F186&lt;'Model inputs'!AJ70),'Model inputs'!F186&lt;'Model inputs'!AJ70,IF(OR('Model inputs'!F186="",'Model inputs'!AJ70=""),"",'Model inputs'!F186&lt;'Model inputs'!AJ70))),IF('Model inputs'!AJ41="","",'Model inputs'!AJ41),IF('Model inputs'!AJ71="","",'Model inputs'!AJ71)))</f>
        <v>20</v>
      </c>
      <c r="G381" s="9">
        <f>IF(IF(IF(ISERROR('Model inputs'!G186&lt;'Model inputs'!AJ40),'Model inputs'!G186&lt;'Model inputs'!AJ40,IF(OR('Model inputs'!G186="",'Model inputs'!AJ40=""),"",'Model inputs'!G186&lt;'Model inputs'!AJ40))="",FALSE,IF(ISERROR('Model inputs'!G186&lt;'Model inputs'!AJ40),'Model inputs'!G186&lt;'Model inputs'!AJ40,IF(OR('Model inputs'!G186="",'Model inputs'!AJ40=""),"",'Model inputs'!G186&lt;'Model inputs'!AJ40))),IF('Model inputs'!AJ73="","",'Model inputs'!AJ73),IF(IF(IF(ISERROR('Model inputs'!G186&lt;'Model inputs'!AJ70),'Model inputs'!G186&lt;'Model inputs'!AJ70,IF(OR('Model inputs'!G186="",'Model inputs'!AJ70=""),"",'Model inputs'!G186&lt;'Model inputs'!AJ70))="",FALSE,IF(ISERROR('Model inputs'!G186&lt;'Model inputs'!AJ70),'Model inputs'!G186&lt;'Model inputs'!AJ70,IF(OR('Model inputs'!G186="",'Model inputs'!AJ70=""),"",'Model inputs'!G186&lt;'Model inputs'!AJ70))),IF('Model inputs'!AJ41="","",'Model inputs'!AJ41),IF('Model inputs'!AJ71="","",'Model inputs'!AJ71)))</f>
        <v>20</v>
      </c>
      <c r="H381" s="9">
        <f>IF(IF(IF(ISERROR('Model inputs'!H186&lt;'Model inputs'!AJ40),'Model inputs'!H186&lt;'Model inputs'!AJ40,IF(OR('Model inputs'!H186="",'Model inputs'!AJ40=""),"",'Model inputs'!H186&lt;'Model inputs'!AJ40))="",FALSE,IF(ISERROR('Model inputs'!H186&lt;'Model inputs'!AJ40),'Model inputs'!H186&lt;'Model inputs'!AJ40,IF(OR('Model inputs'!H186="",'Model inputs'!AJ40=""),"",'Model inputs'!H186&lt;'Model inputs'!AJ40))),IF('Model inputs'!AJ73="","",'Model inputs'!AJ73),IF(IF(IF(ISERROR('Model inputs'!H186&lt;'Model inputs'!AJ70),'Model inputs'!H186&lt;'Model inputs'!AJ70,IF(OR('Model inputs'!H186="",'Model inputs'!AJ70=""),"",'Model inputs'!H186&lt;'Model inputs'!AJ70))="",FALSE,IF(ISERROR('Model inputs'!H186&lt;'Model inputs'!AJ70),'Model inputs'!H186&lt;'Model inputs'!AJ70,IF(OR('Model inputs'!H186="",'Model inputs'!AJ70=""),"",'Model inputs'!H186&lt;'Model inputs'!AJ70))),IF('Model inputs'!AJ41="","",'Model inputs'!AJ41),IF('Model inputs'!AJ71="","",'Model inputs'!AJ71)))</f>
        <v>20</v>
      </c>
      <c r="I381" s="9">
        <f>IF(IF(IF(ISERROR('Model inputs'!I186&lt;'Model inputs'!AJ40),'Model inputs'!I186&lt;'Model inputs'!AJ40,IF(OR('Model inputs'!I186="",'Model inputs'!AJ40=""),"",'Model inputs'!I186&lt;'Model inputs'!AJ40))="",FALSE,IF(ISERROR('Model inputs'!I186&lt;'Model inputs'!AJ40),'Model inputs'!I186&lt;'Model inputs'!AJ40,IF(OR('Model inputs'!I186="",'Model inputs'!AJ40=""),"",'Model inputs'!I186&lt;'Model inputs'!AJ40))),IF('Model inputs'!AJ73="","",'Model inputs'!AJ73),IF(IF(IF(ISERROR('Model inputs'!I186&lt;'Model inputs'!AJ70),'Model inputs'!I186&lt;'Model inputs'!AJ70,IF(OR('Model inputs'!I186="",'Model inputs'!AJ70=""),"",'Model inputs'!I186&lt;'Model inputs'!AJ70))="",FALSE,IF(ISERROR('Model inputs'!I186&lt;'Model inputs'!AJ70),'Model inputs'!I186&lt;'Model inputs'!AJ70,IF(OR('Model inputs'!I186="",'Model inputs'!AJ70=""),"",'Model inputs'!I186&lt;'Model inputs'!AJ70))),IF('Model inputs'!AJ41="","",'Model inputs'!AJ41),IF('Model inputs'!AJ71="","",'Model inputs'!AJ71)))</f>
        <v>20</v>
      </c>
      <c r="J381" s="9">
        <f>IF(IF(IF(ISERROR('Model inputs'!J186&lt;'Model inputs'!AJ40),'Model inputs'!J186&lt;'Model inputs'!AJ40,IF(OR('Model inputs'!J186="",'Model inputs'!AJ40=""),"",'Model inputs'!J186&lt;'Model inputs'!AJ40))="",FALSE,IF(ISERROR('Model inputs'!J186&lt;'Model inputs'!AJ40),'Model inputs'!J186&lt;'Model inputs'!AJ40,IF(OR('Model inputs'!J186="",'Model inputs'!AJ40=""),"",'Model inputs'!J186&lt;'Model inputs'!AJ40))),IF('Model inputs'!AJ73="","",'Model inputs'!AJ73),IF(IF(IF(ISERROR('Model inputs'!J186&lt;'Model inputs'!AJ70),'Model inputs'!J186&lt;'Model inputs'!AJ70,IF(OR('Model inputs'!J186="",'Model inputs'!AJ70=""),"",'Model inputs'!J186&lt;'Model inputs'!AJ70))="",FALSE,IF(ISERROR('Model inputs'!J186&lt;'Model inputs'!AJ70),'Model inputs'!J186&lt;'Model inputs'!AJ70,IF(OR('Model inputs'!J186="",'Model inputs'!AJ70=""),"",'Model inputs'!J186&lt;'Model inputs'!AJ70))),IF('Model inputs'!AJ41="","",'Model inputs'!AJ41),IF('Model inputs'!AJ71="","",'Model inputs'!AJ71)))</f>
        <v>20</v>
      </c>
      <c r="K381" s="9">
        <f>IF(IF(IF(ISERROR('Model inputs'!K186&lt;'Model inputs'!AJ40),'Model inputs'!K186&lt;'Model inputs'!AJ40,IF(OR('Model inputs'!K186="",'Model inputs'!AJ40=""),"",'Model inputs'!K186&lt;'Model inputs'!AJ40))="",FALSE,IF(ISERROR('Model inputs'!K186&lt;'Model inputs'!AJ40),'Model inputs'!K186&lt;'Model inputs'!AJ40,IF(OR('Model inputs'!K186="",'Model inputs'!AJ40=""),"",'Model inputs'!K186&lt;'Model inputs'!AJ40))),IF('Model inputs'!AJ73="","",'Model inputs'!AJ73),IF(IF(IF(ISERROR('Model inputs'!K186&lt;'Model inputs'!AJ70),'Model inputs'!K186&lt;'Model inputs'!AJ70,IF(OR('Model inputs'!K186="",'Model inputs'!AJ70=""),"",'Model inputs'!K186&lt;'Model inputs'!AJ70))="",FALSE,IF(ISERROR('Model inputs'!K186&lt;'Model inputs'!AJ70),'Model inputs'!K186&lt;'Model inputs'!AJ70,IF(OR('Model inputs'!K186="",'Model inputs'!AJ70=""),"",'Model inputs'!K186&lt;'Model inputs'!AJ70))),IF('Model inputs'!AJ41="","",'Model inputs'!AJ41),IF('Model inputs'!AJ71="","",'Model inputs'!AJ71)))</f>
        <v>20</v>
      </c>
      <c r="L381" s="9">
        <f>IF(IF(IF(ISERROR('Model inputs'!L186&lt;'Model inputs'!AJ40),'Model inputs'!L186&lt;'Model inputs'!AJ40,IF(OR('Model inputs'!L186="",'Model inputs'!AJ40=""),"",'Model inputs'!L186&lt;'Model inputs'!AJ40))="",FALSE,IF(ISERROR('Model inputs'!L186&lt;'Model inputs'!AJ40),'Model inputs'!L186&lt;'Model inputs'!AJ40,IF(OR('Model inputs'!L186="",'Model inputs'!AJ40=""),"",'Model inputs'!L186&lt;'Model inputs'!AJ40))),IF('Model inputs'!AJ73="","",'Model inputs'!AJ73),IF(IF(IF(ISERROR('Model inputs'!L186&lt;'Model inputs'!AJ70),'Model inputs'!L186&lt;'Model inputs'!AJ70,IF(OR('Model inputs'!L186="",'Model inputs'!AJ70=""),"",'Model inputs'!L186&lt;'Model inputs'!AJ70))="",FALSE,IF(ISERROR('Model inputs'!L186&lt;'Model inputs'!AJ70),'Model inputs'!L186&lt;'Model inputs'!AJ70,IF(OR('Model inputs'!L186="",'Model inputs'!AJ70=""),"",'Model inputs'!L186&lt;'Model inputs'!AJ70))),IF('Model inputs'!AJ41="","",'Model inputs'!AJ41),IF('Model inputs'!AJ71="","",'Model inputs'!AJ71)))</f>
        <v>20</v>
      </c>
      <c r="M381" s="9">
        <f>IF(IF(IF(ISERROR('Model inputs'!M186&lt;'Model inputs'!AJ40),'Model inputs'!M186&lt;'Model inputs'!AJ40,IF(OR('Model inputs'!M186="",'Model inputs'!AJ40=""),"",'Model inputs'!M186&lt;'Model inputs'!AJ40))="",FALSE,IF(ISERROR('Model inputs'!M186&lt;'Model inputs'!AJ40),'Model inputs'!M186&lt;'Model inputs'!AJ40,IF(OR('Model inputs'!M186="",'Model inputs'!AJ40=""),"",'Model inputs'!M186&lt;'Model inputs'!AJ40))),IF('Model inputs'!AJ73="","",'Model inputs'!AJ73),IF(IF(IF(ISERROR('Model inputs'!M186&lt;'Model inputs'!AJ70),'Model inputs'!M186&lt;'Model inputs'!AJ70,IF(OR('Model inputs'!M186="",'Model inputs'!AJ70=""),"",'Model inputs'!M186&lt;'Model inputs'!AJ70))="",FALSE,IF(ISERROR('Model inputs'!M186&lt;'Model inputs'!AJ70),'Model inputs'!M186&lt;'Model inputs'!AJ70,IF(OR('Model inputs'!M186="",'Model inputs'!AJ70=""),"",'Model inputs'!M186&lt;'Model inputs'!AJ70))),IF('Model inputs'!AJ41="","",'Model inputs'!AJ41),IF('Model inputs'!AJ71="","",'Model inputs'!AJ71)))</f>
        <v>20</v>
      </c>
      <c r="N381" s="9">
        <f>IF(IF(IF(ISERROR('Model inputs'!N186&lt;'Model inputs'!AJ40),'Model inputs'!N186&lt;'Model inputs'!AJ40,IF(OR('Model inputs'!N186="",'Model inputs'!AJ40=""),"",'Model inputs'!N186&lt;'Model inputs'!AJ40))="",FALSE,IF(ISERROR('Model inputs'!N186&lt;'Model inputs'!AJ40),'Model inputs'!N186&lt;'Model inputs'!AJ40,IF(OR('Model inputs'!N186="",'Model inputs'!AJ40=""),"",'Model inputs'!N186&lt;'Model inputs'!AJ40))),IF('Model inputs'!AJ73="","",'Model inputs'!AJ73),IF(IF(IF(ISERROR('Model inputs'!N186&lt;'Model inputs'!AJ70),'Model inputs'!N186&lt;'Model inputs'!AJ70,IF(OR('Model inputs'!N186="",'Model inputs'!AJ70=""),"",'Model inputs'!N186&lt;'Model inputs'!AJ70))="",FALSE,IF(ISERROR('Model inputs'!N186&lt;'Model inputs'!AJ70),'Model inputs'!N186&lt;'Model inputs'!AJ70,IF(OR('Model inputs'!N186="",'Model inputs'!AJ70=""),"",'Model inputs'!N186&lt;'Model inputs'!AJ70))),IF('Model inputs'!AJ41="","",'Model inputs'!AJ41),IF('Model inputs'!AJ71="","",'Model inputs'!AJ71)))</f>
        <v>20</v>
      </c>
      <c r="O381" s="9">
        <f>IF(IF(IF(ISERROR('Model inputs'!O186&lt;'Model inputs'!AJ40),'Model inputs'!O186&lt;'Model inputs'!AJ40,IF(OR('Model inputs'!O186="",'Model inputs'!AJ40=""),"",'Model inputs'!O186&lt;'Model inputs'!AJ40))="",FALSE,IF(ISERROR('Model inputs'!O186&lt;'Model inputs'!AJ40),'Model inputs'!O186&lt;'Model inputs'!AJ40,IF(OR('Model inputs'!O186="",'Model inputs'!AJ40=""),"",'Model inputs'!O186&lt;'Model inputs'!AJ40))),IF('Model inputs'!AJ73="","",'Model inputs'!AJ73),IF(IF(IF(ISERROR('Model inputs'!O186&lt;'Model inputs'!AJ70),'Model inputs'!O186&lt;'Model inputs'!AJ70,IF(OR('Model inputs'!O186="",'Model inputs'!AJ70=""),"",'Model inputs'!O186&lt;'Model inputs'!AJ70))="",FALSE,IF(ISERROR('Model inputs'!O186&lt;'Model inputs'!AJ70),'Model inputs'!O186&lt;'Model inputs'!AJ70,IF(OR('Model inputs'!O186="",'Model inputs'!AJ70=""),"",'Model inputs'!O186&lt;'Model inputs'!AJ70))),IF('Model inputs'!AJ41="","",'Model inputs'!AJ41),IF('Model inputs'!AJ71="","",'Model inputs'!AJ71)))</f>
        <v>10</v>
      </c>
      <c r="P381" s="9">
        <f>IF(IF(IF(ISERROR('Model inputs'!P186&lt;'Model inputs'!AJ40),'Model inputs'!P186&lt;'Model inputs'!AJ40,IF(OR('Model inputs'!P186="",'Model inputs'!AJ40=""),"",'Model inputs'!P186&lt;'Model inputs'!AJ40))="",FALSE,IF(ISERROR('Model inputs'!P186&lt;'Model inputs'!AJ40),'Model inputs'!P186&lt;'Model inputs'!AJ40,IF(OR('Model inputs'!P186="",'Model inputs'!AJ40=""),"",'Model inputs'!P186&lt;'Model inputs'!AJ40))),IF('Model inputs'!AJ73="","",'Model inputs'!AJ73),IF(IF(IF(ISERROR('Model inputs'!P186&lt;'Model inputs'!AJ70),'Model inputs'!P186&lt;'Model inputs'!AJ70,IF(OR('Model inputs'!P186="",'Model inputs'!AJ70=""),"",'Model inputs'!P186&lt;'Model inputs'!AJ70))="",FALSE,IF(ISERROR('Model inputs'!P186&lt;'Model inputs'!AJ70),'Model inputs'!P186&lt;'Model inputs'!AJ70,IF(OR('Model inputs'!P186="",'Model inputs'!AJ70=""),"",'Model inputs'!P186&lt;'Model inputs'!AJ70))),IF('Model inputs'!AJ41="","",'Model inputs'!AJ41),IF('Model inputs'!AJ71="","",'Model inputs'!AJ71)))</f>
        <v>10</v>
      </c>
      <c r="Q381" s="9">
        <f>IF(IF(IF(ISERROR('Model inputs'!Q186&lt;'Model inputs'!AJ40),'Model inputs'!Q186&lt;'Model inputs'!AJ40,IF(OR('Model inputs'!Q186="",'Model inputs'!AJ40=""),"",'Model inputs'!Q186&lt;'Model inputs'!AJ40))="",FALSE,IF(ISERROR('Model inputs'!Q186&lt;'Model inputs'!AJ40),'Model inputs'!Q186&lt;'Model inputs'!AJ40,IF(OR('Model inputs'!Q186="",'Model inputs'!AJ40=""),"",'Model inputs'!Q186&lt;'Model inputs'!AJ40))),IF('Model inputs'!AJ73="","",'Model inputs'!AJ73),IF(IF(IF(ISERROR('Model inputs'!Q186&lt;'Model inputs'!AJ70),'Model inputs'!Q186&lt;'Model inputs'!AJ70,IF(OR('Model inputs'!Q186="",'Model inputs'!AJ70=""),"",'Model inputs'!Q186&lt;'Model inputs'!AJ70))="",FALSE,IF(ISERROR('Model inputs'!Q186&lt;'Model inputs'!AJ70),'Model inputs'!Q186&lt;'Model inputs'!AJ70,IF(OR('Model inputs'!Q186="",'Model inputs'!AJ70=""),"",'Model inputs'!Q186&lt;'Model inputs'!AJ70))),IF('Model inputs'!AJ41="","",'Model inputs'!AJ41),IF('Model inputs'!AJ71="","",'Model inputs'!AJ71)))</f>
        <v>10</v>
      </c>
      <c r="R381" s="9">
        <f>IF(IF(IF(ISERROR('Model inputs'!R186&lt;'Model inputs'!AJ40),'Model inputs'!R186&lt;'Model inputs'!AJ40,IF(OR('Model inputs'!R186="",'Model inputs'!AJ40=""),"",'Model inputs'!R186&lt;'Model inputs'!AJ40))="",FALSE,IF(ISERROR('Model inputs'!R186&lt;'Model inputs'!AJ40),'Model inputs'!R186&lt;'Model inputs'!AJ40,IF(OR('Model inputs'!R186="",'Model inputs'!AJ40=""),"",'Model inputs'!R186&lt;'Model inputs'!AJ40))),IF('Model inputs'!AJ73="","",'Model inputs'!AJ73),IF(IF(IF(ISERROR('Model inputs'!R186&lt;'Model inputs'!AJ70),'Model inputs'!R186&lt;'Model inputs'!AJ70,IF(OR('Model inputs'!R186="",'Model inputs'!AJ70=""),"",'Model inputs'!R186&lt;'Model inputs'!AJ70))="",FALSE,IF(ISERROR('Model inputs'!R186&lt;'Model inputs'!AJ70),'Model inputs'!R186&lt;'Model inputs'!AJ70,IF(OR('Model inputs'!R186="",'Model inputs'!AJ70=""),"",'Model inputs'!R186&lt;'Model inputs'!AJ70))),IF('Model inputs'!AJ41="","",'Model inputs'!AJ41),IF('Model inputs'!AJ71="","",'Model inputs'!AJ71)))</f>
        <v>10</v>
      </c>
      <c r="S381" s="9">
        <f>IF(IF(IF(ISERROR('Model inputs'!S186&lt;'Model inputs'!AJ40),'Model inputs'!S186&lt;'Model inputs'!AJ40,IF(OR('Model inputs'!S186="",'Model inputs'!AJ40=""),"",'Model inputs'!S186&lt;'Model inputs'!AJ40))="",FALSE,IF(ISERROR('Model inputs'!S186&lt;'Model inputs'!AJ40),'Model inputs'!S186&lt;'Model inputs'!AJ40,IF(OR('Model inputs'!S186="",'Model inputs'!AJ40=""),"",'Model inputs'!S186&lt;'Model inputs'!AJ40))),IF('Model inputs'!AJ73="","",'Model inputs'!AJ73),IF(IF(IF(ISERROR('Model inputs'!S186&lt;'Model inputs'!AJ70),'Model inputs'!S186&lt;'Model inputs'!AJ70,IF(OR('Model inputs'!S186="",'Model inputs'!AJ70=""),"",'Model inputs'!S186&lt;'Model inputs'!AJ70))="",FALSE,IF(ISERROR('Model inputs'!S186&lt;'Model inputs'!AJ70),'Model inputs'!S186&lt;'Model inputs'!AJ70,IF(OR('Model inputs'!S186="",'Model inputs'!AJ70=""),"",'Model inputs'!S186&lt;'Model inputs'!AJ70))),IF('Model inputs'!AJ41="","",'Model inputs'!AJ41),IF('Model inputs'!AJ71="","",'Model inputs'!AJ71)))</f>
        <v>10</v>
      </c>
      <c r="T381" s="9">
        <f>IF(IF(IF(ISERROR('Model inputs'!T186&lt;'Model inputs'!AJ40),'Model inputs'!T186&lt;'Model inputs'!AJ40,IF(OR('Model inputs'!T186="",'Model inputs'!AJ40=""),"",'Model inputs'!T186&lt;'Model inputs'!AJ40))="",FALSE,IF(ISERROR('Model inputs'!T186&lt;'Model inputs'!AJ40),'Model inputs'!T186&lt;'Model inputs'!AJ40,IF(OR('Model inputs'!T186="",'Model inputs'!AJ40=""),"",'Model inputs'!T186&lt;'Model inputs'!AJ40))),IF('Model inputs'!AJ73="","",'Model inputs'!AJ73),IF(IF(IF(ISERROR('Model inputs'!T186&lt;'Model inputs'!AJ70),'Model inputs'!T186&lt;'Model inputs'!AJ70,IF(OR('Model inputs'!T186="",'Model inputs'!AJ70=""),"",'Model inputs'!T186&lt;'Model inputs'!AJ70))="",FALSE,IF(ISERROR('Model inputs'!T186&lt;'Model inputs'!AJ70),'Model inputs'!T186&lt;'Model inputs'!AJ70,IF(OR('Model inputs'!T186="",'Model inputs'!AJ70=""),"",'Model inputs'!T186&lt;'Model inputs'!AJ70))),IF('Model inputs'!AJ41="","",'Model inputs'!AJ41),IF('Model inputs'!AJ71="","",'Model inputs'!AJ71)))</f>
        <v>10</v>
      </c>
      <c r="U381" s="9">
        <f>IF(IF(IF(ISERROR('Model inputs'!U186&lt;'Model inputs'!AJ40),'Model inputs'!U186&lt;'Model inputs'!AJ40,IF(OR('Model inputs'!U186="",'Model inputs'!AJ40=""),"",'Model inputs'!U186&lt;'Model inputs'!AJ40))="",FALSE,IF(ISERROR('Model inputs'!U186&lt;'Model inputs'!AJ40),'Model inputs'!U186&lt;'Model inputs'!AJ40,IF(OR('Model inputs'!U186="",'Model inputs'!AJ40=""),"",'Model inputs'!U186&lt;'Model inputs'!AJ40))),IF('Model inputs'!AJ73="","",'Model inputs'!AJ73),IF(IF(IF(ISERROR('Model inputs'!U186&lt;'Model inputs'!AJ70),'Model inputs'!U186&lt;'Model inputs'!AJ70,IF(OR('Model inputs'!U186="",'Model inputs'!AJ70=""),"",'Model inputs'!U186&lt;'Model inputs'!AJ70))="",FALSE,IF(ISERROR('Model inputs'!U186&lt;'Model inputs'!AJ70),'Model inputs'!U186&lt;'Model inputs'!AJ70,IF(OR('Model inputs'!U186="",'Model inputs'!AJ70=""),"",'Model inputs'!U186&lt;'Model inputs'!AJ70))),IF('Model inputs'!AJ41="","",'Model inputs'!AJ41),IF('Model inputs'!AJ71="","",'Model inputs'!AJ71)))</f>
        <v>4</v>
      </c>
      <c r="V381" s="9">
        <f>IF(IF(IF(ISERROR('Model inputs'!V186&lt;'Model inputs'!AJ40),'Model inputs'!V186&lt;'Model inputs'!AJ40,IF(OR('Model inputs'!V186="",'Model inputs'!AJ40=""),"",'Model inputs'!V186&lt;'Model inputs'!AJ40))="",FALSE,IF(ISERROR('Model inputs'!V186&lt;'Model inputs'!AJ40),'Model inputs'!V186&lt;'Model inputs'!AJ40,IF(OR('Model inputs'!V186="",'Model inputs'!AJ40=""),"",'Model inputs'!V186&lt;'Model inputs'!AJ40))),IF('Model inputs'!AJ73="","",'Model inputs'!AJ73),IF(IF(IF(ISERROR('Model inputs'!V186&lt;'Model inputs'!AJ70),'Model inputs'!V186&lt;'Model inputs'!AJ70,IF(OR('Model inputs'!V186="",'Model inputs'!AJ70=""),"",'Model inputs'!V186&lt;'Model inputs'!AJ70))="",FALSE,IF(ISERROR('Model inputs'!V186&lt;'Model inputs'!AJ70),'Model inputs'!V186&lt;'Model inputs'!AJ70,IF(OR('Model inputs'!V186="",'Model inputs'!AJ70=""),"",'Model inputs'!V186&lt;'Model inputs'!AJ70))),IF('Model inputs'!AJ41="","",'Model inputs'!AJ41),IF('Model inputs'!AJ71="","",'Model inputs'!AJ71)))</f>
        <v>4</v>
      </c>
      <c r="W381" s="9">
        <f>IF(IF(IF(ISERROR('Model inputs'!W186&lt;'Model inputs'!AJ40),'Model inputs'!W186&lt;'Model inputs'!AJ40,IF(OR('Model inputs'!W186="",'Model inputs'!AJ40=""),"",'Model inputs'!W186&lt;'Model inputs'!AJ40))="",FALSE,IF(ISERROR('Model inputs'!W186&lt;'Model inputs'!AJ40),'Model inputs'!W186&lt;'Model inputs'!AJ40,IF(OR('Model inputs'!W186="",'Model inputs'!AJ40=""),"",'Model inputs'!W186&lt;'Model inputs'!AJ40))),IF('Model inputs'!AJ73="","",'Model inputs'!AJ73),IF(IF(IF(ISERROR('Model inputs'!W186&lt;'Model inputs'!AJ70),'Model inputs'!W186&lt;'Model inputs'!AJ70,IF(OR('Model inputs'!W186="",'Model inputs'!AJ70=""),"",'Model inputs'!W186&lt;'Model inputs'!AJ70))="",FALSE,IF(ISERROR('Model inputs'!W186&lt;'Model inputs'!AJ70),'Model inputs'!W186&lt;'Model inputs'!AJ70,IF(OR('Model inputs'!W186="",'Model inputs'!AJ70=""),"",'Model inputs'!W186&lt;'Model inputs'!AJ70))),IF('Model inputs'!AJ41="","",'Model inputs'!AJ41),IF('Model inputs'!AJ71="","",'Model inputs'!AJ71)))</f>
        <v>4</v>
      </c>
      <c r="X381" s="9">
        <f>IF(IF(IF(ISERROR('Model inputs'!X186&lt;'Model inputs'!AJ40),'Model inputs'!X186&lt;'Model inputs'!AJ40,IF(OR('Model inputs'!X186="",'Model inputs'!AJ40=""),"",'Model inputs'!X186&lt;'Model inputs'!AJ40))="",FALSE,IF(ISERROR('Model inputs'!X186&lt;'Model inputs'!AJ40),'Model inputs'!X186&lt;'Model inputs'!AJ40,IF(OR('Model inputs'!X186="",'Model inputs'!AJ40=""),"",'Model inputs'!X186&lt;'Model inputs'!AJ40))),IF('Model inputs'!AJ73="","",'Model inputs'!AJ73),IF(IF(IF(ISERROR('Model inputs'!X186&lt;'Model inputs'!AJ70),'Model inputs'!X186&lt;'Model inputs'!AJ70,IF(OR('Model inputs'!X186="",'Model inputs'!AJ70=""),"",'Model inputs'!X186&lt;'Model inputs'!AJ70))="",FALSE,IF(ISERROR('Model inputs'!X186&lt;'Model inputs'!AJ70),'Model inputs'!X186&lt;'Model inputs'!AJ70,IF(OR('Model inputs'!X186="",'Model inputs'!AJ70=""),"",'Model inputs'!X186&lt;'Model inputs'!AJ70))),IF('Model inputs'!AJ41="","",'Model inputs'!AJ41),IF('Model inputs'!AJ71="","",'Model inputs'!AJ71)))</f>
        <v>4</v>
      </c>
      <c r="Y381" s="9">
        <f>IF(IF(IF(ISERROR('Model inputs'!Y186&lt;'Model inputs'!AJ40),'Model inputs'!Y186&lt;'Model inputs'!AJ40,IF(OR('Model inputs'!Y186="",'Model inputs'!AJ40=""),"",'Model inputs'!Y186&lt;'Model inputs'!AJ40))="",FALSE,IF(ISERROR('Model inputs'!Y186&lt;'Model inputs'!AJ40),'Model inputs'!Y186&lt;'Model inputs'!AJ40,IF(OR('Model inputs'!Y186="",'Model inputs'!AJ40=""),"",'Model inputs'!Y186&lt;'Model inputs'!AJ40))),IF('Model inputs'!AJ73="","",'Model inputs'!AJ73),IF(IF(IF(ISERROR('Model inputs'!Y186&lt;'Model inputs'!AJ70),'Model inputs'!Y186&lt;'Model inputs'!AJ70,IF(OR('Model inputs'!Y186="",'Model inputs'!AJ70=""),"",'Model inputs'!Y186&lt;'Model inputs'!AJ70))="",FALSE,IF(ISERROR('Model inputs'!Y186&lt;'Model inputs'!AJ70),'Model inputs'!Y186&lt;'Model inputs'!AJ70,IF(OR('Model inputs'!Y186="",'Model inputs'!AJ70=""),"",'Model inputs'!Y186&lt;'Model inputs'!AJ70))),IF('Model inputs'!AJ41="","",'Model inputs'!AJ41),IF('Model inputs'!AJ71="","",'Model inputs'!AJ71)))</f>
        <v>4</v>
      </c>
      <c r="Z381" s="9">
        <f>IF(IF(IF(ISERROR('Model inputs'!Z186&lt;'Model inputs'!AJ40),'Model inputs'!Z186&lt;'Model inputs'!AJ40,IF(OR('Model inputs'!Z186="",'Model inputs'!AJ40=""),"",'Model inputs'!Z186&lt;'Model inputs'!AJ40))="",FALSE,IF(ISERROR('Model inputs'!Z186&lt;'Model inputs'!AJ40),'Model inputs'!Z186&lt;'Model inputs'!AJ40,IF(OR('Model inputs'!Z186="",'Model inputs'!AJ40=""),"",'Model inputs'!Z186&lt;'Model inputs'!AJ40))),IF('Model inputs'!AJ73="","",'Model inputs'!AJ73),IF(IF(IF(ISERROR('Model inputs'!Z186&lt;'Model inputs'!AJ70),'Model inputs'!Z186&lt;'Model inputs'!AJ70,IF(OR('Model inputs'!Z186="",'Model inputs'!AJ70=""),"",'Model inputs'!Z186&lt;'Model inputs'!AJ70))="",FALSE,IF(ISERROR('Model inputs'!Z186&lt;'Model inputs'!AJ70),'Model inputs'!Z186&lt;'Model inputs'!AJ70,IF(OR('Model inputs'!Z186="",'Model inputs'!AJ70=""),"",'Model inputs'!Z186&lt;'Model inputs'!AJ70))),IF('Model inputs'!AJ41="","",'Model inputs'!AJ41),IF('Model inputs'!AJ71="","",'Model inputs'!AJ71)))</f>
        <v>4</v>
      </c>
      <c r="AA381" s="9">
        <f>IF(IF(IF(ISERROR('Model inputs'!AA186&lt;'Model inputs'!AJ40),'Model inputs'!AA186&lt;'Model inputs'!AJ40,IF(OR('Model inputs'!AA186="",'Model inputs'!AJ40=""),"",'Model inputs'!AA186&lt;'Model inputs'!AJ40))="",FALSE,IF(ISERROR('Model inputs'!AA186&lt;'Model inputs'!AJ40),'Model inputs'!AA186&lt;'Model inputs'!AJ40,IF(OR('Model inputs'!AA186="",'Model inputs'!AJ40=""),"",'Model inputs'!AA186&lt;'Model inputs'!AJ40))),IF('Model inputs'!AJ73="","",'Model inputs'!AJ73),IF(IF(IF(ISERROR('Model inputs'!AA186&lt;'Model inputs'!AJ70),'Model inputs'!AA186&lt;'Model inputs'!AJ70,IF(OR('Model inputs'!AA186="",'Model inputs'!AJ70=""),"",'Model inputs'!AA186&lt;'Model inputs'!AJ70))="",FALSE,IF(ISERROR('Model inputs'!AA186&lt;'Model inputs'!AJ70),'Model inputs'!AA186&lt;'Model inputs'!AJ70,IF(OR('Model inputs'!AA186="",'Model inputs'!AJ70=""),"",'Model inputs'!AA186&lt;'Model inputs'!AJ70))),IF('Model inputs'!AJ41="","",'Model inputs'!AJ41),IF('Model inputs'!AJ71="","",'Model inputs'!AJ71)))</f>
        <v>4</v>
      </c>
      <c r="AB381" s="9">
        <f>IF(IF(IF(ISERROR('Model inputs'!AB186&lt;'Model inputs'!AJ40),'Model inputs'!AB186&lt;'Model inputs'!AJ40,IF(OR('Model inputs'!AB186="",'Model inputs'!AJ40=""),"",'Model inputs'!AB186&lt;'Model inputs'!AJ40))="",FALSE,IF(ISERROR('Model inputs'!AB186&lt;'Model inputs'!AJ40),'Model inputs'!AB186&lt;'Model inputs'!AJ40,IF(OR('Model inputs'!AB186="",'Model inputs'!AJ40=""),"",'Model inputs'!AB186&lt;'Model inputs'!AJ40))),IF('Model inputs'!AJ73="","",'Model inputs'!AJ73),IF(IF(IF(ISERROR('Model inputs'!AB186&lt;'Model inputs'!AJ70),'Model inputs'!AB186&lt;'Model inputs'!AJ70,IF(OR('Model inputs'!AB186="",'Model inputs'!AJ70=""),"",'Model inputs'!AB186&lt;'Model inputs'!AJ70))="",FALSE,IF(ISERROR('Model inputs'!AB186&lt;'Model inputs'!AJ70),'Model inputs'!AB186&lt;'Model inputs'!AJ70,IF(OR('Model inputs'!AB186="",'Model inputs'!AJ70=""),"",'Model inputs'!AB186&lt;'Model inputs'!AJ70))),IF('Model inputs'!AJ41="","",'Model inputs'!AJ41),IF('Model inputs'!AJ71="","",'Model inputs'!AJ71)))</f>
        <v>4</v>
      </c>
      <c r="AC381" s="9">
        <f>IF(IF(IF(ISERROR('Model inputs'!AC186&lt;'Model inputs'!AJ40),'Model inputs'!AC186&lt;'Model inputs'!AJ40,IF(OR('Model inputs'!AC186="",'Model inputs'!AJ40=""),"",'Model inputs'!AC186&lt;'Model inputs'!AJ40))="",FALSE,IF(ISERROR('Model inputs'!AC186&lt;'Model inputs'!AJ40),'Model inputs'!AC186&lt;'Model inputs'!AJ40,IF(OR('Model inputs'!AC186="",'Model inputs'!AJ40=""),"",'Model inputs'!AC186&lt;'Model inputs'!AJ40))),IF('Model inputs'!AJ73="","",'Model inputs'!AJ73),IF(IF(IF(ISERROR('Model inputs'!AC186&lt;'Model inputs'!AJ70),'Model inputs'!AC186&lt;'Model inputs'!AJ70,IF(OR('Model inputs'!AC186="",'Model inputs'!AJ70=""),"",'Model inputs'!AC186&lt;'Model inputs'!AJ70))="",FALSE,IF(ISERROR('Model inputs'!AC186&lt;'Model inputs'!AJ70),'Model inputs'!AC186&lt;'Model inputs'!AJ70,IF(OR('Model inputs'!AC186="",'Model inputs'!AJ70=""),"",'Model inputs'!AC186&lt;'Model inputs'!AJ70))),IF('Model inputs'!AJ41="","",'Model inputs'!AJ41),IF('Model inputs'!AJ71="","",'Model inputs'!AJ71)))</f>
        <v>4</v>
      </c>
      <c r="AD381" s="9">
        <f>IF(IF(IF(ISERROR('Model inputs'!AD186&lt;'Model inputs'!AJ40),'Model inputs'!AD186&lt;'Model inputs'!AJ40,IF(OR('Model inputs'!AD186="",'Model inputs'!AJ40=""),"",'Model inputs'!AD186&lt;'Model inputs'!AJ40))="",FALSE,IF(ISERROR('Model inputs'!AD186&lt;'Model inputs'!AJ40),'Model inputs'!AD186&lt;'Model inputs'!AJ40,IF(OR('Model inputs'!AD186="",'Model inputs'!AJ40=""),"",'Model inputs'!AD186&lt;'Model inputs'!AJ40))),IF('Model inputs'!AJ73="","",'Model inputs'!AJ73),IF(IF(IF(ISERROR('Model inputs'!AD186&lt;'Model inputs'!AJ70),'Model inputs'!AD186&lt;'Model inputs'!AJ70,IF(OR('Model inputs'!AD186="",'Model inputs'!AJ70=""),"",'Model inputs'!AD186&lt;'Model inputs'!AJ70))="",FALSE,IF(ISERROR('Model inputs'!AD186&lt;'Model inputs'!AJ70),'Model inputs'!AD186&lt;'Model inputs'!AJ70,IF(OR('Model inputs'!AD186="",'Model inputs'!AJ70=""),"",'Model inputs'!AD186&lt;'Model inputs'!AJ70))),IF('Model inputs'!AJ41="","",'Model inputs'!AJ41),IF('Model inputs'!AJ71="","",'Model inputs'!AJ71)))</f>
        <v>4</v>
      </c>
      <c r="AE381" s="9">
        <f>IF(IF(IF(ISERROR('Model inputs'!AE186&lt;'Model inputs'!AJ40),'Model inputs'!AE186&lt;'Model inputs'!AJ40,IF(OR('Model inputs'!AE186="",'Model inputs'!AJ40=""),"",'Model inputs'!AE186&lt;'Model inputs'!AJ40))="",FALSE,IF(ISERROR('Model inputs'!AE186&lt;'Model inputs'!AJ40),'Model inputs'!AE186&lt;'Model inputs'!AJ40,IF(OR('Model inputs'!AE186="",'Model inputs'!AJ40=""),"",'Model inputs'!AE186&lt;'Model inputs'!AJ40))),IF('Model inputs'!AJ73="","",'Model inputs'!AJ73),IF(IF(IF(ISERROR('Model inputs'!AE186&lt;'Model inputs'!AJ70),'Model inputs'!AE186&lt;'Model inputs'!AJ70,IF(OR('Model inputs'!AE186="",'Model inputs'!AJ70=""),"",'Model inputs'!AE186&lt;'Model inputs'!AJ70))="",FALSE,IF(ISERROR('Model inputs'!AE186&lt;'Model inputs'!AJ70),'Model inputs'!AE186&lt;'Model inputs'!AJ70,IF(OR('Model inputs'!AE186="",'Model inputs'!AJ70=""),"",'Model inputs'!AE186&lt;'Model inputs'!AJ70))),IF('Model inputs'!AJ41="","",'Model inputs'!AJ41),IF('Model inputs'!AJ71="","",'Model inputs'!AJ71)))</f>
        <v>4</v>
      </c>
      <c r="AF381" s="9">
        <f>IF(IF(IF(ISERROR('Model inputs'!AF186&lt;'Model inputs'!AJ40),'Model inputs'!AF186&lt;'Model inputs'!AJ40,IF(OR('Model inputs'!AF186="",'Model inputs'!AJ40=""),"",'Model inputs'!AF186&lt;'Model inputs'!AJ40))="",FALSE,IF(ISERROR('Model inputs'!AF186&lt;'Model inputs'!AJ40),'Model inputs'!AF186&lt;'Model inputs'!AJ40,IF(OR('Model inputs'!AF186="",'Model inputs'!AJ40=""),"",'Model inputs'!AF186&lt;'Model inputs'!AJ40))),IF('Model inputs'!AJ73="","",'Model inputs'!AJ73),IF(IF(IF(ISERROR('Model inputs'!AF186&lt;'Model inputs'!AJ70),'Model inputs'!AF186&lt;'Model inputs'!AJ70,IF(OR('Model inputs'!AF186="",'Model inputs'!AJ70=""),"",'Model inputs'!AF186&lt;'Model inputs'!AJ70))="",FALSE,IF(ISERROR('Model inputs'!AF186&lt;'Model inputs'!AJ70),'Model inputs'!AF186&lt;'Model inputs'!AJ70,IF(OR('Model inputs'!AF186="",'Model inputs'!AJ70=""),"",'Model inputs'!AF186&lt;'Model inputs'!AJ70))),IF('Model inputs'!AJ41="","",'Model inputs'!AJ41),IF('Model inputs'!AJ71="","",'Model inputs'!AJ71)))</f>
        <v>4</v>
      </c>
      <c r="AG381" s="9">
        <f>IF(IF(IF(ISERROR('Model inputs'!AG186&lt;'Model inputs'!AJ40),'Model inputs'!AG186&lt;'Model inputs'!AJ40,IF(OR('Model inputs'!AG186="",'Model inputs'!AJ40=""),"",'Model inputs'!AG186&lt;'Model inputs'!AJ40))="",FALSE,IF(ISERROR('Model inputs'!AG186&lt;'Model inputs'!AJ40),'Model inputs'!AG186&lt;'Model inputs'!AJ40,IF(OR('Model inputs'!AG186="",'Model inputs'!AJ40=""),"",'Model inputs'!AG186&lt;'Model inputs'!AJ40))),IF('Model inputs'!AJ73="","",'Model inputs'!AJ73),IF(IF(IF(ISERROR('Model inputs'!AG186&lt;'Model inputs'!AJ70),'Model inputs'!AG186&lt;'Model inputs'!AJ70,IF(OR('Model inputs'!AG186="",'Model inputs'!AJ70=""),"",'Model inputs'!AG186&lt;'Model inputs'!AJ70))="",FALSE,IF(ISERROR('Model inputs'!AG186&lt;'Model inputs'!AJ70),'Model inputs'!AG186&lt;'Model inputs'!AJ70,IF(OR('Model inputs'!AG186="",'Model inputs'!AJ70=""),"",'Model inputs'!AG186&lt;'Model inputs'!AJ70))),IF('Model inputs'!AJ41="","",'Model inputs'!AJ41),IF('Model inputs'!AJ71="","",'Model inputs'!AJ71)))</f>
        <v>4</v>
      </c>
      <c r="AH381" s="9">
        <f>IF(IF(IF(ISERROR('Model inputs'!AH186&lt;'Model inputs'!AJ40),'Model inputs'!AH186&lt;'Model inputs'!AJ40,IF(OR('Model inputs'!AH186="",'Model inputs'!AJ40=""),"",'Model inputs'!AH186&lt;'Model inputs'!AJ40))="",FALSE,IF(ISERROR('Model inputs'!AH186&lt;'Model inputs'!AJ40),'Model inputs'!AH186&lt;'Model inputs'!AJ40,IF(OR('Model inputs'!AH186="",'Model inputs'!AJ40=""),"",'Model inputs'!AH186&lt;'Model inputs'!AJ40))),IF('Model inputs'!AJ73="","",'Model inputs'!AJ73),IF(IF(IF(ISERROR('Model inputs'!AH186&lt;'Model inputs'!AJ70),'Model inputs'!AH186&lt;'Model inputs'!AJ70,IF(OR('Model inputs'!AH186="",'Model inputs'!AJ70=""),"",'Model inputs'!AH186&lt;'Model inputs'!AJ70))="",FALSE,IF(ISERROR('Model inputs'!AH186&lt;'Model inputs'!AJ70),'Model inputs'!AH186&lt;'Model inputs'!AJ70,IF(OR('Model inputs'!AH186="",'Model inputs'!AJ70=""),"",'Model inputs'!AH186&lt;'Model inputs'!AJ70))),IF('Model inputs'!AJ41="","",'Model inputs'!AJ41),IF('Model inputs'!AJ71="","",'Model inputs'!AJ71)))</f>
        <v>4</v>
      </c>
      <c r="AI381" s="9">
        <f>IF(IF(IF(ISERROR('Model inputs'!AI186&lt;'Model inputs'!AJ40),'Model inputs'!AI186&lt;'Model inputs'!AJ40,IF(OR('Model inputs'!AI186="",'Model inputs'!AJ40=""),"",'Model inputs'!AI186&lt;'Model inputs'!AJ40))="",FALSE,IF(ISERROR('Model inputs'!AI186&lt;'Model inputs'!AJ40),'Model inputs'!AI186&lt;'Model inputs'!AJ40,IF(OR('Model inputs'!AI186="",'Model inputs'!AJ40=""),"",'Model inputs'!AI186&lt;'Model inputs'!AJ40))),IF('Model inputs'!AJ73="","",'Model inputs'!AJ73),IF(IF(IF(ISERROR('Model inputs'!AI186&lt;'Model inputs'!AJ70),'Model inputs'!AI186&lt;'Model inputs'!AJ70,IF(OR('Model inputs'!AI186="",'Model inputs'!AJ70=""),"",'Model inputs'!AI186&lt;'Model inputs'!AJ70))="",FALSE,IF(ISERROR('Model inputs'!AI186&lt;'Model inputs'!AJ70),'Model inputs'!AI186&lt;'Model inputs'!AJ70,IF(OR('Model inputs'!AI186="",'Model inputs'!AJ70=""),"",'Model inputs'!AI186&lt;'Model inputs'!AJ70))),IF('Model inputs'!AJ41="","",'Model inputs'!AJ41),IF('Model inputs'!AJ71="","",'Model inputs'!AJ71)))</f>
        <v>4</v>
      </c>
    </row>
    <row r="382">
      <c r="A382" t="inlineStr" s="13">
        <is>
          <t xml:space="preserve">Haq check cost · Haq Ending cash · Growth · Growth</t>
        </is>
      </c>
      <c r="B382" s="9">
        <f>IF(IF(IF(ISERROR('Model inputs'!B187&lt;'Model inputs'!AJ96),'Model inputs'!B187&lt;'Model inputs'!AJ96,IF(OR('Model inputs'!B187="",'Model inputs'!AJ96=""),"",'Model inputs'!B187&lt;'Model inputs'!AJ96))="",FALSE,IF(ISERROR('Model inputs'!B187&lt;'Model inputs'!AJ96),'Model inputs'!B187&lt;'Model inputs'!AJ96,IF(OR('Model inputs'!B187="",'Model inputs'!AJ96=""),"",'Model inputs'!B187&lt;'Model inputs'!AJ96))),IF('Model inputs'!AJ129="","",'Model inputs'!AJ129),IF(IF(IF(ISERROR('Model inputs'!B187&lt;'Model inputs'!AJ126),'Model inputs'!B187&lt;'Model inputs'!AJ126,IF(OR('Model inputs'!B187="",'Model inputs'!AJ126=""),"",'Model inputs'!B187&lt;'Model inputs'!AJ126))="",FALSE,IF(ISERROR('Model inputs'!B187&lt;'Model inputs'!AJ126),'Model inputs'!B187&lt;'Model inputs'!AJ126,IF(OR('Model inputs'!B187="",'Model inputs'!AJ126=""),"",'Model inputs'!B187&lt;'Model inputs'!AJ126))),IF('Model inputs'!AJ97="","",'Model inputs'!AJ97),IF('Model inputs'!AJ127="","",'Model inputs'!AJ127)))</f>
        <v>20</v>
      </c>
      <c r="C382" s="9">
        <f>IF(IF(IF(ISERROR('Model inputs'!C187&lt;'Model inputs'!AJ96),'Model inputs'!C187&lt;'Model inputs'!AJ96,IF(OR('Model inputs'!C187="",'Model inputs'!AJ96=""),"",'Model inputs'!C187&lt;'Model inputs'!AJ96))="",FALSE,IF(ISERROR('Model inputs'!C187&lt;'Model inputs'!AJ96),'Model inputs'!C187&lt;'Model inputs'!AJ96,IF(OR('Model inputs'!C187="",'Model inputs'!AJ96=""),"",'Model inputs'!C187&lt;'Model inputs'!AJ96))),IF('Model inputs'!AJ129="","",'Model inputs'!AJ129),IF(IF(IF(ISERROR('Model inputs'!C187&lt;'Model inputs'!AJ126),'Model inputs'!C187&lt;'Model inputs'!AJ126,IF(OR('Model inputs'!C187="",'Model inputs'!AJ126=""),"",'Model inputs'!C187&lt;'Model inputs'!AJ126))="",FALSE,IF(ISERROR('Model inputs'!C187&lt;'Model inputs'!AJ126),'Model inputs'!C187&lt;'Model inputs'!AJ126,IF(OR('Model inputs'!C187="",'Model inputs'!AJ126=""),"",'Model inputs'!C187&lt;'Model inputs'!AJ126))),IF('Model inputs'!AJ97="","",'Model inputs'!AJ97),IF('Model inputs'!AJ127="","",'Model inputs'!AJ127)))</f>
        <v>20</v>
      </c>
      <c r="D382" s="9">
        <f>IF(IF(IF(ISERROR('Model inputs'!D187&lt;'Model inputs'!AJ96),'Model inputs'!D187&lt;'Model inputs'!AJ96,IF(OR('Model inputs'!D187="",'Model inputs'!AJ96=""),"",'Model inputs'!D187&lt;'Model inputs'!AJ96))="",FALSE,IF(ISERROR('Model inputs'!D187&lt;'Model inputs'!AJ96),'Model inputs'!D187&lt;'Model inputs'!AJ96,IF(OR('Model inputs'!D187="",'Model inputs'!AJ96=""),"",'Model inputs'!D187&lt;'Model inputs'!AJ96))),IF('Model inputs'!AJ129="","",'Model inputs'!AJ129),IF(IF(IF(ISERROR('Model inputs'!D187&lt;'Model inputs'!AJ126),'Model inputs'!D187&lt;'Model inputs'!AJ126,IF(OR('Model inputs'!D187="",'Model inputs'!AJ126=""),"",'Model inputs'!D187&lt;'Model inputs'!AJ126))="",FALSE,IF(ISERROR('Model inputs'!D187&lt;'Model inputs'!AJ126),'Model inputs'!D187&lt;'Model inputs'!AJ126,IF(OR('Model inputs'!D187="",'Model inputs'!AJ126=""),"",'Model inputs'!D187&lt;'Model inputs'!AJ126))),IF('Model inputs'!AJ97="","",'Model inputs'!AJ97),IF('Model inputs'!AJ127="","",'Model inputs'!AJ127)))</f>
        <v>20</v>
      </c>
      <c r="E382" s="9">
        <f>IF(IF(IF(ISERROR('Model inputs'!E187&lt;'Model inputs'!AJ96),'Model inputs'!E187&lt;'Model inputs'!AJ96,IF(OR('Model inputs'!E187="",'Model inputs'!AJ96=""),"",'Model inputs'!E187&lt;'Model inputs'!AJ96))="",FALSE,IF(ISERROR('Model inputs'!E187&lt;'Model inputs'!AJ96),'Model inputs'!E187&lt;'Model inputs'!AJ96,IF(OR('Model inputs'!E187="",'Model inputs'!AJ96=""),"",'Model inputs'!E187&lt;'Model inputs'!AJ96))),IF('Model inputs'!AJ129="","",'Model inputs'!AJ129),IF(IF(IF(ISERROR('Model inputs'!E187&lt;'Model inputs'!AJ126),'Model inputs'!E187&lt;'Model inputs'!AJ126,IF(OR('Model inputs'!E187="",'Model inputs'!AJ126=""),"",'Model inputs'!E187&lt;'Model inputs'!AJ126))="",FALSE,IF(ISERROR('Model inputs'!E187&lt;'Model inputs'!AJ126),'Model inputs'!E187&lt;'Model inputs'!AJ126,IF(OR('Model inputs'!E187="",'Model inputs'!AJ126=""),"",'Model inputs'!E187&lt;'Model inputs'!AJ126))),IF('Model inputs'!AJ97="","",'Model inputs'!AJ97),IF('Model inputs'!AJ127="","",'Model inputs'!AJ127)))</f>
        <v>20</v>
      </c>
      <c r="F382" s="9">
        <f>IF(IF(IF(ISERROR('Model inputs'!F187&lt;'Model inputs'!AJ96),'Model inputs'!F187&lt;'Model inputs'!AJ96,IF(OR('Model inputs'!F187="",'Model inputs'!AJ96=""),"",'Model inputs'!F187&lt;'Model inputs'!AJ96))="",FALSE,IF(ISERROR('Model inputs'!F187&lt;'Model inputs'!AJ96),'Model inputs'!F187&lt;'Model inputs'!AJ96,IF(OR('Model inputs'!F187="",'Model inputs'!AJ96=""),"",'Model inputs'!F187&lt;'Model inputs'!AJ96))),IF('Model inputs'!AJ129="","",'Model inputs'!AJ129),IF(IF(IF(ISERROR('Model inputs'!F187&lt;'Model inputs'!AJ126),'Model inputs'!F187&lt;'Model inputs'!AJ126,IF(OR('Model inputs'!F187="",'Model inputs'!AJ126=""),"",'Model inputs'!F187&lt;'Model inputs'!AJ126))="",FALSE,IF(ISERROR('Model inputs'!F187&lt;'Model inputs'!AJ126),'Model inputs'!F187&lt;'Model inputs'!AJ126,IF(OR('Model inputs'!F187="",'Model inputs'!AJ126=""),"",'Model inputs'!F187&lt;'Model inputs'!AJ126))),IF('Model inputs'!AJ97="","",'Model inputs'!AJ97),IF('Model inputs'!AJ127="","",'Model inputs'!AJ127)))</f>
        <v>20</v>
      </c>
      <c r="G382" s="9">
        <f>IF(IF(IF(ISERROR('Model inputs'!G187&lt;'Model inputs'!AJ96),'Model inputs'!G187&lt;'Model inputs'!AJ96,IF(OR('Model inputs'!G187="",'Model inputs'!AJ96=""),"",'Model inputs'!G187&lt;'Model inputs'!AJ96))="",FALSE,IF(ISERROR('Model inputs'!G187&lt;'Model inputs'!AJ96),'Model inputs'!G187&lt;'Model inputs'!AJ96,IF(OR('Model inputs'!G187="",'Model inputs'!AJ96=""),"",'Model inputs'!G187&lt;'Model inputs'!AJ96))),IF('Model inputs'!AJ129="","",'Model inputs'!AJ129),IF(IF(IF(ISERROR('Model inputs'!G187&lt;'Model inputs'!AJ126),'Model inputs'!G187&lt;'Model inputs'!AJ126,IF(OR('Model inputs'!G187="",'Model inputs'!AJ126=""),"",'Model inputs'!G187&lt;'Model inputs'!AJ126))="",FALSE,IF(ISERROR('Model inputs'!G187&lt;'Model inputs'!AJ126),'Model inputs'!G187&lt;'Model inputs'!AJ126,IF(OR('Model inputs'!G187="",'Model inputs'!AJ126=""),"",'Model inputs'!G187&lt;'Model inputs'!AJ126))),IF('Model inputs'!AJ97="","",'Model inputs'!AJ97),IF('Model inputs'!AJ127="","",'Model inputs'!AJ127)))</f>
        <v>20</v>
      </c>
      <c r="H382" s="9">
        <f>IF(IF(IF(ISERROR('Model inputs'!H187&lt;'Model inputs'!AJ96),'Model inputs'!H187&lt;'Model inputs'!AJ96,IF(OR('Model inputs'!H187="",'Model inputs'!AJ96=""),"",'Model inputs'!H187&lt;'Model inputs'!AJ96))="",FALSE,IF(ISERROR('Model inputs'!H187&lt;'Model inputs'!AJ96),'Model inputs'!H187&lt;'Model inputs'!AJ96,IF(OR('Model inputs'!H187="",'Model inputs'!AJ96=""),"",'Model inputs'!H187&lt;'Model inputs'!AJ96))),IF('Model inputs'!AJ129="","",'Model inputs'!AJ129),IF(IF(IF(ISERROR('Model inputs'!H187&lt;'Model inputs'!AJ126),'Model inputs'!H187&lt;'Model inputs'!AJ126,IF(OR('Model inputs'!H187="",'Model inputs'!AJ126=""),"",'Model inputs'!H187&lt;'Model inputs'!AJ126))="",FALSE,IF(ISERROR('Model inputs'!H187&lt;'Model inputs'!AJ126),'Model inputs'!H187&lt;'Model inputs'!AJ126,IF(OR('Model inputs'!H187="",'Model inputs'!AJ126=""),"",'Model inputs'!H187&lt;'Model inputs'!AJ126))),IF('Model inputs'!AJ97="","",'Model inputs'!AJ97),IF('Model inputs'!AJ127="","",'Model inputs'!AJ127)))</f>
        <v>20</v>
      </c>
      <c r="I382" s="9">
        <f>IF(IF(IF(ISERROR('Model inputs'!I187&lt;'Model inputs'!AJ96),'Model inputs'!I187&lt;'Model inputs'!AJ96,IF(OR('Model inputs'!I187="",'Model inputs'!AJ96=""),"",'Model inputs'!I187&lt;'Model inputs'!AJ96))="",FALSE,IF(ISERROR('Model inputs'!I187&lt;'Model inputs'!AJ96),'Model inputs'!I187&lt;'Model inputs'!AJ96,IF(OR('Model inputs'!I187="",'Model inputs'!AJ96=""),"",'Model inputs'!I187&lt;'Model inputs'!AJ96))),IF('Model inputs'!AJ129="","",'Model inputs'!AJ129),IF(IF(IF(ISERROR('Model inputs'!I187&lt;'Model inputs'!AJ126),'Model inputs'!I187&lt;'Model inputs'!AJ126,IF(OR('Model inputs'!I187="",'Model inputs'!AJ126=""),"",'Model inputs'!I187&lt;'Model inputs'!AJ126))="",FALSE,IF(ISERROR('Model inputs'!I187&lt;'Model inputs'!AJ126),'Model inputs'!I187&lt;'Model inputs'!AJ126,IF(OR('Model inputs'!I187="",'Model inputs'!AJ126=""),"",'Model inputs'!I187&lt;'Model inputs'!AJ126))),IF('Model inputs'!AJ97="","",'Model inputs'!AJ97),IF('Model inputs'!AJ127="","",'Model inputs'!AJ127)))</f>
        <v>20</v>
      </c>
      <c r="J382" s="9">
        <f>IF(IF(IF(ISERROR('Model inputs'!J187&lt;'Model inputs'!AJ96),'Model inputs'!J187&lt;'Model inputs'!AJ96,IF(OR('Model inputs'!J187="",'Model inputs'!AJ96=""),"",'Model inputs'!J187&lt;'Model inputs'!AJ96))="",FALSE,IF(ISERROR('Model inputs'!J187&lt;'Model inputs'!AJ96),'Model inputs'!J187&lt;'Model inputs'!AJ96,IF(OR('Model inputs'!J187="",'Model inputs'!AJ96=""),"",'Model inputs'!J187&lt;'Model inputs'!AJ96))),IF('Model inputs'!AJ129="","",'Model inputs'!AJ129),IF(IF(IF(ISERROR('Model inputs'!J187&lt;'Model inputs'!AJ126),'Model inputs'!J187&lt;'Model inputs'!AJ126,IF(OR('Model inputs'!J187="",'Model inputs'!AJ126=""),"",'Model inputs'!J187&lt;'Model inputs'!AJ126))="",FALSE,IF(ISERROR('Model inputs'!J187&lt;'Model inputs'!AJ126),'Model inputs'!J187&lt;'Model inputs'!AJ126,IF(OR('Model inputs'!J187="",'Model inputs'!AJ126=""),"",'Model inputs'!J187&lt;'Model inputs'!AJ126))),IF('Model inputs'!AJ97="","",'Model inputs'!AJ97),IF('Model inputs'!AJ127="","",'Model inputs'!AJ127)))</f>
        <v>20</v>
      </c>
      <c r="K382" s="9">
        <f>IF(IF(IF(ISERROR('Model inputs'!K187&lt;'Model inputs'!AJ96),'Model inputs'!K187&lt;'Model inputs'!AJ96,IF(OR('Model inputs'!K187="",'Model inputs'!AJ96=""),"",'Model inputs'!K187&lt;'Model inputs'!AJ96))="",FALSE,IF(ISERROR('Model inputs'!K187&lt;'Model inputs'!AJ96),'Model inputs'!K187&lt;'Model inputs'!AJ96,IF(OR('Model inputs'!K187="",'Model inputs'!AJ96=""),"",'Model inputs'!K187&lt;'Model inputs'!AJ96))),IF('Model inputs'!AJ129="","",'Model inputs'!AJ129),IF(IF(IF(ISERROR('Model inputs'!K187&lt;'Model inputs'!AJ126),'Model inputs'!K187&lt;'Model inputs'!AJ126,IF(OR('Model inputs'!K187="",'Model inputs'!AJ126=""),"",'Model inputs'!K187&lt;'Model inputs'!AJ126))="",FALSE,IF(ISERROR('Model inputs'!K187&lt;'Model inputs'!AJ126),'Model inputs'!K187&lt;'Model inputs'!AJ126,IF(OR('Model inputs'!K187="",'Model inputs'!AJ126=""),"",'Model inputs'!K187&lt;'Model inputs'!AJ126))),IF('Model inputs'!AJ97="","",'Model inputs'!AJ97),IF('Model inputs'!AJ127="","",'Model inputs'!AJ127)))</f>
        <v>20</v>
      </c>
      <c r="L382" s="9">
        <f>IF(IF(IF(ISERROR('Model inputs'!L187&lt;'Model inputs'!AJ96),'Model inputs'!L187&lt;'Model inputs'!AJ96,IF(OR('Model inputs'!L187="",'Model inputs'!AJ96=""),"",'Model inputs'!L187&lt;'Model inputs'!AJ96))="",FALSE,IF(ISERROR('Model inputs'!L187&lt;'Model inputs'!AJ96),'Model inputs'!L187&lt;'Model inputs'!AJ96,IF(OR('Model inputs'!L187="",'Model inputs'!AJ96=""),"",'Model inputs'!L187&lt;'Model inputs'!AJ96))),IF('Model inputs'!AJ129="","",'Model inputs'!AJ129),IF(IF(IF(ISERROR('Model inputs'!L187&lt;'Model inputs'!AJ126),'Model inputs'!L187&lt;'Model inputs'!AJ126,IF(OR('Model inputs'!L187="",'Model inputs'!AJ126=""),"",'Model inputs'!L187&lt;'Model inputs'!AJ126))="",FALSE,IF(ISERROR('Model inputs'!L187&lt;'Model inputs'!AJ126),'Model inputs'!L187&lt;'Model inputs'!AJ126,IF(OR('Model inputs'!L187="",'Model inputs'!AJ126=""),"",'Model inputs'!L187&lt;'Model inputs'!AJ126))),IF('Model inputs'!AJ97="","",'Model inputs'!AJ97),IF('Model inputs'!AJ127="","",'Model inputs'!AJ127)))</f>
        <v>20</v>
      </c>
      <c r="M382" s="9">
        <f>IF(IF(IF(ISERROR('Model inputs'!M187&lt;'Model inputs'!AJ96),'Model inputs'!M187&lt;'Model inputs'!AJ96,IF(OR('Model inputs'!M187="",'Model inputs'!AJ96=""),"",'Model inputs'!M187&lt;'Model inputs'!AJ96))="",FALSE,IF(ISERROR('Model inputs'!M187&lt;'Model inputs'!AJ96),'Model inputs'!M187&lt;'Model inputs'!AJ96,IF(OR('Model inputs'!M187="",'Model inputs'!AJ96=""),"",'Model inputs'!M187&lt;'Model inputs'!AJ96))),IF('Model inputs'!AJ129="","",'Model inputs'!AJ129),IF(IF(IF(ISERROR('Model inputs'!M187&lt;'Model inputs'!AJ126),'Model inputs'!M187&lt;'Model inputs'!AJ126,IF(OR('Model inputs'!M187="",'Model inputs'!AJ126=""),"",'Model inputs'!M187&lt;'Model inputs'!AJ126))="",FALSE,IF(ISERROR('Model inputs'!M187&lt;'Model inputs'!AJ126),'Model inputs'!M187&lt;'Model inputs'!AJ126,IF(OR('Model inputs'!M187="",'Model inputs'!AJ126=""),"",'Model inputs'!M187&lt;'Model inputs'!AJ126))),IF('Model inputs'!AJ97="","",'Model inputs'!AJ97),IF('Model inputs'!AJ127="","",'Model inputs'!AJ127)))</f>
        <v>20</v>
      </c>
      <c r="N382" s="9">
        <f>IF(IF(IF(ISERROR('Model inputs'!N187&lt;'Model inputs'!AJ96),'Model inputs'!N187&lt;'Model inputs'!AJ96,IF(OR('Model inputs'!N187="",'Model inputs'!AJ96=""),"",'Model inputs'!N187&lt;'Model inputs'!AJ96))="",FALSE,IF(ISERROR('Model inputs'!N187&lt;'Model inputs'!AJ96),'Model inputs'!N187&lt;'Model inputs'!AJ96,IF(OR('Model inputs'!N187="",'Model inputs'!AJ96=""),"",'Model inputs'!N187&lt;'Model inputs'!AJ96))),IF('Model inputs'!AJ129="","",'Model inputs'!AJ129),IF(IF(IF(ISERROR('Model inputs'!N187&lt;'Model inputs'!AJ126),'Model inputs'!N187&lt;'Model inputs'!AJ126,IF(OR('Model inputs'!N187="",'Model inputs'!AJ126=""),"",'Model inputs'!N187&lt;'Model inputs'!AJ126))="",FALSE,IF(ISERROR('Model inputs'!N187&lt;'Model inputs'!AJ126),'Model inputs'!N187&lt;'Model inputs'!AJ126,IF(OR('Model inputs'!N187="",'Model inputs'!AJ126=""),"",'Model inputs'!N187&lt;'Model inputs'!AJ126))),IF('Model inputs'!AJ97="","",'Model inputs'!AJ97),IF('Model inputs'!AJ127="","",'Model inputs'!AJ127)))</f>
        <v>20</v>
      </c>
      <c r="O382" s="9">
        <f>IF(IF(IF(ISERROR('Model inputs'!O187&lt;'Model inputs'!AJ96),'Model inputs'!O187&lt;'Model inputs'!AJ96,IF(OR('Model inputs'!O187="",'Model inputs'!AJ96=""),"",'Model inputs'!O187&lt;'Model inputs'!AJ96))="",FALSE,IF(ISERROR('Model inputs'!O187&lt;'Model inputs'!AJ96),'Model inputs'!O187&lt;'Model inputs'!AJ96,IF(OR('Model inputs'!O187="",'Model inputs'!AJ96=""),"",'Model inputs'!O187&lt;'Model inputs'!AJ96))),IF('Model inputs'!AJ129="","",'Model inputs'!AJ129),IF(IF(IF(ISERROR('Model inputs'!O187&lt;'Model inputs'!AJ126),'Model inputs'!O187&lt;'Model inputs'!AJ126,IF(OR('Model inputs'!O187="",'Model inputs'!AJ126=""),"",'Model inputs'!O187&lt;'Model inputs'!AJ126))="",FALSE,IF(ISERROR('Model inputs'!O187&lt;'Model inputs'!AJ126),'Model inputs'!O187&lt;'Model inputs'!AJ126,IF(OR('Model inputs'!O187="",'Model inputs'!AJ126=""),"",'Model inputs'!O187&lt;'Model inputs'!AJ126))),IF('Model inputs'!AJ97="","",'Model inputs'!AJ97),IF('Model inputs'!AJ127="","",'Model inputs'!AJ127)))</f>
        <v>10</v>
      </c>
      <c r="P382" s="9">
        <f>IF(IF(IF(ISERROR('Model inputs'!P187&lt;'Model inputs'!AJ96),'Model inputs'!P187&lt;'Model inputs'!AJ96,IF(OR('Model inputs'!P187="",'Model inputs'!AJ96=""),"",'Model inputs'!P187&lt;'Model inputs'!AJ96))="",FALSE,IF(ISERROR('Model inputs'!P187&lt;'Model inputs'!AJ96),'Model inputs'!P187&lt;'Model inputs'!AJ96,IF(OR('Model inputs'!P187="",'Model inputs'!AJ96=""),"",'Model inputs'!P187&lt;'Model inputs'!AJ96))),IF('Model inputs'!AJ129="","",'Model inputs'!AJ129),IF(IF(IF(ISERROR('Model inputs'!P187&lt;'Model inputs'!AJ126),'Model inputs'!P187&lt;'Model inputs'!AJ126,IF(OR('Model inputs'!P187="",'Model inputs'!AJ126=""),"",'Model inputs'!P187&lt;'Model inputs'!AJ126))="",FALSE,IF(ISERROR('Model inputs'!P187&lt;'Model inputs'!AJ126),'Model inputs'!P187&lt;'Model inputs'!AJ126,IF(OR('Model inputs'!P187="",'Model inputs'!AJ126=""),"",'Model inputs'!P187&lt;'Model inputs'!AJ126))),IF('Model inputs'!AJ97="","",'Model inputs'!AJ97),IF('Model inputs'!AJ127="","",'Model inputs'!AJ127)))</f>
        <v>10</v>
      </c>
      <c r="Q382" s="9">
        <f>IF(IF(IF(ISERROR('Model inputs'!Q187&lt;'Model inputs'!AJ96),'Model inputs'!Q187&lt;'Model inputs'!AJ96,IF(OR('Model inputs'!Q187="",'Model inputs'!AJ96=""),"",'Model inputs'!Q187&lt;'Model inputs'!AJ96))="",FALSE,IF(ISERROR('Model inputs'!Q187&lt;'Model inputs'!AJ96),'Model inputs'!Q187&lt;'Model inputs'!AJ96,IF(OR('Model inputs'!Q187="",'Model inputs'!AJ96=""),"",'Model inputs'!Q187&lt;'Model inputs'!AJ96))),IF('Model inputs'!AJ129="","",'Model inputs'!AJ129),IF(IF(IF(ISERROR('Model inputs'!Q187&lt;'Model inputs'!AJ126),'Model inputs'!Q187&lt;'Model inputs'!AJ126,IF(OR('Model inputs'!Q187="",'Model inputs'!AJ126=""),"",'Model inputs'!Q187&lt;'Model inputs'!AJ126))="",FALSE,IF(ISERROR('Model inputs'!Q187&lt;'Model inputs'!AJ126),'Model inputs'!Q187&lt;'Model inputs'!AJ126,IF(OR('Model inputs'!Q187="",'Model inputs'!AJ126=""),"",'Model inputs'!Q187&lt;'Model inputs'!AJ126))),IF('Model inputs'!AJ97="","",'Model inputs'!AJ97),IF('Model inputs'!AJ127="","",'Model inputs'!AJ127)))</f>
        <v>4</v>
      </c>
      <c r="R382" s="9">
        <f>IF(IF(IF(ISERROR('Model inputs'!R187&lt;'Model inputs'!AJ96),'Model inputs'!R187&lt;'Model inputs'!AJ96,IF(OR('Model inputs'!R187="",'Model inputs'!AJ96=""),"",'Model inputs'!R187&lt;'Model inputs'!AJ96))="",FALSE,IF(ISERROR('Model inputs'!R187&lt;'Model inputs'!AJ96),'Model inputs'!R187&lt;'Model inputs'!AJ96,IF(OR('Model inputs'!R187="",'Model inputs'!AJ96=""),"",'Model inputs'!R187&lt;'Model inputs'!AJ96))),IF('Model inputs'!AJ129="","",'Model inputs'!AJ129),IF(IF(IF(ISERROR('Model inputs'!R187&lt;'Model inputs'!AJ126),'Model inputs'!R187&lt;'Model inputs'!AJ126,IF(OR('Model inputs'!R187="",'Model inputs'!AJ126=""),"",'Model inputs'!R187&lt;'Model inputs'!AJ126))="",FALSE,IF(ISERROR('Model inputs'!R187&lt;'Model inputs'!AJ126),'Model inputs'!R187&lt;'Model inputs'!AJ126,IF(OR('Model inputs'!R187="",'Model inputs'!AJ126=""),"",'Model inputs'!R187&lt;'Model inputs'!AJ126))),IF('Model inputs'!AJ97="","",'Model inputs'!AJ97),IF('Model inputs'!AJ127="","",'Model inputs'!AJ127)))</f>
        <v>4</v>
      </c>
      <c r="S382" s="9">
        <f>IF(IF(IF(ISERROR('Model inputs'!S187&lt;'Model inputs'!AJ96),'Model inputs'!S187&lt;'Model inputs'!AJ96,IF(OR('Model inputs'!S187="",'Model inputs'!AJ96=""),"",'Model inputs'!S187&lt;'Model inputs'!AJ96))="",FALSE,IF(ISERROR('Model inputs'!S187&lt;'Model inputs'!AJ96),'Model inputs'!S187&lt;'Model inputs'!AJ96,IF(OR('Model inputs'!S187="",'Model inputs'!AJ96=""),"",'Model inputs'!S187&lt;'Model inputs'!AJ96))),IF('Model inputs'!AJ129="","",'Model inputs'!AJ129),IF(IF(IF(ISERROR('Model inputs'!S187&lt;'Model inputs'!AJ126),'Model inputs'!S187&lt;'Model inputs'!AJ126,IF(OR('Model inputs'!S187="",'Model inputs'!AJ126=""),"",'Model inputs'!S187&lt;'Model inputs'!AJ126))="",FALSE,IF(ISERROR('Model inputs'!S187&lt;'Model inputs'!AJ126),'Model inputs'!S187&lt;'Model inputs'!AJ126,IF(OR('Model inputs'!S187="",'Model inputs'!AJ126=""),"",'Model inputs'!S187&lt;'Model inputs'!AJ126))),IF('Model inputs'!AJ97="","",'Model inputs'!AJ97),IF('Model inputs'!AJ127="","",'Model inputs'!AJ127)))</f>
        <v>4</v>
      </c>
      <c r="T382" s="9">
        <f>IF(IF(IF(ISERROR('Model inputs'!T187&lt;'Model inputs'!AJ96),'Model inputs'!T187&lt;'Model inputs'!AJ96,IF(OR('Model inputs'!T187="",'Model inputs'!AJ96=""),"",'Model inputs'!T187&lt;'Model inputs'!AJ96))="",FALSE,IF(ISERROR('Model inputs'!T187&lt;'Model inputs'!AJ96),'Model inputs'!T187&lt;'Model inputs'!AJ96,IF(OR('Model inputs'!T187="",'Model inputs'!AJ96=""),"",'Model inputs'!T187&lt;'Model inputs'!AJ96))),IF('Model inputs'!AJ129="","",'Model inputs'!AJ129),IF(IF(IF(ISERROR('Model inputs'!T187&lt;'Model inputs'!AJ126),'Model inputs'!T187&lt;'Model inputs'!AJ126,IF(OR('Model inputs'!T187="",'Model inputs'!AJ126=""),"",'Model inputs'!T187&lt;'Model inputs'!AJ126))="",FALSE,IF(ISERROR('Model inputs'!T187&lt;'Model inputs'!AJ126),'Model inputs'!T187&lt;'Model inputs'!AJ126,IF(OR('Model inputs'!T187="",'Model inputs'!AJ126=""),"",'Model inputs'!T187&lt;'Model inputs'!AJ126))),IF('Model inputs'!AJ97="","",'Model inputs'!AJ97),IF('Model inputs'!AJ127="","",'Model inputs'!AJ127)))</f>
        <v>4</v>
      </c>
      <c r="U382" s="9">
        <f>IF(IF(IF(ISERROR('Model inputs'!U187&lt;'Model inputs'!AJ96),'Model inputs'!U187&lt;'Model inputs'!AJ96,IF(OR('Model inputs'!U187="",'Model inputs'!AJ96=""),"",'Model inputs'!U187&lt;'Model inputs'!AJ96))="",FALSE,IF(ISERROR('Model inputs'!U187&lt;'Model inputs'!AJ96),'Model inputs'!U187&lt;'Model inputs'!AJ96,IF(OR('Model inputs'!U187="",'Model inputs'!AJ96=""),"",'Model inputs'!U187&lt;'Model inputs'!AJ96))),IF('Model inputs'!AJ129="","",'Model inputs'!AJ129),IF(IF(IF(ISERROR('Model inputs'!U187&lt;'Model inputs'!AJ126),'Model inputs'!U187&lt;'Model inputs'!AJ126,IF(OR('Model inputs'!U187="",'Model inputs'!AJ126=""),"",'Model inputs'!U187&lt;'Model inputs'!AJ126))="",FALSE,IF(ISERROR('Model inputs'!U187&lt;'Model inputs'!AJ126),'Model inputs'!U187&lt;'Model inputs'!AJ126,IF(OR('Model inputs'!U187="",'Model inputs'!AJ126=""),"",'Model inputs'!U187&lt;'Model inputs'!AJ126))),IF('Model inputs'!AJ97="","",'Model inputs'!AJ97),IF('Model inputs'!AJ127="","",'Model inputs'!AJ127)))</f>
        <v>4</v>
      </c>
      <c r="V382" s="9">
        <f>IF(IF(IF(ISERROR('Model inputs'!V187&lt;'Model inputs'!AJ96),'Model inputs'!V187&lt;'Model inputs'!AJ96,IF(OR('Model inputs'!V187="",'Model inputs'!AJ96=""),"",'Model inputs'!V187&lt;'Model inputs'!AJ96))="",FALSE,IF(ISERROR('Model inputs'!V187&lt;'Model inputs'!AJ96),'Model inputs'!V187&lt;'Model inputs'!AJ96,IF(OR('Model inputs'!V187="",'Model inputs'!AJ96=""),"",'Model inputs'!V187&lt;'Model inputs'!AJ96))),IF('Model inputs'!AJ129="","",'Model inputs'!AJ129),IF(IF(IF(ISERROR('Model inputs'!V187&lt;'Model inputs'!AJ126),'Model inputs'!V187&lt;'Model inputs'!AJ126,IF(OR('Model inputs'!V187="",'Model inputs'!AJ126=""),"",'Model inputs'!V187&lt;'Model inputs'!AJ126))="",FALSE,IF(ISERROR('Model inputs'!V187&lt;'Model inputs'!AJ126),'Model inputs'!V187&lt;'Model inputs'!AJ126,IF(OR('Model inputs'!V187="",'Model inputs'!AJ126=""),"",'Model inputs'!V187&lt;'Model inputs'!AJ126))),IF('Model inputs'!AJ97="","",'Model inputs'!AJ97),IF('Model inputs'!AJ127="","",'Model inputs'!AJ127)))</f>
        <v>4</v>
      </c>
      <c r="W382" s="9">
        <f>IF(IF(IF(ISERROR('Model inputs'!W187&lt;'Model inputs'!AJ96),'Model inputs'!W187&lt;'Model inputs'!AJ96,IF(OR('Model inputs'!W187="",'Model inputs'!AJ96=""),"",'Model inputs'!W187&lt;'Model inputs'!AJ96))="",FALSE,IF(ISERROR('Model inputs'!W187&lt;'Model inputs'!AJ96),'Model inputs'!W187&lt;'Model inputs'!AJ96,IF(OR('Model inputs'!W187="",'Model inputs'!AJ96=""),"",'Model inputs'!W187&lt;'Model inputs'!AJ96))),IF('Model inputs'!AJ129="","",'Model inputs'!AJ129),IF(IF(IF(ISERROR('Model inputs'!W187&lt;'Model inputs'!AJ126),'Model inputs'!W187&lt;'Model inputs'!AJ126,IF(OR('Model inputs'!W187="",'Model inputs'!AJ126=""),"",'Model inputs'!W187&lt;'Model inputs'!AJ126))="",FALSE,IF(ISERROR('Model inputs'!W187&lt;'Model inputs'!AJ126),'Model inputs'!W187&lt;'Model inputs'!AJ126,IF(OR('Model inputs'!W187="",'Model inputs'!AJ126=""),"",'Model inputs'!W187&lt;'Model inputs'!AJ126))),IF('Model inputs'!AJ97="","",'Model inputs'!AJ97),IF('Model inputs'!AJ127="","",'Model inputs'!AJ127)))</f>
        <v>4</v>
      </c>
      <c r="X382" s="9">
        <f>IF(IF(IF(ISERROR('Model inputs'!X187&lt;'Model inputs'!AJ96),'Model inputs'!X187&lt;'Model inputs'!AJ96,IF(OR('Model inputs'!X187="",'Model inputs'!AJ96=""),"",'Model inputs'!X187&lt;'Model inputs'!AJ96))="",FALSE,IF(ISERROR('Model inputs'!X187&lt;'Model inputs'!AJ96),'Model inputs'!X187&lt;'Model inputs'!AJ96,IF(OR('Model inputs'!X187="",'Model inputs'!AJ96=""),"",'Model inputs'!X187&lt;'Model inputs'!AJ96))),IF('Model inputs'!AJ129="","",'Model inputs'!AJ129),IF(IF(IF(ISERROR('Model inputs'!X187&lt;'Model inputs'!AJ126),'Model inputs'!X187&lt;'Model inputs'!AJ126,IF(OR('Model inputs'!X187="",'Model inputs'!AJ126=""),"",'Model inputs'!X187&lt;'Model inputs'!AJ126))="",FALSE,IF(ISERROR('Model inputs'!X187&lt;'Model inputs'!AJ126),'Model inputs'!X187&lt;'Model inputs'!AJ126,IF(OR('Model inputs'!X187="",'Model inputs'!AJ126=""),"",'Model inputs'!X187&lt;'Model inputs'!AJ126))),IF('Model inputs'!AJ97="","",'Model inputs'!AJ97),IF('Model inputs'!AJ127="","",'Model inputs'!AJ127)))</f>
        <v>4</v>
      </c>
      <c r="Y382" s="9">
        <f>IF(IF(IF(ISERROR('Model inputs'!Y187&lt;'Model inputs'!AJ96),'Model inputs'!Y187&lt;'Model inputs'!AJ96,IF(OR('Model inputs'!Y187="",'Model inputs'!AJ96=""),"",'Model inputs'!Y187&lt;'Model inputs'!AJ96))="",FALSE,IF(ISERROR('Model inputs'!Y187&lt;'Model inputs'!AJ96),'Model inputs'!Y187&lt;'Model inputs'!AJ96,IF(OR('Model inputs'!Y187="",'Model inputs'!AJ96=""),"",'Model inputs'!Y187&lt;'Model inputs'!AJ96))),IF('Model inputs'!AJ129="","",'Model inputs'!AJ129),IF(IF(IF(ISERROR('Model inputs'!Y187&lt;'Model inputs'!AJ126),'Model inputs'!Y187&lt;'Model inputs'!AJ126,IF(OR('Model inputs'!Y187="",'Model inputs'!AJ126=""),"",'Model inputs'!Y187&lt;'Model inputs'!AJ126))="",FALSE,IF(ISERROR('Model inputs'!Y187&lt;'Model inputs'!AJ126),'Model inputs'!Y187&lt;'Model inputs'!AJ126,IF(OR('Model inputs'!Y187="",'Model inputs'!AJ126=""),"",'Model inputs'!Y187&lt;'Model inputs'!AJ126))),IF('Model inputs'!AJ97="","",'Model inputs'!AJ97),IF('Model inputs'!AJ127="","",'Model inputs'!AJ127)))</f>
        <v>4</v>
      </c>
      <c r="Z382" s="9">
        <f>IF(IF(IF(ISERROR('Model inputs'!Z187&lt;'Model inputs'!AJ96),'Model inputs'!Z187&lt;'Model inputs'!AJ96,IF(OR('Model inputs'!Z187="",'Model inputs'!AJ96=""),"",'Model inputs'!Z187&lt;'Model inputs'!AJ96))="",FALSE,IF(ISERROR('Model inputs'!Z187&lt;'Model inputs'!AJ96),'Model inputs'!Z187&lt;'Model inputs'!AJ96,IF(OR('Model inputs'!Z187="",'Model inputs'!AJ96=""),"",'Model inputs'!Z187&lt;'Model inputs'!AJ96))),IF('Model inputs'!AJ129="","",'Model inputs'!AJ129),IF(IF(IF(ISERROR('Model inputs'!Z187&lt;'Model inputs'!AJ126),'Model inputs'!Z187&lt;'Model inputs'!AJ126,IF(OR('Model inputs'!Z187="",'Model inputs'!AJ126=""),"",'Model inputs'!Z187&lt;'Model inputs'!AJ126))="",FALSE,IF(ISERROR('Model inputs'!Z187&lt;'Model inputs'!AJ126),'Model inputs'!Z187&lt;'Model inputs'!AJ126,IF(OR('Model inputs'!Z187="",'Model inputs'!AJ126=""),"",'Model inputs'!Z187&lt;'Model inputs'!AJ126))),IF('Model inputs'!AJ97="","",'Model inputs'!AJ97),IF('Model inputs'!AJ127="","",'Model inputs'!AJ127)))</f>
        <v>4</v>
      </c>
      <c r="AA382" s="9">
        <f>IF(IF(IF(ISERROR('Model inputs'!AA187&lt;'Model inputs'!AJ96),'Model inputs'!AA187&lt;'Model inputs'!AJ96,IF(OR('Model inputs'!AA187="",'Model inputs'!AJ96=""),"",'Model inputs'!AA187&lt;'Model inputs'!AJ96))="",FALSE,IF(ISERROR('Model inputs'!AA187&lt;'Model inputs'!AJ96),'Model inputs'!AA187&lt;'Model inputs'!AJ96,IF(OR('Model inputs'!AA187="",'Model inputs'!AJ96=""),"",'Model inputs'!AA187&lt;'Model inputs'!AJ96))),IF('Model inputs'!AJ129="","",'Model inputs'!AJ129),IF(IF(IF(ISERROR('Model inputs'!AA187&lt;'Model inputs'!AJ126),'Model inputs'!AA187&lt;'Model inputs'!AJ126,IF(OR('Model inputs'!AA187="",'Model inputs'!AJ126=""),"",'Model inputs'!AA187&lt;'Model inputs'!AJ126))="",FALSE,IF(ISERROR('Model inputs'!AA187&lt;'Model inputs'!AJ126),'Model inputs'!AA187&lt;'Model inputs'!AJ126,IF(OR('Model inputs'!AA187="",'Model inputs'!AJ126=""),"",'Model inputs'!AA187&lt;'Model inputs'!AJ126))),IF('Model inputs'!AJ97="","",'Model inputs'!AJ97),IF('Model inputs'!AJ127="","",'Model inputs'!AJ127)))</f>
        <v>4</v>
      </c>
      <c r="AB382" s="9">
        <f>IF(IF(IF(ISERROR('Model inputs'!AB187&lt;'Model inputs'!AJ96),'Model inputs'!AB187&lt;'Model inputs'!AJ96,IF(OR('Model inputs'!AB187="",'Model inputs'!AJ96=""),"",'Model inputs'!AB187&lt;'Model inputs'!AJ96))="",FALSE,IF(ISERROR('Model inputs'!AB187&lt;'Model inputs'!AJ96),'Model inputs'!AB187&lt;'Model inputs'!AJ96,IF(OR('Model inputs'!AB187="",'Model inputs'!AJ96=""),"",'Model inputs'!AB187&lt;'Model inputs'!AJ96))),IF('Model inputs'!AJ129="","",'Model inputs'!AJ129),IF(IF(IF(ISERROR('Model inputs'!AB187&lt;'Model inputs'!AJ126),'Model inputs'!AB187&lt;'Model inputs'!AJ126,IF(OR('Model inputs'!AB187="",'Model inputs'!AJ126=""),"",'Model inputs'!AB187&lt;'Model inputs'!AJ126))="",FALSE,IF(ISERROR('Model inputs'!AB187&lt;'Model inputs'!AJ126),'Model inputs'!AB187&lt;'Model inputs'!AJ126,IF(OR('Model inputs'!AB187="",'Model inputs'!AJ126=""),"",'Model inputs'!AB187&lt;'Model inputs'!AJ126))),IF('Model inputs'!AJ97="","",'Model inputs'!AJ97),IF('Model inputs'!AJ127="","",'Model inputs'!AJ127)))</f>
        <v>4</v>
      </c>
      <c r="AC382" s="9">
        <f>IF(IF(IF(ISERROR('Model inputs'!AC187&lt;'Model inputs'!AJ96),'Model inputs'!AC187&lt;'Model inputs'!AJ96,IF(OR('Model inputs'!AC187="",'Model inputs'!AJ96=""),"",'Model inputs'!AC187&lt;'Model inputs'!AJ96))="",FALSE,IF(ISERROR('Model inputs'!AC187&lt;'Model inputs'!AJ96),'Model inputs'!AC187&lt;'Model inputs'!AJ96,IF(OR('Model inputs'!AC187="",'Model inputs'!AJ96=""),"",'Model inputs'!AC187&lt;'Model inputs'!AJ96))),IF('Model inputs'!AJ129="","",'Model inputs'!AJ129),IF(IF(IF(ISERROR('Model inputs'!AC187&lt;'Model inputs'!AJ126),'Model inputs'!AC187&lt;'Model inputs'!AJ126,IF(OR('Model inputs'!AC187="",'Model inputs'!AJ126=""),"",'Model inputs'!AC187&lt;'Model inputs'!AJ126))="",FALSE,IF(ISERROR('Model inputs'!AC187&lt;'Model inputs'!AJ126),'Model inputs'!AC187&lt;'Model inputs'!AJ126,IF(OR('Model inputs'!AC187="",'Model inputs'!AJ126=""),"",'Model inputs'!AC187&lt;'Model inputs'!AJ126))),IF('Model inputs'!AJ97="","",'Model inputs'!AJ97),IF('Model inputs'!AJ127="","",'Model inputs'!AJ127)))</f>
        <v>4</v>
      </c>
      <c r="AD382" s="9">
        <f>IF(IF(IF(ISERROR('Model inputs'!AD187&lt;'Model inputs'!AJ96),'Model inputs'!AD187&lt;'Model inputs'!AJ96,IF(OR('Model inputs'!AD187="",'Model inputs'!AJ96=""),"",'Model inputs'!AD187&lt;'Model inputs'!AJ96))="",FALSE,IF(ISERROR('Model inputs'!AD187&lt;'Model inputs'!AJ96),'Model inputs'!AD187&lt;'Model inputs'!AJ96,IF(OR('Model inputs'!AD187="",'Model inputs'!AJ96=""),"",'Model inputs'!AD187&lt;'Model inputs'!AJ96))),IF('Model inputs'!AJ129="","",'Model inputs'!AJ129),IF(IF(IF(ISERROR('Model inputs'!AD187&lt;'Model inputs'!AJ126),'Model inputs'!AD187&lt;'Model inputs'!AJ126,IF(OR('Model inputs'!AD187="",'Model inputs'!AJ126=""),"",'Model inputs'!AD187&lt;'Model inputs'!AJ126))="",FALSE,IF(ISERROR('Model inputs'!AD187&lt;'Model inputs'!AJ126),'Model inputs'!AD187&lt;'Model inputs'!AJ126,IF(OR('Model inputs'!AD187="",'Model inputs'!AJ126=""),"",'Model inputs'!AD187&lt;'Model inputs'!AJ126))),IF('Model inputs'!AJ97="","",'Model inputs'!AJ97),IF('Model inputs'!AJ127="","",'Model inputs'!AJ127)))</f>
        <v>4</v>
      </c>
      <c r="AE382" s="9">
        <f>IF(IF(IF(ISERROR('Model inputs'!AE187&lt;'Model inputs'!AJ96),'Model inputs'!AE187&lt;'Model inputs'!AJ96,IF(OR('Model inputs'!AE187="",'Model inputs'!AJ96=""),"",'Model inputs'!AE187&lt;'Model inputs'!AJ96))="",FALSE,IF(ISERROR('Model inputs'!AE187&lt;'Model inputs'!AJ96),'Model inputs'!AE187&lt;'Model inputs'!AJ96,IF(OR('Model inputs'!AE187="",'Model inputs'!AJ96=""),"",'Model inputs'!AE187&lt;'Model inputs'!AJ96))),IF('Model inputs'!AJ129="","",'Model inputs'!AJ129),IF(IF(IF(ISERROR('Model inputs'!AE187&lt;'Model inputs'!AJ126),'Model inputs'!AE187&lt;'Model inputs'!AJ126,IF(OR('Model inputs'!AE187="",'Model inputs'!AJ126=""),"",'Model inputs'!AE187&lt;'Model inputs'!AJ126))="",FALSE,IF(ISERROR('Model inputs'!AE187&lt;'Model inputs'!AJ126),'Model inputs'!AE187&lt;'Model inputs'!AJ126,IF(OR('Model inputs'!AE187="",'Model inputs'!AJ126=""),"",'Model inputs'!AE187&lt;'Model inputs'!AJ126))),IF('Model inputs'!AJ97="","",'Model inputs'!AJ97),IF('Model inputs'!AJ127="","",'Model inputs'!AJ127)))</f>
        <v>4</v>
      </c>
      <c r="AF382" s="9">
        <f>IF(IF(IF(ISERROR('Model inputs'!AF187&lt;'Model inputs'!AJ96),'Model inputs'!AF187&lt;'Model inputs'!AJ96,IF(OR('Model inputs'!AF187="",'Model inputs'!AJ96=""),"",'Model inputs'!AF187&lt;'Model inputs'!AJ96))="",FALSE,IF(ISERROR('Model inputs'!AF187&lt;'Model inputs'!AJ96),'Model inputs'!AF187&lt;'Model inputs'!AJ96,IF(OR('Model inputs'!AF187="",'Model inputs'!AJ96=""),"",'Model inputs'!AF187&lt;'Model inputs'!AJ96))),IF('Model inputs'!AJ129="","",'Model inputs'!AJ129),IF(IF(IF(ISERROR('Model inputs'!AF187&lt;'Model inputs'!AJ126),'Model inputs'!AF187&lt;'Model inputs'!AJ126,IF(OR('Model inputs'!AF187="",'Model inputs'!AJ126=""),"",'Model inputs'!AF187&lt;'Model inputs'!AJ126))="",FALSE,IF(ISERROR('Model inputs'!AF187&lt;'Model inputs'!AJ126),'Model inputs'!AF187&lt;'Model inputs'!AJ126,IF(OR('Model inputs'!AF187="",'Model inputs'!AJ126=""),"",'Model inputs'!AF187&lt;'Model inputs'!AJ126))),IF('Model inputs'!AJ97="","",'Model inputs'!AJ97),IF('Model inputs'!AJ127="","",'Model inputs'!AJ127)))</f>
        <v>4</v>
      </c>
      <c r="AG382" s="9">
        <f>IF(IF(IF(ISERROR('Model inputs'!AG187&lt;'Model inputs'!AJ96),'Model inputs'!AG187&lt;'Model inputs'!AJ96,IF(OR('Model inputs'!AG187="",'Model inputs'!AJ96=""),"",'Model inputs'!AG187&lt;'Model inputs'!AJ96))="",FALSE,IF(ISERROR('Model inputs'!AG187&lt;'Model inputs'!AJ96),'Model inputs'!AG187&lt;'Model inputs'!AJ96,IF(OR('Model inputs'!AG187="",'Model inputs'!AJ96=""),"",'Model inputs'!AG187&lt;'Model inputs'!AJ96))),IF('Model inputs'!AJ129="","",'Model inputs'!AJ129),IF(IF(IF(ISERROR('Model inputs'!AG187&lt;'Model inputs'!AJ126),'Model inputs'!AG187&lt;'Model inputs'!AJ126,IF(OR('Model inputs'!AG187="",'Model inputs'!AJ126=""),"",'Model inputs'!AG187&lt;'Model inputs'!AJ126))="",FALSE,IF(ISERROR('Model inputs'!AG187&lt;'Model inputs'!AJ126),'Model inputs'!AG187&lt;'Model inputs'!AJ126,IF(OR('Model inputs'!AG187="",'Model inputs'!AJ126=""),"",'Model inputs'!AG187&lt;'Model inputs'!AJ126))),IF('Model inputs'!AJ97="","",'Model inputs'!AJ97),IF('Model inputs'!AJ127="","",'Model inputs'!AJ127)))</f>
        <v>4</v>
      </c>
      <c r="AH382" s="9">
        <f>IF(IF(IF(ISERROR('Model inputs'!AH187&lt;'Model inputs'!AJ96),'Model inputs'!AH187&lt;'Model inputs'!AJ96,IF(OR('Model inputs'!AH187="",'Model inputs'!AJ96=""),"",'Model inputs'!AH187&lt;'Model inputs'!AJ96))="",FALSE,IF(ISERROR('Model inputs'!AH187&lt;'Model inputs'!AJ96),'Model inputs'!AH187&lt;'Model inputs'!AJ96,IF(OR('Model inputs'!AH187="",'Model inputs'!AJ96=""),"",'Model inputs'!AH187&lt;'Model inputs'!AJ96))),IF('Model inputs'!AJ129="","",'Model inputs'!AJ129),IF(IF(IF(ISERROR('Model inputs'!AH187&lt;'Model inputs'!AJ126),'Model inputs'!AH187&lt;'Model inputs'!AJ126,IF(OR('Model inputs'!AH187="",'Model inputs'!AJ126=""),"",'Model inputs'!AH187&lt;'Model inputs'!AJ126))="",FALSE,IF(ISERROR('Model inputs'!AH187&lt;'Model inputs'!AJ126),'Model inputs'!AH187&lt;'Model inputs'!AJ126,IF(OR('Model inputs'!AH187="",'Model inputs'!AJ126=""),"",'Model inputs'!AH187&lt;'Model inputs'!AJ126))),IF('Model inputs'!AJ97="","",'Model inputs'!AJ97),IF('Model inputs'!AJ127="","",'Model inputs'!AJ127)))</f>
        <v>4</v>
      </c>
      <c r="AI382" s="9">
        <f>IF(IF(IF(ISERROR('Model inputs'!AI187&lt;'Model inputs'!AJ96),'Model inputs'!AI187&lt;'Model inputs'!AJ96,IF(OR('Model inputs'!AI187="",'Model inputs'!AJ96=""),"",'Model inputs'!AI187&lt;'Model inputs'!AJ96))="",FALSE,IF(ISERROR('Model inputs'!AI187&lt;'Model inputs'!AJ96),'Model inputs'!AI187&lt;'Model inputs'!AJ96,IF(OR('Model inputs'!AI187="",'Model inputs'!AJ96=""),"",'Model inputs'!AI187&lt;'Model inputs'!AJ96))),IF('Model inputs'!AJ129="","",'Model inputs'!AJ129),IF(IF(IF(ISERROR('Model inputs'!AI187&lt;'Model inputs'!AJ126),'Model inputs'!AI187&lt;'Model inputs'!AJ126,IF(OR('Model inputs'!AI187="",'Model inputs'!AJ126=""),"",'Model inputs'!AI187&lt;'Model inputs'!AJ126))="",FALSE,IF(ISERROR('Model inputs'!AI187&lt;'Model inputs'!AJ126),'Model inputs'!AI187&lt;'Model inputs'!AJ126,IF(OR('Model inputs'!AI187="",'Model inputs'!AJ126=""),"",'Model inputs'!AI187&lt;'Model inputs'!AJ126))),IF('Model inputs'!AJ97="","",'Model inputs'!AJ97),IF('Model inputs'!AJ127="","",'Model inputs'!AJ127)))</f>
        <v>4</v>
      </c>
    </row>
    <row r="383">
      <c r="A383" t="inlineStr" s="13">
        <is>
          <t xml:space="preserve">Haq check cost · Haq Ending cash · Conservative · Conservative</t>
        </is>
      </c>
      <c r="B383" s="9">
        <f>IF(IF(IF(ISERROR('Model inputs'!B188&lt;'Model inputs'!AJ152),'Model inputs'!B188&lt;'Model inputs'!AJ152,IF(OR('Model inputs'!B188="",'Model inputs'!AJ152=""),"",'Model inputs'!B188&lt;'Model inputs'!AJ152))="",FALSE,IF(ISERROR('Model inputs'!B188&lt;'Model inputs'!AJ152),'Model inputs'!B188&lt;'Model inputs'!AJ152,IF(OR('Model inputs'!B188="",'Model inputs'!AJ152=""),"",'Model inputs'!B188&lt;'Model inputs'!AJ152))),IF('Model inputs'!AJ185="","",'Model inputs'!AJ185),IF(IF(IF(ISERROR('Model inputs'!B188&lt;'Model inputs'!AJ182),'Model inputs'!B188&lt;'Model inputs'!AJ182,IF(OR('Model inputs'!B188="",'Model inputs'!AJ182=""),"",'Model inputs'!B188&lt;'Model inputs'!AJ182))="",FALSE,IF(ISERROR('Model inputs'!B188&lt;'Model inputs'!AJ182),'Model inputs'!B188&lt;'Model inputs'!AJ182,IF(OR('Model inputs'!B188="",'Model inputs'!AJ182=""),"",'Model inputs'!B188&lt;'Model inputs'!AJ182))),IF('Model inputs'!AJ153="","",'Model inputs'!AJ153),IF('Model inputs'!AJ183="","",'Model inputs'!AJ183)))</f>
        <v>20</v>
      </c>
      <c r="C383" s="9">
        <f>IF(IF(IF(ISERROR('Model inputs'!C188&lt;'Model inputs'!AJ152),'Model inputs'!C188&lt;'Model inputs'!AJ152,IF(OR('Model inputs'!C188="",'Model inputs'!AJ152=""),"",'Model inputs'!C188&lt;'Model inputs'!AJ152))="",FALSE,IF(ISERROR('Model inputs'!C188&lt;'Model inputs'!AJ152),'Model inputs'!C188&lt;'Model inputs'!AJ152,IF(OR('Model inputs'!C188="",'Model inputs'!AJ152=""),"",'Model inputs'!C188&lt;'Model inputs'!AJ152))),IF('Model inputs'!AJ185="","",'Model inputs'!AJ185),IF(IF(IF(ISERROR('Model inputs'!C188&lt;'Model inputs'!AJ182),'Model inputs'!C188&lt;'Model inputs'!AJ182,IF(OR('Model inputs'!C188="",'Model inputs'!AJ182=""),"",'Model inputs'!C188&lt;'Model inputs'!AJ182))="",FALSE,IF(ISERROR('Model inputs'!C188&lt;'Model inputs'!AJ182),'Model inputs'!C188&lt;'Model inputs'!AJ182,IF(OR('Model inputs'!C188="",'Model inputs'!AJ182=""),"",'Model inputs'!C188&lt;'Model inputs'!AJ182))),IF('Model inputs'!AJ153="","",'Model inputs'!AJ153),IF('Model inputs'!AJ183="","",'Model inputs'!AJ183)))</f>
        <v>20</v>
      </c>
      <c r="D383" s="9">
        <f>IF(IF(IF(ISERROR('Model inputs'!D188&lt;'Model inputs'!AJ152),'Model inputs'!D188&lt;'Model inputs'!AJ152,IF(OR('Model inputs'!D188="",'Model inputs'!AJ152=""),"",'Model inputs'!D188&lt;'Model inputs'!AJ152))="",FALSE,IF(ISERROR('Model inputs'!D188&lt;'Model inputs'!AJ152),'Model inputs'!D188&lt;'Model inputs'!AJ152,IF(OR('Model inputs'!D188="",'Model inputs'!AJ152=""),"",'Model inputs'!D188&lt;'Model inputs'!AJ152))),IF('Model inputs'!AJ185="","",'Model inputs'!AJ185),IF(IF(IF(ISERROR('Model inputs'!D188&lt;'Model inputs'!AJ182),'Model inputs'!D188&lt;'Model inputs'!AJ182,IF(OR('Model inputs'!D188="",'Model inputs'!AJ182=""),"",'Model inputs'!D188&lt;'Model inputs'!AJ182))="",FALSE,IF(ISERROR('Model inputs'!D188&lt;'Model inputs'!AJ182),'Model inputs'!D188&lt;'Model inputs'!AJ182,IF(OR('Model inputs'!D188="",'Model inputs'!AJ182=""),"",'Model inputs'!D188&lt;'Model inputs'!AJ182))),IF('Model inputs'!AJ153="","",'Model inputs'!AJ153),IF('Model inputs'!AJ183="","",'Model inputs'!AJ183)))</f>
        <v>20</v>
      </c>
      <c r="E383" s="9">
        <f>IF(IF(IF(ISERROR('Model inputs'!E188&lt;'Model inputs'!AJ152),'Model inputs'!E188&lt;'Model inputs'!AJ152,IF(OR('Model inputs'!E188="",'Model inputs'!AJ152=""),"",'Model inputs'!E188&lt;'Model inputs'!AJ152))="",FALSE,IF(ISERROR('Model inputs'!E188&lt;'Model inputs'!AJ152),'Model inputs'!E188&lt;'Model inputs'!AJ152,IF(OR('Model inputs'!E188="",'Model inputs'!AJ152=""),"",'Model inputs'!E188&lt;'Model inputs'!AJ152))),IF('Model inputs'!AJ185="","",'Model inputs'!AJ185),IF(IF(IF(ISERROR('Model inputs'!E188&lt;'Model inputs'!AJ182),'Model inputs'!E188&lt;'Model inputs'!AJ182,IF(OR('Model inputs'!E188="",'Model inputs'!AJ182=""),"",'Model inputs'!E188&lt;'Model inputs'!AJ182))="",FALSE,IF(ISERROR('Model inputs'!E188&lt;'Model inputs'!AJ182),'Model inputs'!E188&lt;'Model inputs'!AJ182,IF(OR('Model inputs'!E188="",'Model inputs'!AJ182=""),"",'Model inputs'!E188&lt;'Model inputs'!AJ182))),IF('Model inputs'!AJ153="","",'Model inputs'!AJ153),IF('Model inputs'!AJ183="","",'Model inputs'!AJ183)))</f>
        <v>20</v>
      </c>
      <c r="F383" s="9">
        <f>IF(IF(IF(ISERROR('Model inputs'!F188&lt;'Model inputs'!AJ152),'Model inputs'!F188&lt;'Model inputs'!AJ152,IF(OR('Model inputs'!F188="",'Model inputs'!AJ152=""),"",'Model inputs'!F188&lt;'Model inputs'!AJ152))="",FALSE,IF(ISERROR('Model inputs'!F188&lt;'Model inputs'!AJ152),'Model inputs'!F188&lt;'Model inputs'!AJ152,IF(OR('Model inputs'!F188="",'Model inputs'!AJ152=""),"",'Model inputs'!F188&lt;'Model inputs'!AJ152))),IF('Model inputs'!AJ185="","",'Model inputs'!AJ185),IF(IF(IF(ISERROR('Model inputs'!F188&lt;'Model inputs'!AJ182),'Model inputs'!F188&lt;'Model inputs'!AJ182,IF(OR('Model inputs'!F188="",'Model inputs'!AJ182=""),"",'Model inputs'!F188&lt;'Model inputs'!AJ182))="",FALSE,IF(ISERROR('Model inputs'!F188&lt;'Model inputs'!AJ182),'Model inputs'!F188&lt;'Model inputs'!AJ182,IF(OR('Model inputs'!F188="",'Model inputs'!AJ182=""),"",'Model inputs'!F188&lt;'Model inputs'!AJ182))),IF('Model inputs'!AJ153="","",'Model inputs'!AJ153),IF('Model inputs'!AJ183="","",'Model inputs'!AJ183)))</f>
        <v>20</v>
      </c>
      <c r="G383" s="9">
        <f>IF(IF(IF(ISERROR('Model inputs'!G188&lt;'Model inputs'!AJ152),'Model inputs'!G188&lt;'Model inputs'!AJ152,IF(OR('Model inputs'!G188="",'Model inputs'!AJ152=""),"",'Model inputs'!G188&lt;'Model inputs'!AJ152))="",FALSE,IF(ISERROR('Model inputs'!G188&lt;'Model inputs'!AJ152),'Model inputs'!G188&lt;'Model inputs'!AJ152,IF(OR('Model inputs'!G188="",'Model inputs'!AJ152=""),"",'Model inputs'!G188&lt;'Model inputs'!AJ152))),IF('Model inputs'!AJ185="","",'Model inputs'!AJ185),IF(IF(IF(ISERROR('Model inputs'!G188&lt;'Model inputs'!AJ182),'Model inputs'!G188&lt;'Model inputs'!AJ182,IF(OR('Model inputs'!G188="",'Model inputs'!AJ182=""),"",'Model inputs'!G188&lt;'Model inputs'!AJ182))="",FALSE,IF(ISERROR('Model inputs'!G188&lt;'Model inputs'!AJ182),'Model inputs'!G188&lt;'Model inputs'!AJ182,IF(OR('Model inputs'!G188="",'Model inputs'!AJ182=""),"",'Model inputs'!G188&lt;'Model inputs'!AJ182))),IF('Model inputs'!AJ153="","",'Model inputs'!AJ153),IF('Model inputs'!AJ183="","",'Model inputs'!AJ183)))</f>
        <v>20</v>
      </c>
      <c r="H383" s="9">
        <f>IF(IF(IF(ISERROR('Model inputs'!H188&lt;'Model inputs'!AJ152),'Model inputs'!H188&lt;'Model inputs'!AJ152,IF(OR('Model inputs'!H188="",'Model inputs'!AJ152=""),"",'Model inputs'!H188&lt;'Model inputs'!AJ152))="",FALSE,IF(ISERROR('Model inputs'!H188&lt;'Model inputs'!AJ152),'Model inputs'!H188&lt;'Model inputs'!AJ152,IF(OR('Model inputs'!H188="",'Model inputs'!AJ152=""),"",'Model inputs'!H188&lt;'Model inputs'!AJ152))),IF('Model inputs'!AJ185="","",'Model inputs'!AJ185),IF(IF(IF(ISERROR('Model inputs'!H188&lt;'Model inputs'!AJ182),'Model inputs'!H188&lt;'Model inputs'!AJ182,IF(OR('Model inputs'!H188="",'Model inputs'!AJ182=""),"",'Model inputs'!H188&lt;'Model inputs'!AJ182))="",FALSE,IF(ISERROR('Model inputs'!H188&lt;'Model inputs'!AJ182),'Model inputs'!H188&lt;'Model inputs'!AJ182,IF(OR('Model inputs'!H188="",'Model inputs'!AJ182=""),"",'Model inputs'!H188&lt;'Model inputs'!AJ182))),IF('Model inputs'!AJ153="","",'Model inputs'!AJ153),IF('Model inputs'!AJ183="","",'Model inputs'!AJ183)))</f>
        <v>20</v>
      </c>
      <c r="I383" s="9">
        <f>IF(IF(IF(ISERROR('Model inputs'!I188&lt;'Model inputs'!AJ152),'Model inputs'!I188&lt;'Model inputs'!AJ152,IF(OR('Model inputs'!I188="",'Model inputs'!AJ152=""),"",'Model inputs'!I188&lt;'Model inputs'!AJ152))="",FALSE,IF(ISERROR('Model inputs'!I188&lt;'Model inputs'!AJ152),'Model inputs'!I188&lt;'Model inputs'!AJ152,IF(OR('Model inputs'!I188="",'Model inputs'!AJ152=""),"",'Model inputs'!I188&lt;'Model inputs'!AJ152))),IF('Model inputs'!AJ185="","",'Model inputs'!AJ185),IF(IF(IF(ISERROR('Model inputs'!I188&lt;'Model inputs'!AJ182),'Model inputs'!I188&lt;'Model inputs'!AJ182,IF(OR('Model inputs'!I188="",'Model inputs'!AJ182=""),"",'Model inputs'!I188&lt;'Model inputs'!AJ182))="",FALSE,IF(ISERROR('Model inputs'!I188&lt;'Model inputs'!AJ182),'Model inputs'!I188&lt;'Model inputs'!AJ182,IF(OR('Model inputs'!I188="",'Model inputs'!AJ182=""),"",'Model inputs'!I188&lt;'Model inputs'!AJ182))),IF('Model inputs'!AJ153="","",'Model inputs'!AJ153),IF('Model inputs'!AJ183="","",'Model inputs'!AJ183)))</f>
        <v>20</v>
      </c>
      <c r="J383" s="9">
        <f>IF(IF(IF(ISERROR('Model inputs'!J188&lt;'Model inputs'!AJ152),'Model inputs'!J188&lt;'Model inputs'!AJ152,IF(OR('Model inputs'!J188="",'Model inputs'!AJ152=""),"",'Model inputs'!J188&lt;'Model inputs'!AJ152))="",FALSE,IF(ISERROR('Model inputs'!J188&lt;'Model inputs'!AJ152),'Model inputs'!J188&lt;'Model inputs'!AJ152,IF(OR('Model inputs'!J188="",'Model inputs'!AJ152=""),"",'Model inputs'!J188&lt;'Model inputs'!AJ152))),IF('Model inputs'!AJ185="","",'Model inputs'!AJ185),IF(IF(IF(ISERROR('Model inputs'!J188&lt;'Model inputs'!AJ182),'Model inputs'!J188&lt;'Model inputs'!AJ182,IF(OR('Model inputs'!J188="",'Model inputs'!AJ182=""),"",'Model inputs'!J188&lt;'Model inputs'!AJ182))="",FALSE,IF(ISERROR('Model inputs'!J188&lt;'Model inputs'!AJ182),'Model inputs'!J188&lt;'Model inputs'!AJ182,IF(OR('Model inputs'!J188="",'Model inputs'!AJ182=""),"",'Model inputs'!J188&lt;'Model inputs'!AJ182))),IF('Model inputs'!AJ153="","",'Model inputs'!AJ153),IF('Model inputs'!AJ183="","",'Model inputs'!AJ183)))</f>
        <v>20</v>
      </c>
      <c r="K383" s="9">
        <f>IF(IF(IF(ISERROR('Model inputs'!K188&lt;'Model inputs'!AJ152),'Model inputs'!K188&lt;'Model inputs'!AJ152,IF(OR('Model inputs'!K188="",'Model inputs'!AJ152=""),"",'Model inputs'!K188&lt;'Model inputs'!AJ152))="",FALSE,IF(ISERROR('Model inputs'!K188&lt;'Model inputs'!AJ152),'Model inputs'!K188&lt;'Model inputs'!AJ152,IF(OR('Model inputs'!K188="",'Model inputs'!AJ152=""),"",'Model inputs'!K188&lt;'Model inputs'!AJ152))),IF('Model inputs'!AJ185="","",'Model inputs'!AJ185),IF(IF(IF(ISERROR('Model inputs'!K188&lt;'Model inputs'!AJ182),'Model inputs'!K188&lt;'Model inputs'!AJ182,IF(OR('Model inputs'!K188="",'Model inputs'!AJ182=""),"",'Model inputs'!K188&lt;'Model inputs'!AJ182))="",FALSE,IF(ISERROR('Model inputs'!K188&lt;'Model inputs'!AJ182),'Model inputs'!K188&lt;'Model inputs'!AJ182,IF(OR('Model inputs'!K188="",'Model inputs'!AJ182=""),"",'Model inputs'!K188&lt;'Model inputs'!AJ182))),IF('Model inputs'!AJ153="","",'Model inputs'!AJ153),IF('Model inputs'!AJ183="","",'Model inputs'!AJ183)))</f>
        <v>20</v>
      </c>
      <c r="L383" s="9">
        <f>IF(IF(IF(ISERROR('Model inputs'!L188&lt;'Model inputs'!AJ152),'Model inputs'!L188&lt;'Model inputs'!AJ152,IF(OR('Model inputs'!L188="",'Model inputs'!AJ152=""),"",'Model inputs'!L188&lt;'Model inputs'!AJ152))="",FALSE,IF(ISERROR('Model inputs'!L188&lt;'Model inputs'!AJ152),'Model inputs'!L188&lt;'Model inputs'!AJ152,IF(OR('Model inputs'!L188="",'Model inputs'!AJ152=""),"",'Model inputs'!L188&lt;'Model inputs'!AJ152))),IF('Model inputs'!AJ185="","",'Model inputs'!AJ185),IF(IF(IF(ISERROR('Model inputs'!L188&lt;'Model inputs'!AJ182),'Model inputs'!L188&lt;'Model inputs'!AJ182,IF(OR('Model inputs'!L188="",'Model inputs'!AJ182=""),"",'Model inputs'!L188&lt;'Model inputs'!AJ182))="",FALSE,IF(ISERROR('Model inputs'!L188&lt;'Model inputs'!AJ182),'Model inputs'!L188&lt;'Model inputs'!AJ182,IF(OR('Model inputs'!L188="",'Model inputs'!AJ182=""),"",'Model inputs'!L188&lt;'Model inputs'!AJ182))),IF('Model inputs'!AJ153="","",'Model inputs'!AJ153),IF('Model inputs'!AJ183="","",'Model inputs'!AJ183)))</f>
        <v>20</v>
      </c>
      <c r="M383" s="9">
        <f>IF(IF(IF(ISERROR('Model inputs'!M188&lt;'Model inputs'!AJ152),'Model inputs'!M188&lt;'Model inputs'!AJ152,IF(OR('Model inputs'!M188="",'Model inputs'!AJ152=""),"",'Model inputs'!M188&lt;'Model inputs'!AJ152))="",FALSE,IF(ISERROR('Model inputs'!M188&lt;'Model inputs'!AJ152),'Model inputs'!M188&lt;'Model inputs'!AJ152,IF(OR('Model inputs'!M188="",'Model inputs'!AJ152=""),"",'Model inputs'!M188&lt;'Model inputs'!AJ152))),IF('Model inputs'!AJ185="","",'Model inputs'!AJ185),IF(IF(IF(ISERROR('Model inputs'!M188&lt;'Model inputs'!AJ182),'Model inputs'!M188&lt;'Model inputs'!AJ182,IF(OR('Model inputs'!M188="",'Model inputs'!AJ182=""),"",'Model inputs'!M188&lt;'Model inputs'!AJ182))="",FALSE,IF(ISERROR('Model inputs'!M188&lt;'Model inputs'!AJ182),'Model inputs'!M188&lt;'Model inputs'!AJ182,IF(OR('Model inputs'!M188="",'Model inputs'!AJ182=""),"",'Model inputs'!M188&lt;'Model inputs'!AJ182))),IF('Model inputs'!AJ153="","",'Model inputs'!AJ153),IF('Model inputs'!AJ183="","",'Model inputs'!AJ183)))</f>
        <v>20</v>
      </c>
      <c r="N383" s="9">
        <f>IF(IF(IF(ISERROR('Model inputs'!N188&lt;'Model inputs'!AJ152),'Model inputs'!N188&lt;'Model inputs'!AJ152,IF(OR('Model inputs'!N188="",'Model inputs'!AJ152=""),"",'Model inputs'!N188&lt;'Model inputs'!AJ152))="",FALSE,IF(ISERROR('Model inputs'!N188&lt;'Model inputs'!AJ152),'Model inputs'!N188&lt;'Model inputs'!AJ152,IF(OR('Model inputs'!N188="",'Model inputs'!AJ152=""),"",'Model inputs'!N188&lt;'Model inputs'!AJ152))),IF('Model inputs'!AJ185="","",'Model inputs'!AJ185),IF(IF(IF(ISERROR('Model inputs'!N188&lt;'Model inputs'!AJ182),'Model inputs'!N188&lt;'Model inputs'!AJ182,IF(OR('Model inputs'!N188="",'Model inputs'!AJ182=""),"",'Model inputs'!N188&lt;'Model inputs'!AJ182))="",FALSE,IF(ISERROR('Model inputs'!N188&lt;'Model inputs'!AJ182),'Model inputs'!N188&lt;'Model inputs'!AJ182,IF(OR('Model inputs'!N188="",'Model inputs'!AJ182=""),"",'Model inputs'!N188&lt;'Model inputs'!AJ182))),IF('Model inputs'!AJ153="","",'Model inputs'!AJ153),IF('Model inputs'!AJ183="","",'Model inputs'!AJ183)))</f>
        <v>20</v>
      </c>
      <c r="O383" s="9">
        <f>IF(IF(IF(ISERROR('Model inputs'!O188&lt;'Model inputs'!AJ152),'Model inputs'!O188&lt;'Model inputs'!AJ152,IF(OR('Model inputs'!O188="",'Model inputs'!AJ152=""),"",'Model inputs'!O188&lt;'Model inputs'!AJ152))="",FALSE,IF(ISERROR('Model inputs'!O188&lt;'Model inputs'!AJ152),'Model inputs'!O188&lt;'Model inputs'!AJ152,IF(OR('Model inputs'!O188="",'Model inputs'!AJ152=""),"",'Model inputs'!O188&lt;'Model inputs'!AJ152))),IF('Model inputs'!AJ185="","",'Model inputs'!AJ185),IF(IF(IF(ISERROR('Model inputs'!O188&lt;'Model inputs'!AJ182),'Model inputs'!O188&lt;'Model inputs'!AJ182,IF(OR('Model inputs'!O188="",'Model inputs'!AJ182=""),"",'Model inputs'!O188&lt;'Model inputs'!AJ182))="",FALSE,IF(ISERROR('Model inputs'!O188&lt;'Model inputs'!AJ182),'Model inputs'!O188&lt;'Model inputs'!AJ182,IF(OR('Model inputs'!O188="",'Model inputs'!AJ182=""),"",'Model inputs'!O188&lt;'Model inputs'!AJ182))),IF('Model inputs'!AJ153="","",'Model inputs'!AJ153),IF('Model inputs'!AJ183="","",'Model inputs'!AJ183)))</f>
        <v>10</v>
      </c>
      <c r="P383" s="9">
        <f>IF(IF(IF(ISERROR('Model inputs'!P188&lt;'Model inputs'!AJ152),'Model inputs'!P188&lt;'Model inputs'!AJ152,IF(OR('Model inputs'!P188="",'Model inputs'!AJ152=""),"",'Model inputs'!P188&lt;'Model inputs'!AJ152))="",FALSE,IF(ISERROR('Model inputs'!P188&lt;'Model inputs'!AJ152),'Model inputs'!P188&lt;'Model inputs'!AJ152,IF(OR('Model inputs'!P188="",'Model inputs'!AJ152=""),"",'Model inputs'!P188&lt;'Model inputs'!AJ152))),IF('Model inputs'!AJ185="","",'Model inputs'!AJ185),IF(IF(IF(ISERROR('Model inputs'!P188&lt;'Model inputs'!AJ182),'Model inputs'!P188&lt;'Model inputs'!AJ182,IF(OR('Model inputs'!P188="",'Model inputs'!AJ182=""),"",'Model inputs'!P188&lt;'Model inputs'!AJ182))="",FALSE,IF(ISERROR('Model inputs'!P188&lt;'Model inputs'!AJ182),'Model inputs'!P188&lt;'Model inputs'!AJ182,IF(OR('Model inputs'!P188="",'Model inputs'!AJ182=""),"",'Model inputs'!P188&lt;'Model inputs'!AJ182))),IF('Model inputs'!AJ153="","",'Model inputs'!AJ153),IF('Model inputs'!AJ183="","",'Model inputs'!AJ183)))</f>
        <v>10</v>
      </c>
      <c r="Q383" s="9">
        <f>IF(IF(IF(ISERROR('Model inputs'!Q188&lt;'Model inputs'!AJ152),'Model inputs'!Q188&lt;'Model inputs'!AJ152,IF(OR('Model inputs'!Q188="",'Model inputs'!AJ152=""),"",'Model inputs'!Q188&lt;'Model inputs'!AJ152))="",FALSE,IF(ISERROR('Model inputs'!Q188&lt;'Model inputs'!AJ152),'Model inputs'!Q188&lt;'Model inputs'!AJ152,IF(OR('Model inputs'!Q188="",'Model inputs'!AJ152=""),"",'Model inputs'!Q188&lt;'Model inputs'!AJ152))),IF('Model inputs'!AJ185="","",'Model inputs'!AJ185),IF(IF(IF(ISERROR('Model inputs'!Q188&lt;'Model inputs'!AJ182),'Model inputs'!Q188&lt;'Model inputs'!AJ182,IF(OR('Model inputs'!Q188="",'Model inputs'!AJ182=""),"",'Model inputs'!Q188&lt;'Model inputs'!AJ182))="",FALSE,IF(ISERROR('Model inputs'!Q188&lt;'Model inputs'!AJ182),'Model inputs'!Q188&lt;'Model inputs'!AJ182,IF(OR('Model inputs'!Q188="",'Model inputs'!AJ182=""),"",'Model inputs'!Q188&lt;'Model inputs'!AJ182))),IF('Model inputs'!AJ153="","",'Model inputs'!AJ153),IF('Model inputs'!AJ183="","",'Model inputs'!AJ183)))</f>
        <v>10</v>
      </c>
      <c r="R383" s="9">
        <f>IF(IF(IF(ISERROR('Model inputs'!R188&lt;'Model inputs'!AJ152),'Model inputs'!R188&lt;'Model inputs'!AJ152,IF(OR('Model inputs'!R188="",'Model inputs'!AJ152=""),"",'Model inputs'!R188&lt;'Model inputs'!AJ152))="",FALSE,IF(ISERROR('Model inputs'!R188&lt;'Model inputs'!AJ152),'Model inputs'!R188&lt;'Model inputs'!AJ152,IF(OR('Model inputs'!R188="",'Model inputs'!AJ152=""),"",'Model inputs'!R188&lt;'Model inputs'!AJ152))),IF('Model inputs'!AJ185="","",'Model inputs'!AJ185),IF(IF(IF(ISERROR('Model inputs'!R188&lt;'Model inputs'!AJ182),'Model inputs'!R188&lt;'Model inputs'!AJ182,IF(OR('Model inputs'!R188="",'Model inputs'!AJ182=""),"",'Model inputs'!R188&lt;'Model inputs'!AJ182))="",FALSE,IF(ISERROR('Model inputs'!R188&lt;'Model inputs'!AJ182),'Model inputs'!R188&lt;'Model inputs'!AJ182,IF(OR('Model inputs'!R188="",'Model inputs'!AJ182=""),"",'Model inputs'!R188&lt;'Model inputs'!AJ182))),IF('Model inputs'!AJ153="","",'Model inputs'!AJ153),IF('Model inputs'!AJ183="","",'Model inputs'!AJ183)))</f>
        <v>10</v>
      </c>
      <c r="S383" s="9">
        <f>IF(IF(IF(ISERROR('Model inputs'!S188&lt;'Model inputs'!AJ152),'Model inputs'!S188&lt;'Model inputs'!AJ152,IF(OR('Model inputs'!S188="",'Model inputs'!AJ152=""),"",'Model inputs'!S188&lt;'Model inputs'!AJ152))="",FALSE,IF(ISERROR('Model inputs'!S188&lt;'Model inputs'!AJ152),'Model inputs'!S188&lt;'Model inputs'!AJ152,IF(OR('Model inputs'!S188="",'Model inputs'!AJ152=""),"",'Model inputs'!S188&lt;'Model inputs'!AJ152))),IF('Model inputs'!AJ185="","",'Model inputs'!AJ185),IF(IF(IF(ISERROR('Model inputs'!S188&lt;'Model inputs'!AJ182),'Model inputs'!S188&lt;'Model inputs'!AJ182,IF(OR('Model inputs'!S188="",'Model inputs'!AJ182=""),"",'Model inputs'!S188&lt;'Model inputs'!AJ182))="",FALSE,IF(ISERROR('Model inputs'!S188&lt;'Model inputs'!AJ182),'Model inputs'!S188&lt;'Model inputs'!AJ182,IF(OR('Model inputs'!S188="",'Model inputs'!AJ182=""),"",'Model inputs'!S188&lt;'Model inputs'!AJ182))),IF('Model inputs'!AJ153="","",'Model inputs'!AJ153),IF('Model inputs'!AJ183="","",'Model inputs'!AJ183)))</f>
        <v>10</v>
      </c>
      <c r="T383" s="9">
        <f>IF(IF(IF(ISERROR('Model inputs'!T188&lt;'Model inputs'!AJ152),'Model inputs'!T188&lt;'Model inputs'!AJ152,IF(OR('Model inputs'!T188="",'Model inputs'!AJ152=""),"",'Model inputs'!T188&lt;'Model inputs'!AJ152))="",FALSE,IF(ISERROR('Model inputs'!T188&lt;'Model inputs'!AJ152),'Model inputs'!T188&lt;'Model inputs'!AJ152,IF(OR('Model inputs'!T188="",'Model inputs'!AJ152=""),"",'Model inputs'!T188&lt;'Model inputs'!AJ152))),IF('Model inputs'!AJ185="","",'Model inputs'!AJ185),IF(IF(IF(ISERROR('Model inputs'!T188&lt;'Model inputs'!AJ182),'Model inputs'!T188&lt;'Model inputs'!AJ182,IF(OR('Model inputs'!T188="",'Model inputs'!AJ182=""),"",'Model inputs'!T188&lt;'Model inputs'!AJ182))="",FALSE,IF(ISERROR('Model inputs'!T188&lt;'Model inputs'!AJ182),'Model inputs'!T188&lt;'Model inputs'!AJ182,IF(OR('Model inputs'!T188="",'Model inputs'!AJ182=""),"",'Model inputs'!T188&lt;'Model inputs'!AJ182))),IF('Model inputs'!AJ153="","",'Model inputs'!AJ153),IF('Model inputs'!AJ183="","",'Model inputs'!AJ183)))</f>
        <v>10</v>
      </c>
      <c r="U383" s="9">
        <f>IF(IF(IF(ISERROR('Model inputs'!U188&lt;'Model inputs'!AJ152),'Model inputs'!U188&lt;'Model inputs'!AJ152,IF(OR('Model inputs'!U188="",'Model inputs'!AJ152=""),"",'Model inputs'!U188&lt;'Model inputs'!AJ152))="",FALSE,IF(ISERROR('Model inputs'!U188&lt;'Model inputs'!AJ152),'Model inputs'!U188&lt;'Model inputs'!AJ152,IF(OR('Model inputs'!U188="",'Model inputs'!AJ152=""),"",'Model inputs'!U188&lt;'Model inputs'!AJ152))),IF('Model inputs'!AJ185="","",'Model inputs'!AJ185),IF(IF(IF(ISERROR('Model inputs'!U188&lt;'Model inputs'!AJ182),'Model inputs'!U188&lt;'Model inputs'!AJ182,IF(OR('Model inputs'!U188="",'Model inputs'!AJ182=""),"",'Model inputs'!U188&lt;'Model inputs'!AJ182))="",FALSE,IF(ISERROR('Model inputs'!U188&lt;'Model inputs'!AJ182),'Model inputs'!U188&lt;'Model inputs'!AJ182,IF(OR('Model inputs'!U188="",'Model inputs'!AJ182=""),"",'Model inputs'!U188&lt;'Model inputs'!AJ182))),IF('Model inputs'!AJ153="","",'Model inputs'!AJ153),IF('Model inputs'!AJ183="","",'Model inputs'!AJ183)))</f>
        <v>10</v>
      </c>
      <c r="V383" s="9">
        <f>IF(IF(IF(ISERROR('Model inputs'!V188&lt;'Model inputs'!AJ152),'Model inputs'!V188&lt;'Model inputs'!AJ152,IF(OR('Model inputs'!V188="",'Model inputs'!AJ152=""),"",'Model inputs'!V188&lt;'Model inputs'!AJ152))="",FALSE,IF(ISERROR('Model inputs'!V188&lt;'Model inputs'!AJ152),'Model inputs'!V188&lt;'Model inputs'!AJ152,IF(OR('Model inputs'!V188="",'Model inputs'!AJ152=""),"",'Model inputs'!V188&lt;'Model inputs'!AJ152))),IF('Model inputs'!AJ185="","",'Model inputs'!AJ185),IF(IF(IF(ISERROR('Model inputs'!V188&lt;'Model inputs'!AJ182),'Model inputs'!V188&lt;'Model inputs'!AJ182,IF(OR('Model inputs'!V188="",'Model inputs'!AJ182=""),"",'Model inputs'!V188&lt;'Model inputs'!AJ182))="",FALSE,IF(ISERROR('Model inputs'!V188&lt;'Model inputs'!AJ182),'Model inputs'!V188&lt;'Model inputs'!AJ182,IF(OR('Model inputs'!V188="",'Model inputs'!AJ182=""),"",'Model inputs'!V188&lt;'Model inputs'!AJ182))),IF('Model inputs'!AJ153="","",'Model inputs'!AJ153),IF('Model inputs'!AJ183="","",'Model inputs'!AJ183)))</f>
        <v>10</v>
      </c>
      <c r="W383" s="9">
        <f>IF(IF(IF(ISERROR('Model inputs'!W188&lt;'Model inputs'!AJ152),'Model inputs'!W188&lt;'Model inputs'!AJ152,IF(OR('Model inputs'!W188="",'Model inputs'!AJ152=""),"",'Model inputs'!W188&lt;'Model inputs'!AJ152))="",FALSE,IF(ISERROR('Model inputs'!W188&lt;'Model inputs'!AJ152),'Model inputs'!W188&lt;'Model inputs'!AJ152,IF(OR('Model inputs'!W188="",'Model inputs'!AJ152=""),"",'Model inputs'!W188&lt;'Model inputs'!AJ152))),IF('Model inputs'!AJ185="","",'Model inputs'!AJ185),IF(IF(IF(ISERROR('Model inputs'!W188&lt;'Model inputs'!AJ182),'Model inputs'!W188&lt;'Model inputs'!AJ182,IF(OR('Model inputs'!W188="",'Model inputs'!AJ182=""),"",'Model inputs'!W188&lt;'Model inputs'!AJ182))="",FALSE,IF(ISERROR('Model inputs'!W188&lt;'Model inputs'!AJ182),'Model inputs'!W188&lt;'Model inputs'!AJ182,IF(OR('Model inputs'!W188="",'Model inputs'!AJ182=""),"",'Model inputs'!W188&lt;'Model inputs'!AJ182))),IF('Model inputs'!AJ153="","",'Model inputs'!AJ153),IF('Model inputs'!AJ183="","",'Model inputs'!AJ183)))</f>
        <v>10</v>
      </c>
      <c r="X383" s="9">
        <f>IF(IF(IF(ISERROR('Model inputs'!X188&lt;'Model inputs'!AJ152),'Model inputs'!X188&lt;'Model inputs'!AJ152,IF(OR('Model inputs'!X188="",'Model inputs'!AJ152=""),"",'Model inputs'!X188&lt;'Model inputs'!AJ152))="",FALSE,IF(ISERROR('Model inputs'!X188&lt;'Model inputs'!AJ152),'Model inputs'!X188&lt;'Model inputs'!AJ152,IF(OR('Model inputs'!X188="",'Model inputs'!AJ152=""),"",'Model inputs'!X188&lt;'Model inputs'!AJ152))),IF('Model inputs'!AJ185="","",'Model inputs'!AJ185),IF(IF(IF(ISERROR('Model inputs'!X188&lt;'Model inputs'!AJ182),'Model inputs'!X188&lt;'Model inputs'!AJ182,IF(OR('Model inputs'!X188="",'Model inputs'!AJ182=""),"",'Model inputs'!X188&lt;'Model inputs'!AJ182))="",FALSE,IF(ISERROR('Model inputs'!X188&lt;'Model inputs'!AJ182),'Model inputs'!X188&lt;'Model inputs'!AJ182,IF(OR('Model inputs'!X188="",'Model inputs'!AJ182=""),"",'Model inputs'!X188&lt;'Model inputs'!AJ182))),IF('Model inputs'!AJ153="","",'Model inputs'!AJ153),IF('Model inputs'!AJ183="","",'Model inputs'!AJ183)))</f>
        <v>10</v>
      </c>
      <c r="Y383" s="9">
        <f>IF(IF(IF(ISERROR('Model inputs'!Y188&lt;'Model inputs'!AJ152),'Model inputs'!Y188&lt;'Model inputs'!AJ152,IF(OR('Model inputs'!Y188="",'Model inputs'!AJ152=""),"",'Model inputs'!Y188&lt;'Model inputs'!AJ152))="",FALSE,IF(ISERROR('Model inputs'!Y188&lt;'Model inputs'!AJ152),'Model inputs'!Y188&lt;'Model inputs'!AJ152,IF(OR('Model inputs'!Y188="",'Model inputs'!AJ152=""),"",'Model inputs'!Y188&lt;'Model inputs'!AJ152))),IF('Model inputs'!AJ185="","",'Model inputs'!AJ185),IF(IF(IF(ISERROR('Model inputs'!Y188&lt;'Model inputs'!AJ182),'Model inputs'!Y188&lt;'Model inputs'!AJ182,IF(OR('Model inputs'!Y188="",'Model inputs'!AJ182=""),"",'Model inputs'!Y188&lt;'Model inputs'!AJ182))="",FALSE,IF(ISERROR('Model inputs'!Y188&lt;'Model inputs'!AJ182),'Model inputs'!Y188&lt;'Model inputs'!AJ182,IF(OR('Model inputs'!Y188="",'Model inputs'!AJ182=""),"",'Model inputs'!Y188&lt;'Model inputs'!AJ182))),IF('Model inputs'!AJ153="","",'Model inputs'!AJ153),IF('Model inputs'!AJ183="","",'Model inputs'!AJ183)))</f>
        <v>10</v>
      </c>
      <c r="Z383" s="9">
        <f>IF(IF(IF(ISERROR('Model inputs'!Z188&lt;'Model inputs'!AJ152),'Model inputs'!Z188&lt;'Model inputs'!AJ152,IF(OR('Model inputs'!Z188="",'Model inputs'!AJ152=""),"",'Model inputs'!Z188&lt;'Model inputs'!AJ152))="",FALSE,IF(ISERROR('Model inputs'!Z188&lt;'Model inputs'!AJ152),'Model inputs'!Z188&lt;'Model inputs'!AJ152,IF(OR('Model inputs'!Z188="",'Model inputs'!AJ152=""),"",'Model inputs'!Z188&lt;'Model inputs'!AJ152))),IF('Model inputs'!AJ185="","",'Model inputs'!AJ185),IF(IF(IF(ISERROR('Model inputs'!Z188&lt;'Model inputs'!AJ182),'Model inputs'!Z188&lt;'Model inputs'!AJ182,IF(OR('Model inputs'!Z188="",'Model inputs'!AJ182=""),"",'Model inputs'!Z188&lt;'Model inputs'!AJ182))="",FALSE,IF(ISERROR('Model inputs'!Z188&lt;'Model inputs'!AJ182),'Model inputs'!Z188&lt;'Model inputs'!AJ182,IF(OR('Model inputs'!Z188="",'Model inputs'!AJ182=""),"",'Model inputs'!Z188&lt;'Model inputs'!AJ182))),IF('Model inputs'!AJ153="","",'Model inputs'!AJ153),IF('Model inputs'!AJ183="","",'Model inputs'!AJ183)))</f>
        <v>10</v>
      </c>
      <c r="AA383" s="9">
        <f>IF(IF(IF(ISERROR('Model inputs'!AA188&lt;'Model inputs'!AJ152),'Model inputs'!AA188&lt;'Model inputs'!AJ152,IF(OR('Model inputs'!AA188="",'Model inputs'!AJ152=""),"",'Model inputs'!AA188&lt;'Model inputs'!AJ152))="",FALSE,IF(ISERROR('Model inputs'!AA188&lt;'Model inputs'!AJ152),'Model inputs'!AA188&lt;'Model inputs'!AJ152,IF(OR('Model inputs'!AA188="",'Model inputs'!AJ152=""),"",'Model inputs'!AA188&lt;'Model inputs'!AJ152))),IF('Model inputs'!AJ185="","",'Model inputs'!AJ185),IF(IF(IF(ISERROR('Model inputs'!AA188&lt;'Model inputs'!AJ182),'Model inputs'!AA188&lt;'Model inputs'!AJ182,IF(OR('Model inputs'!AA188="",'Model inputs'!AJ182=""),"",'Model inputs'!AA188&lt;'Model inputs'!AJ182))="",FALSE,IF(ISERROR('Model inputs'!AA188&lt;'Model inputs'!AJ182),'Model inputs'!AA188&lt;'Model inputs'!AJ182,IF(OR('Model inputs'!AA188="",'Model inputs'!AJ182=""),"",'Model inputs'!AA188&lt;'Model inputs'!AJ182))),IF('Model inputs'!AJ153="","",'Model inputs'!AJ153),IF('Model inputs'!AJ183="","",'Model inputs'!AJ183)))</f>
        <v>10</v>
      </c>
      <c r="AB383" s="9">
        <f>IF(IF(IF(ISERROR('Model inputs'!AB188&lt;'Model inputs'!AJ152),'Model inputs'!AB188&lt;'Model inputs'!AJ152,IF(OR('Model inputs'!AB188="",'Model inputs'!AJ152=""),"",'Model inputs'!AB188&lt;'Model inputs'!AJ152))="",FALSE,IF(ISERROR('Model inputs'!AB188&lt;'Model inputs'!AJ152),'Model inputs'!AB188&lt;'Model inputs'!AJ152,IF(OR('Model inputs'!AB188="",'Model inputs'!AJ152=""),"",'Model inputs'!AB188&lt;'Model inputs'!AJ152))),IF('Model inputs'!AJ185="","",'Model inputs'!AJ185),IF(IF(IF(ISERROR('Model inputs'!AB188&lt;'Model inputs'!AJ182),'Model inputs'!AB188&lt;'Model inputs'!AJ182,IF(OR('Model inputs'!AB188="",'Model inputs'!AJ182=""),"",'Model inputs'!AB188&lt;'Model inputs'!AJ182))="",FALSE,IF(ISERROR('Model inputs'!AB188&lt;'Model inputs'!AJ182),'Model inputs'!AB188&lt;'Model inputs'!AJ182,IF(OR('Model inputs'!AB188="",'Model inputs'!AJ182=""),"",'Model inputs'!AB188&lt;'Model inputs'!AJ182))),IF('Model inputs'!AJ153="","",'Model inputs'!AJ153),IF('Model inputs'!AJ183="","",'Model inputs'!AJ183)))</f>
        <v>10</v>
      </c>
      <c r="AC383" s="9">
        <f>IF(IF(IF(ISERROR('Model inputs'!AC188&lt;'Model inputs'!AJ152),'Model inputs'!AC188&lt;'Model inputs'!AJ152,IF(OR('Model inputs'!AC188="",'Model inputs'!AJ152=""),"",'Model inputs'!AC188&lt;'Model inputs'!AJ152))="",FALSE,IF(ISERROR('Model inputs'!AC188&lt;'Model inputs'!AJ152),'Model inputs'!AC188&lt;'Model inputs'!AJ152,IF(OR('Model inputs'!AC188="",'Model inputs'!AJ152=""),"",'Model inputs'!AC188&lt;'Model inputs'!AJ152))),IF('Model inputs'!AJ185="","",'Model inputs'!AJ185),IF(IF(IF(ISERROR('Model inputs'!AC188&lt;'Model inputs'!AJ182),'Model inputs'!AC188&lt;'Model inputs'!AJ182,IF(OR('Model inputs'!AC188="",'Model inputs'!AJ182=""),"",'Model inputs'!AC188&lt;'Model inputs'!AJ182))="",FALSE,IF(ISERROR('Model inputs'!AC188&lt;'Model inputs'!AJ182),'Model inputs'!AC188&lt;'Model inputs'!AJ182,IF(OR('Model inputs'!AC188="",'Model inputs'!AJ182=""),"",'Model inputs'!AC188&lt;'Model inputs'!AJ182))),IF('Model inputs'!AJ153="","",'Model inputs'!AJ153),IF('Model inputs'!AJ183="","",'Model inputs'!AJ183)))</f>
        <v>10</v>
      </c>
      <c r="AD383" s="9">
        <f>IF(IF(IF(ISERROR('Model inputs'!AD188&lt;'Model inputs'!AJ152),'Model inputs'!AD188&lt;'Model inputs'!AJ152,IF(OR('Model inputs'!AD188="",'Model inputs'!AJ152=""),"",'Model inputs'!AD188&lt;'Model inputs'!AJ152))="",FALSE,IF(ISERROR('Model inputs'!AD188&lt;'Model inputs'!AJ152),'Model inputs'!AD188&lt;'Model inputs'!AJ152,IF(OR('Model inputs'!AD188="",'Model inputs'!AJ152=""),"",'Model inputs'!AD188&lt;'Model inputs'!AJ152))),IF('Model inputs'!AJ185="","",'Model inputs'!AJ185),IF(IF(IF(ISERROR('Model inputs'!AD188&lt;'Model inputs'!AJ182),'Model inputs'!AD188&lt;'Model inputs'!AJ182,IF(OR('Model inputs'!AD188="",'Model inputs'!AJ182=""),"",'Model inputs'!AD188&lt;'Model inputs'!AJ182))="",FALSE,IF(ISERROR('Model inputs'!AD188&lt;'Model inputs'!AJ182),'Model inputs'!AD188&lt;'Model inputs'!AJ182,IF(OR('Model inputs'!AD188="",'Model inputs'!AJ182=""),"",'Model inputs'!AD188&lt;'Model inputs'!AJ182))),IF('Model inputs'!AJ153="","",'Model inputs'!AJ153),IF('Model inputs'!AJ183="","",'Model inputs'!AJ183)))</f>
        <v>10</v>
      </c>
      <c r="AE383" s="9">
        <f>IF(IF(IF(ISERROR('Model inputs'!AE188&lt;'Model inputs'!AJ152),'Model inputs'!AE188&lt;'Model inputs'!AJ152,IF(OR('Model inputs'!AE188="",'Model inputs'!AJ152=""),"",'Model inputs'!AE188&lt;'Model inputs'!AJ152))="",FALSE,IF(ISERROR('Model inputs'!AE188&lt;'Model inputs'!AJ152),'Model inputs'!AE188&lt;'Model inputs'!AJ152,IF(OR('Model inputs'!AE188="",'Model inputs'!AJ152=""),"",'Model inputs'!AE188&lt;'Model inputs'!AJ152))),IF('Model inputs'!AJ185="","",'Model inputs'!AJ185),IF(IF(IF(ISERROR('Model inputs'!AE188&lt;'Model inputs'!AJ182),'Model inputs'!AE188&lt;'Model inputs'!AJ182,IF(OR('Model inputs'!AE188="",'Model inputs'!AJ182=""),"",'Model inputs'!AE188&lt;'Model inputs'!AJ182))="",FALSE,IF(ISERROR('Model inputs'!AE188&lt;'Model inputs'!AJ182),'Model inputs'!AE188&lt;'Model inputs'!AJ182,IF(OR('Model inputs'!AE188="",'Model inputs'!AJ182=""),"",'Model inputs'!AE188&lt;'Model inputs'!AJ182))),IF('Model inputs'!AJ153="","",'Model inputs'!AJ153),IF('Model inputs'!AJ183="","",'Model inputs'!AJ183)))</f>
        <v>10</v>
      </c>
      <c r="AF383" s="9">
        <f>IF(IF(IF(ISERROR('Model inputs'!AF188&lt;'Model inputs'!AJ152),'Model inputs'!AF188&lt;'Model inputs'!AJ152,IF(OR('Model inputs'!AF188="",'Model inputs'!AJ152=""),"",'Model inputs'!AF188&lt;'Model inputs'!AJ152))="",FALSE,IF(ISERROR('Model inputs'!AF188&lt;'Model inputs'!AJ152),'Model inputs'!AF188&lt;'Model inputs'!AJ152,IF(OR('Model inputs'!AF188="",'Model inputs'!AJ152=""),"",'Model inputs'!AF188&lt;'Model inputs'!AJ152))),IF('Model inputs'!AJ185="","",'Model inputs'!AJ185),IF(IF(IF(ISERROR('Model inputs'!AF188&lt;'Model inputs'!AJ182),'Model inputs'!AF188&lt;'Model inputs'!AJ182,IF(OR('Model inputs'!AF188="",'Model inputs'!AJ182=""),"",'Model inputs'!AF188&lt;'Model inputs'!AJ182))="",FALSE,IF(ISERROR('Model inputs'!AF188&lt;'Model inputs'!AJ182),'Model inputs'!AF188&lt;'Model inputs'!AJ182,IF(OR('Model inputs'!AF188="",'Model inputs'!AJ182=""),"",'Model inputs'!AF188&lt;'Model inputs'!AJ182))),IF('Model inputs'!AJ153="","",'Model inputs'!AJ153),IF('Model inputs'!AJ183="","",'Model inputs'!AJ183)))</f>
        <v>10</v>
      </c>
      <c r="AG383" s="9">
        <f>IF(IF(IF(ISERROR('Model inputs'!AG188&lt;'Model inputs'!AJ152),'Model inputs'!AG188&lt;'Model inputs'!AJ152,IF(OR('Model inputs'!AG188="",'Model inputs'!AJ152=""),"",'Model inputs'!AG188&lt;'Model inputs'!AJ152))="",FALSE,IF(ISERROR('Model inputs'!AG188&lt;'Model inputs'!AJ152),'Model inputs'!AG188&lt;'Model inputs'!AJ152,IF(OR('Model inputs'!AG188="",'Model inputs'!AJ152=""),"",'Model inputs'!AG188&lt;'Model inputs'!AJ152))),IF('Model inputs'!AJ185="","",'Model inputs'!AJ185),IF(IF(IF(ISERROR('Model inputs'!AG188&lt;'Model inputs'!AJ182),'Model inputs'!AG188&lt;'Model inputs'!AJ182,IF(OR('Model inputs'!AG188="",'Model inputs'!AJ182=""),"",'Model inputs'!AG188&lt;'Model inputs'!AJ182))="",FALSE,IF(ISERROR('Model inputs'!AG188&lt;'Model inputs'!AJ182),'Model inputs'!AG188&lt;'Model inputs'!AJ182,IF(OR('Model inputs'!AG188="",'Model inputs'!AJ182=""),"",'Model inputs'!AG188&lt;'Model inputs'!AJ182))),IF('Model inputs'!AJ153="","",'Model inputs'!AJ153),IF('Model inputs'!AJ183="","",'Model inputs'!AJ183)))</f>
        <v>10</v>
      </c>
      <c r="AH383" s="9">
        <f>IF(IF(IF(ISERROR('Model inputs'!AH188&lt;'Model inputs'!AJ152),'Model inputs'!AH188&lt;'Model inputs'!AJ152,IF(OR('Model inputs'!AH188="",'Model inputs'!AJ152=""),"",'Model inputs'!AH188&lt;'Model inputs'!AJ152))="",FALSE,IF(ISERROR('Model inputs'!AH188&lt;'Model inputs'!AJ152),'Model inputs'!AH188&lt;'Model inputs'!AJ152,IF(OR('Model inputs'!AH188="",'Model inputs'!AJ152=""),"",'Model inputs'!AH188&lt;'Model inputs'!AJ152))),IF('Model inputs'!AJ185="","",'Model inputs'!AJ185),IF(IF(IF(ISERROR('Model inputs'!AH188&lt;'Model inputs'!AJ182),'Model inputs'!AH188&lt;'Model inputs'!AJ182,IF(OR('Model inputs'!AH188="",'Model inputs'!AJ182=""),"",'Model inputs'!AH188&lt;'Model inputs'!AJ182))="",FALSE,IF(ISERROR('Model inputs'!AH188&lt;'Model inputs'!AJ182),'Model inputs'!AH188&lt;'Model inputs'!AJ182,IF(OR('Model inputs'!AH188="",'Model inputs'!AJ182=""),"",'Model inputs'!AH188&lt;'Model inputs'!AJ182))),IF('Model inputs'!AJ153="","",'Model inputs'!AJ153),IF('Model inputs'!AJ183="","",'Model inputs'!AJ183)))</f>
        <v>10</v>
      </c>
      <c r="AI383" s="9">
        <f>IF(IF(IF(ISERROR('Model inputs'!AI188&lt;'Model inputs'!AJ152),'Model inputs'!AI188&lt;'Model inputs'!AJ152,IF(OR('Model inputs'!AI188="",'Model inputs'!AJ152=""),"",'Model inputs'!AI188&lt;'Model inputs'!AJ152))="",FALSE,IF(ISERROR('Model inputs'!AI188&lt;'Model inputs'!AJ152),'Model inputs'!AI188&lt;'Model inputs'!AJ152,IF(OR('Model inputs'!AI188="",'Model inputs'!AJ152=""),"",'Model inputs'!AI188&lt;'Model inputs'!AJ152))),IF('Model inputs'!AJ185="","",'Model inputs'!AJ185),IF(IF(IF(ISERROR('Model inputs'!AI188&lt;'Model inputs'!AJ182),'Model inputs'!AI188&lt;'Model inputs'!AJ182,IF(OR('Model inputs'!AI188="",'Model inputs'!AJ182=""),"",'Model inputs'!AI188&lt;'Model inputs'!AJ182))="",FALSE,IF(ISERROR('Model inputs'!AI188&lt;'Model inputs'!AJ182),'Model inputs'!AI188&lt;'Model inputs'!AJ182,IF(OR('Model inputs'!AI188="",'Model inputs'!AJ182=""),"",'Model inputs'!AI188&lt;'Model inputs'!AJ182))),IF('Model inputs'!AJ153="","",'Model inputs'!AJ153),IF('Model inputs'!AJ183="","",'Model inputs'!AJ183)))</f>
        <v>10</v>
      </c>
    </row>
    <row r="384">
      <c r="A384" t="inlineStr" s="13">
        <is>
          <t xml:space="preserve">Haq Cloud and tools · Haq Ending cash · Main Scenario · Main Scenario</t>
        </is>
      </c>
      <c r="B384" s="9">
        <f>'Model inputs'!AJ43+'Model inputs'!B408/100*'Model inputs'!AJ44</f>
        <v>25000</v>
      </c>
      <c r="C384" s="9">
        <f>'Model inputs'!AJ43+'Model inputs'!C408/100*'Model inputs'!AJ44</f>
        <v>25000</v>
      </c>
      <c r="D384" s="9">
        <f>'Model inputs'!AJ43+'Model inputs'!D408/100*'Model inputs'!AJ44</f>
        <v>25000</v>
      </c>
      <c r="E384" s="9">
        <f>'Model inputs'!AJ43+'Model inputs'!E408/100*'Model inputs'!AJ44</f>
        <v>25000</v>
      </c>
      <c r="F384" s="9">
        <f>'Model inputs'!AJ43+'Model inputs'!F408/100*'Model inputs'!AJ44</f>
        <v>25000</v>
      </c>
      <c r="G384" s="9">
        <f>'Model inputs'!AJ43+'Model inputs'!G408/100*'Model inputs'!AJ44</f>
        <v>25000</v>
      </c>
      <c r="H384" s="9">
        <f>'Model inputs'!AJ43+'Model inputs'!H408/100*'Model inputs'!AJ44</f>
        <v>25000</v>
      </c>
      <c r="I384" s="9">
        <f>'Model inputs'!AJ43+'Model inputs'!I408/100*'Model inputs'!AJ44</f>
        <v>25000</v>
      </c>
      <c r="J384" s="9">
        <f>'Model inputs'!AJ43+'Model inputs'!J408/100*'Model inputs'!AJ44</f>
        <v>25000</v>
      </c>
      <c r="K384" s="9">
        <f>'Model inputs'!AJ43+'Model inputs'!K408/100*'Model inputs'!AJ44</f>
        <v>25000</v>
      </c>
      <c r="L384" s="9">
        <f>'Model inputs'!AJ43+'Model inputs'!L408/100*'Model inputs'!AJ44</f>
        <v>25000</v>
      </c>
      <c r="M384" s="9">
        <f>'Model inputs'!AJ43+'Model inputs'!M408/100*'Model inputs'!AJ44</f>
        <v>25000</v>
      </c>
      <c r="N384" s="9">
        <f>'Model inputs'!AJ43+'Model inputs'!N408/100*'Model inputs'!AJ44</f>
        <v>25000</v>
      </c>
      <c r="O384" s="9">
        <f>'Model inputs'!AJ43+'Model inputs'!O408/100*'Model inputs'!AJ44</f>
        <v>25040</v>
      </c>
      <c r="P384" s="9">
        <f>'Model inputs'!AJ43+'Model inputs'!P408/100*'Model inputs'!AJ44</f>
        <v>25046</v>
      </c>
      <c r="Q384" s="9">
        <f>'Model inputs'!AJ43+'Model inputs'!Q408/100*'Model inputs'!AJ44</f>
        <v>25073.733333333334</v>
      </c>
      <c r="R384" s="9">
        <f>'Model inputs'!AJ43+'Model inputs'!R408/100*'Model inputs'!AJ44</f>
        <v>25081.668333333335</v>
      </c>
      <c r="S384" s="9">
        <f>'Model inputs'!AJ43+'Model inputs'!S408/100*'Model inputs'!AJ44</f>
        <v>25090.793583333332</v>
      </c>
      <c r="T384" s="9">
        <f>'Model inputs'!AJ43+'Model inputs'!T408/100*'Model inputs'!AJ44</f>
        <v>25130.4542875</v>
      </c>
      <c r="U384" s="9">
        <f>'Model inputs'!AJ43+'Model inputs'!U408/100*'Model inputs'!AJ44</f>
        <v>25142.522430625</v>
      </c>
      <c r="V384" s="9">
        <f>'Model inputs'!AJ43+'Model inputs'!V408/100*'Model inputs'!AJ44</f>
        <v>25156.40079521875</v>
      </c>
      <c r="W384" s="9">
        <f>'Model inputs'!AJ43+'Model inputs'!W408/100*'Model inputs'!AJ44</f>
        <v>25201.52758116823</v>
      </c>
      <c r="X384" s="9">
        <f>'Model inputs'!AJ43+'Model inputs'!X408/100*'Model inputs'!AJ44</f>
        <v>25219.881718343462</v>
      </c>
      <c r="Y384" s="9">
        <f>'Model inputs'!AJ43+'Model inputs'!Y408/100*'Model inputs'!AJ44</f>
        <v>25240.988976094985</v>
      </c>
      <c r="Z384" s="9">
        <f>'Model inputs'!AJ43+'Model inputs'!Z408/100*'Model inputs'!AJ44</f>
        <v>25286.095655842564</v>
      </c>
      <c r="AA384" s="9">
        <f>'Model inputs'!AJ43+'Model inputs'!AA408/100*'Model inputs'!AJ44</f>
        <v>25314.010004218948</v>
      </c>
      <c r="AB384" s="9">
        <f>'Model inputs'!AJ43+'Model inputs'!AB408/100*'Model inputs'!AJ44</f>
        <v>25346.11150485179</v>
      </c>
      <c r="AC384" s="9">
        <f>'Model inputs'!AJ43+'Model inputs'!AC408/100*'Model inputs'!AJ44</f>
        <v>25416.36156391289</v>
      </c>
      <c r="AD384" s="9">
        <f>'Model inputs'!AJ43+'Model inputs'!AD408/100*'Model inputs'!AJ44</f>
        <v>25458.815798499825</v>
      </c>
      <c r="AE384" s="9">
        <f>'Model inputs'!AJ43+'Model inputs'!AE408/100*'Model inputs'!AJ44</f>
        <v>25507.6381682748</v>
      </c>
      <c r="AF384" s="9">
        <f>'Model inputs'!AJ43+'Model inputs'!AF408/100*'Model inputs'!AJ44</f>
        <v>25584.617226849354</v>
      </c>
      <c r="AG384" s="9">
        <f>'Model inputs'!AJ43+'Model inputs'!AG408/100*'Model inputs'!AJ44</f>
        <v>25649.184810876755</v>
      </c>
      <c r="AH384" s="9">
        <f>'Model inputs'!AJ43+'Model inputs'!AH408/100*'Model inputs'!AJ44</f>
        <v>25744.2708658416</v>
      </c>
      <c r="AI384" s="9">
        <f>'Model inputs'!AJ43+'Model inputs'!AI408/100*'Model inputs'!AJ44</f>
        <v>25862.99482905118</v>
      </c>
    </row>
    <row r="385">
      <c r="A385" t="inlineStr" s="13">
        <is>
          <t xml:space="preserve">Haq Cloud and tools · Haq Ending cash · Growth · Growth</t>
        </is>
      </c>
      <c r="B385" s="9">
        <f>'Model inputs'!AJ99+'Model inputs'!B409/100*'Model inputs'!AJ100</f>
        <v>25000</v>
      </c>
      <c r="C385" s="9">
        <f>'Model inputs'!AJ99+'Model inputs'!C409/100*'Model inputs'!AJ100</f>
        <v>25000</v>
      </c>
      <c r="D385" s="9">
        <f>'Model inputs'!AJ99+'Model inputs'!D409/100*'Model inputs'!AJ100</f>
        <v>25000</v>
      </c>
      <c r="E385" s="9">
        <f>'Model inputs'!AJ99+'Model inputs'!E409/100*'Model inputs'!AJ100</f>
        <v>25000</v>
      </c>
      <c r="F385" s="9">
        <f>'Model inputs'!AJ99+'Model inputs'!F409/100*'Model inputs'!AJ100</f>
        <v>25000</v>
      </c>
      <c r="G385" s="9">
        <f>'Model inputs'!AJ99+'Model inputs'!G409/100*'Model inputs'!AJ100</f>
        <v>25000</v>
      </c>
      <c r="H385" s="9">
        <f>'Model inputs'!AJ99+'Model inputs'!H409/100*'Model inputs'!AJ100</f>
        <v>25000</v>
      </c>
      <c r="I385" s="9">
        <f>'Model inputs'!AJ99+'Model inputs'!I409/100*'Model inputs'!AJ100</f>
        <v>25000</v>
      </c>
      <c r="J385" s="9">
        <f>'Model inputs'!AJ99+'Model inputs'!J409/100*'Model inputs'!AJ100</f>
        <v>25000</v>
      </c>
      <c r="K385" s="9">
        <f>'Model inputs'!AJ99+'Model inputs'!K409/100*'Model inputs'!AJ100</f>
        <v>25000</v>
      </c>
      <c r="L385" s="9">
        <f>'Model inputs'!AJ99+'Model inputs'!L409/100*'Model inputs'!AJ100</f>
        <v>25000</v>
      </c>
      <c r="M385" s="9">
        <f>'Model inputs'!AJ99+'Model inputs'!M409/100*'Model inputs'!AJ100</f>
        <v>25000</v>
      </c>
      <c r="N385" s="9">
        <f>'Model inputs'!AJ99+'Model inputs'!N409/100*'Model inputs'!AJ100</f>
        <v>25000</v>
      </c>
      <c r="O385" s="9">
        <f>'Model inputs'!AJ99+'Model inputs'!O409/100*'Model inputs'!AJ100</f>
        <v>25040</v>
      </c>
      <c r="P385" s="9">
        <f>'Model inputs'!AJ99+'Model inputs'!P409/100*'Model inputs'!AJ100</f>
        <v>25050.8</v>
      </c>
      <c r="Q385" s="9">
        <f>'Model inputs'!AJ99+'Model inputs'!Q409/100*'Model inputs'!AJ100</f>
        <v>25106.182666666668</v>
      </c>
      <c r="R385" s="9">
        <f>'Model inputs'!AJ99+'Model inputs'!R409/100*'Model inputs'!AJ100</f>
        <v>25123.60198666667</v>
      </c>
      <c r="S385" s="9">
        <f>'Model inputs'!AJ99+'Model inputs'!S409/100*'Model inputs'!AJ100</f>
        <v>25145.724523066667</v>
      </c>
      <c r="T385" s="9">
        <f>'Model inputs'!AJ99+'Model inputs'!T409/100*'Model inputs'!AJ100</f>
        <v>25232.153477628</v>
      </c>
      <c r="U385" s="9">
        <f>'Model inputs'!AJ99+'Model inputs'!U409/100*'Model inputs'!AJ100</f>
        <v>25267.83491658756</v>
      </c>
      <c r="V385" s="9">
        <f>'Model inputs'!AJ99+'Model inputs'!V409/100*'Model inputs'!AJ100</f>
        <v>25313.1503440662</v>
      </c>
      <c r="W385" s="9">
        <f>'Model inputs'!AJ99+'Model inputs'!W409/100*'Model inputs'!AJ100</f>
        <v>25429.03427029741</v>
      </c>
      <c r="X385" s="9">
        <f>'Model inputs'!AJ99+'Model inputs'!X409/100*'Model inputs'!AJ100</f>
        <v>25502.12352327771</v>
      </c>
      <c r="Y385" s="9">
        <f>'Model inputs'!AJ99+'Model inputs'!Y409/100*'Model inputs'!AJ100</f>
        <v>25594.94687456269</v>
      </c>
      <c r="Z385" s="9">
        <f>'Model inputs'!AJ99+'Model inputs'!Z409/100*'Model inputs'!AJ100</f>
        <v>25754.499197361285</v>
      </c>
      <c r="AA385" s="9">
        <f>'Model inputs'!AJ99+'Model inputs'!AA409/100*'Model inputs'!AJ100</f>
        <v>25904.21398064883</v>
      </c>
      <c r="AB385" s="9">
        <f>'Model inputs'!AJ99+'Model inputs'!AB409/100*'Model inputs'!AJ100</f>
        <v>26094.351755424013</v>
      </c>
      <c r="AC385" s="9">
        <f>'Model inputs'!AJ99+'Model inputs'!AC409/100*'Model inputs'!AJ100</f>
        <v>26402.493396055164</v>
      </c>
      <c r="AD385" s="9">
        <f>'Model inputs'!AJ99+'Model inputs'!AD409/100*'Model inputs'!AJ100</f>
        <v>26709.16661299006</v>
      </c>
      <c r="AE385" s="9">
        <f>'Model inputs'!AJ99+'Model inputs'!AE409/100*'Model inputs'!AJ100</f>
        <v>27098.641598497376</v>
      </c>
      <c r="AF385" s="9">
        <f>'Model inputs'!AJ99+'Model inputs'!AF409/100*'Model inputs'!AJ100</f>
        <v>27634.941496758336</v>
      </c>
      <c r="AG385" s="9">
        <f>'Model inputs'!AJ99+'Model inputs'!AG409/100*'Model inputs'!AJ100</f>
        <v>28263.125700883087</v>
      </c>
      <c r="AH385" s="9">
        <f>'Model inputs'!AJ99+'Model inputs'!AH409/100*'Model inputs'!AJ100</f>
        <v>29102.586306788184</v>
      </c>
      <c r="AI385" s="9">
        <f>'Model inputs'!AJ99+'Model inputs'!AI409/100*'Model inputs'!AJ100</f>
        <v>30182.451276287662</v>
      </c>
    </row>
    <row r="386">
      <c r="A386" t="inlineStr" s="13">
        <is>
          <t xml:space="preserve">Haq Cloud and tools · Haq Ending cash · Conservative · Conservative</t>
        </is>
      </c>
      <c r="B386" s="9">
        <f>'Model inputs'!AJ155+'Model inputs'!B410/100*'Model inputs'!AJ156</f>
        <v>25000</v>
      </c>
      <c r="C386" s="9">
        <f>'Model inputs'!AJ155+'Model inputs'!C410/100*'Model inputs'!AJ156</f>
        <v>25000</v>
      </c>
      <c r="D386" s="9">
        <f>'Model inputs'!AJ155+'Model inputs'!D410/100*'Model inputs'!AJ156</f>
        <v>25000</v>
      </c>
      <c r="E386" s="9">
        <f>'Model inputs'!AJ155+'Model inputs'!E410/100*'Model inputs'!AJ156</f>
        <v>25000</v>
      </c>
      <c r="F386" s="9">
        <f>'Model inputs'!AJ155+'Model inputs'!F410/100*'Model inputs'!AJ156</f>
        <v>25000</v>
      </c>
      <c r="G386" s="9">
        <f>'Model inputs'!AJ155+'Model inputs'!G410/100*'Model inputs'!AJ156</f>
        <v>25000</v>
      </c>
      <c r="H386" s="9">
        <f>'Model inputs'!AJ155+'Model inputs'!H410/100*'Model inputs'!AJ156</f>
        <v>25000</v>
      </c>
      <c r="I386" s="9">
        <f>'Model inputs'!AJ155+'Model inputs'!I410/100*'Model inputs'!AJ156</f>
        <v>25000</v>
      </c>
      <c r="J386" s="9">
        <f>'Model inputs'!AJ155+'Model inputs'!J410/100*'Model inputs'!AJ156</f>
        <v>25000</v>
      </c>
      <c r="K386" s="9">
        <f>'Model inputs'!AJ155+'Model inputs'!K410/100*'Model inputs'!AJ156</f>
        <v>25000</v>
      </c>
      <c r="L386" s="9">
        <f>'Model inputs'!AJ155+'Model inputs'!L410/100*'Model inputs'!AJ156</f>
        <v>25000</v>
      </c>
      <c r="M386" s="9">
        <f>'Model inputs'!AJ155+'Model inputs'!M410/100*'Model inputs'!AJ156</f>
        <v>25000</v>
      </c>
      <c r="N386" s="9">
        <f>'Model inputs'!AJ155+'Model inputs'!N410/100*'Model inputs'!AJ156</f>
        <v>25000</v>
      </c>
      <c r="O386" s="9">
        <f>'Model inputs'!AJ155+'Model inputs'!O410/100*'Model inputs'!AJ156</f>
        <v>25040</v>
      </c>
      <c r="P386" s="9">
        <f>'Model inputs'!AJ155+'Model inputs'!P410/100*'Model inputs'!AJ156</f>
        <v>25041.2</v>
      </c>
      <c r="Q386" s="9">
        <f>'Model inputs'!AJ155+'Model inputs'!Q410/100*'Model inputs'!AJ156</f>
        <v>25052.852666666666</v>
      </c>
      <c r="R386" s="9">
        <f>'Model inputs'!AJ155+'Model inputs'!R410/100*'Model inputs'!AJ156</f>
        <v>25054.12574666667</v>
      </c>
      <c r="S386" s="9">
        <f>'Model inputs'!AJ155+'Model inputs'!S410/100*'Model inputs'!AJ156</f>
        <v>25055.437019066667</v>
      </c>
      <c r="T386" s="9">
        <f>'Model inputs'!AJ155+'Model inputs'!T410/100*'Model inputs'!AJ156</f>
        <v>25071.370962972</v>
      </c>
      <c r="U386" s="9">
        <f>'Model inputs'!AJ155+'Model inputs'!U410/100*'Model inputs'!AJ156</f>
        <v>25072.76209186116</v>
      </c>
      <c r="V386" s="9">
        <f>'Model inputs'!AJ155+'Model inputs'!V410/100*'Model inputs'!AJ156</f>
        <v>25074.194954616996</v>
      </c>
      <c r="W386" s="9">
        <f>'Model inputs'!AJ155+'Model inputs'!W410/100*'Model inputs'!AJ156</f>
        <v>25090.25413658884</v>
      </c>
      <c r="X386" s="9">
        <f>'Model inputs'!AJ155+'Model inputs'!X410/100*'Model inputs'!AJ156</f>
        <v>25091.774260686503</v>
      </c>
      <c r="Y386" s="9">
        <f>'Model inputs'!AJ155+'Model inputs'!Y410/100*'Model inputs'!AJ156</f>
        <v>25093.339988507098</v>
      </c>
      <c r="Z386" s="9">
        <f>'Model inputs'!AJ155+'Model inputs'!Z410/100*'Model inputs'!AJ156</f>
        <v>25105.369354828978</v>
      </c>
      <c r="AA386" s="9">
        <f>'Model inputs'!AJ155+'Model inputs'!AA410/100*'Model inputs'!AJ156</f>
        <v>25107.030435473847</v>
      </c>
      <c r="AB386" s="9">
        <f>'Model inputs'!AJ155+'Model inputs'!AB410/100*'Model inputs'!AJ156</f>
        <v>25108.741348538064</v>
      </c>
      <c r="AC386" s="9">
        <f>'Model inputs'!AJ155+'Model inputs'!AC410/100*'Model inputs'!AJ156</f>
        <v>25127.170255660872</v>
      </c>
      <c r="AD386" s="9">
        <f>'Model inputs'!AJ155+'Model inputs'!AD410/100*'Model inputs'!AJ156</f>
        <v>25128.985363330696</v>
      </c>
      <c r="AE386" s="9">
        <f>'Model inputs'!AJ155+'Model inputs'!AE410/100*'Model inputs'!AJ156</f>
        <v>25130.854924230618</v>
      </c>
      <c r="AF386" s="9">
        <f>'Model inputs'!AJ155+'Model inputs'!AF410/100*'Model inputs'!AJ156</f>
        <v>25143.197238624205</v>
      </c>
      <c r="AG386" s="9">
        <f>'Model inputs'!AJ155+'Model inputs'!AG410/100*'Model inputs'!AJ156</f>
        <v>25145.18065578293</v>
      </c>
      <c r="AH386" s="9">
        <f>'Model inputs'!AJ155+'Model inputs'!AH410/100*'Model inputs'!AJ156</f>
        <v>25157.640242123085</v>
      </c>
      <c r="AI386" s="9">
        <f>'Model inputs'!AJ155+'Model inputs'!AI410/100*'Model inputs'!AJ156</f>
        <v>25176.411116053445</v>
      </c>
    </row>
    <row r="387">
      <c r="A387" t="inlineStr" s="13">
        <is>
          <t xml:space="preserve">Haq Collection cost P&amp;L · Haq Operating profit · Haq Future minimum profit · Main Scenario · Main Scenario · Main Scenario</t>
        </is>
      </c>
      <c r="B387" s="9">
        <f>'Model inputs'!B411*'Model inputs'!AJ46</f>
        <v>0</v>
      </c>
      <c r="C387" s="9">
        <f>'Model inputs'!C411*'Model inputs'!AJ46</f>
        <v>0</v>
      </c>
      <c r="D387" s="9">
        <f>'Model inputs'!D411*'Model inputs'!AJ46</f>
        <v>0</v>
      </c>
      <c r="E387" s="9">
        <f>'Model inputs'!E411*'Model inputs'!AJ46</f>
        <v>0</v>
      </c>
      <c r="F387" s="9">
        <f>'Model inputs'!F411*'Model inputs'!AJ46</f>
        <v>0</v>
      </c>
      <c r="G387" s="9">
        <f>'Model inputs'!G411*'Model inputs'!AJ46</f>
        <v>0</v>
      </c>
      <c r="H387" s="9">
        <f>'Model inputs'!H411*'Model inputs'!AJ46</f>
        <v>0</v>
      </c>
      <c r="I387" s="9">
        <f>'Model inputs'!I411*'Model inputs'!AJ46</f>
        <v>0</v>
      </c>
      <c r="J387" s="9">
        <f>'Model inputs'!J411*'Model inputs'!AJ46</f>
        <v>0</v>
      </c>
      <c r="K387" s="9">
        <f>'Model inputs'!K411*'Model inputs'!AJ46</f>
        <v>0</v>
      </c>
      <c r="L387" s="9">
        <f>'Model inputs'!L411*'Model inputs'!AJ46</f>
        <v>0</v>
      </c>
      <c r="M387" s="9">
        <f>'Model inputs'!M411*'Model inputs'!AJ46</f>
        <v>0</v>
      </c>
      <c r="N387" s="9">
        <f>'Model inputs'!N411*'Model inputs'!AJ46</f>
        <v>0</v>
      </c>
      <c r="O387" s="9">
        <f>'Model inputs'!O411*'Model inputs'!AJ46</f>
        <v>1499</v>
      </c>
      <c r="P387" s="9">
        <f>'Model inputs'!P411*'Model inputs'!AJ46</f>
        <v>1723.8499999999997</v>
      </c>
      <c r="Q387" s="9">
        <f>'Model inputs'!Q411*'Model inputs'!AJ46</f>
        <v>2815.7608333333333</v>
      </c>
      <c r="R387" s="9">
        <f>'Model inputs'!R411*'Model inputs'!AJ46</f>
        <v>3113.1249583333324</v>
      </c>
      <c r="S387" s="9">
        <f>'Model inputs'!S411*'Model inputs'!AJ46</f>
        <v>3455.093702083332</v>
      </c>
      <c r="T387" s="9">
        <f>'Model inputs'!T411*'Model inputs'!AJ46</f>
        <v>5515.0244240625</v>
      </c>
      <c r="U387" s="9">
        <f>'Model inputs'!U411*'Model inputs'!AJ46</f>
        <v>5967.278087671873</v>
      </c>
      <c r="V387" s="9">
        <f>'Model inputs'!V411*'Model inputs'!AJ46</f>
        <v>6487.369800822654</v>
      </c>
      <c r="W387" s="9">
        <f>'Model inputs'!W411*'Model inputs'!AJ46</f>
        <v>8752.141937612718</v>
      </c>
      <c r="X387" s="9">
        <f>'Model inputs'!X411*'Model inputs'!AJ46</f>
        <v>9439.963228254626</v>
      </c>
      <c r="Y387" s="9">
        <f>'Model inputs'!Y411*'Model inputs'!AJ46</f>
        <v>10230.957712492818</v>
      </c>
      <c r="Z387" s="9">
        <f>'Model inputs'!Z411*'Model inputs'!AJ46</f>
        <v>11973.934702700075</v>
      </c>
      <c r="AA387" s="9">
        <f>'Model inputs'!AA411*'Model inputs'!AJ46</f>
        <v>13020.024908105084</v>
      </c>
      <c r="AB387" s="9">
        <f>'Model inputs'!AB411*'Model inputs'!AJ46</f>
        <v>14223.028644320848</v>
      </c>
      <c r="AC387" s="9">
        <f>'Model inputs'!AC411*'Model inputs'!AJ46</f>
        <v>17689.816274302306</v>
      </c>
      <c r="AD387" s="9">
        <f>'Model inputs'!AD411*'Model inputs'!AJ46</f>
        <v>19280.788715447652</v>
      </c>
      <c r="AE387" s="9">
        <f>'Model inputs'!AE411*'Model inputs'!AJ46</f>
        <v>21110.4070227648</v>
      </c>
      <c r="AF387" s="9">
        <f>'Model inputs'!AF411*'Model inputs'!AJ46</f>
        <v>24047.801409512853</v>
      </c>
      <c r="AG387" s="9">
        <f>'Model inputs'!AG411*'Model inputs'!AJ46</f>
        <v>26467.471620939774</v>
      </c>
      <c r="AH387" s="9">
        <f>'Model inputs'!AH411*'Model inputs'!AJ46</f>
        <v>30083.425697414074</v>
      </c>
      <c r="AI387" s="9">
        <f>'Model inputs'!AI411*'Model inputs'!AJ46</f>
        <v>35366.77288535952</v>
      </c>
    </row>
    <row r="388">
      <c r="A388" t="inlineStr" s="13">
        <is>
          <t xml:space="preserve">Haq Collection cost P&amp;L · Haq Operating profit · Haq Future minimum profit · Growth · Growth · Growth</t>
        </is>
      </c>
      <c r="B388" s="9">
        <f>'Model inputs'!B412*'Model inputs'!AJ102</f>
        <v>0</v>
      </c>
      <c r="C388" s="9">
        <f>'Model inputs'!C412*'Model inputs'!AJ102</f>
        <v>0</v>
      </c>
      <c r="D388" s="9">
        <f>'Model inputs'!D412*'Model inputs'!AJ102</f>
        <v>0</v>
      </c>
      <c r="E388" s="9">
        <f>'Model inputs'!E412*'Model inputs'!AJ102</f>
        <v>0</v>
      </c>
      <c r="F388" s="9">
        <f>'Model inputs'!F412*'Model inputs'!AJ102</f>
        <v>0</v>
      </c>
      <c r="G388" s="9">
        <f>'Model inputs'!G412*'Model inputs'!AJ102</f>
        <v>0</v>
      </c>
      <c r="H388" s="9">
        <f>'Model inputs'!H412*'Model inputs'!AJ102</f>
        <v>0</v>
      </c>
      <c r="I388" s="9">
        <f>'Model inputs'!I412*'Model inputs'!AJ102</f>
        <v>0</v>
      </c>
      <c r="J388" s="9">
        <f>'Model inputs'!J412*'Model inputs'!AJ102</f>
        <v>0</v>
      </c>
      <c r="K388" s="9">
        <f>'Model inputs'!K412*'Model inputs'!AJ102</f>
        <v>0</v>
      </c>
      <c r="L388" s="9">
        <f>'Model inputs'!L412*'Model inputs'!AJ102</f>
        <v>0</v>
      </c>
      <c r="M388" s="9">
        <f>'Model inputs'!M412*'Model inputs'!AJ102</f>
        <v>0</v>
      </c>
      <c r="N388" s="9">
        <f>'Model inputs'!N412*'Model inputs'!AJ102</f>
        <v>0</v>
      </c>
      <c r="O388" s="9">
        <f>'Model inputs'!O412*'Model inputs'!AJ102</f>
        <v>1499</v>
      </c>
      <c r="P388" s="9">
        <f>'Model inputs'!P412*'Model inputs'!AJ102</f>
        <v>1903.73</v>
      </c>
      <c r="Q388" s="9">
        <f>'Model inputs'!Q412*'Model inputs'!AJ102</f>
        <v>4084.403766666667</v>
      </c>
      <c r="R388" s="9">
        <f>'Model inputs'!R412*'Model inputs'!AJ102</f>
        <v>4737.192783666666</v>
      </c>
      <c r="S388" s="9">
        <f>'Model inputs'!S412*'Model inputs'!AJ102</f>
        <v>5566.234835256668</v>
      </c>
      <c r="T388" s="9">
        <f>'Model inputs'!T412*'Model inputs'!AJ102</f>
        <v>9952.451574109302</v>
      </c>
      <c r="U388" s="9">
        <f>'Model inputs'!U412*'Model inputs'!AJ102</f>
        <v>11289.613499118812</v>
      </c>
      <c r="V388" s="9">
        <f>'Model inputs'!V412*'Model inputs'!AJ102</f>
        <v>12987.80914388089</v>
      </c>
      <c r="W388" s="9">
        <f>'Model inputs'!W412*'Model inputs'!AJ102</f>
        <v>18477.850946062063</v>
      </c>
      <c r="X388" s="9">
        <f>'Model inputs'!X412*'Model inputs'!AJ102</f>
        <v>21216.870701498818</v>
      </c>
      <c r="Y388" s="9">
        <f>'Model inputs'!Y412*'Model inputs'!AJ102</f>
        <v>24695.425790903504</v>
      </c>
      <c r="Z388" s="9">
        <f>'Model inputs'!Z412*'Model inputs'!AJ102</f>
        <v>30779.85742111412</v>
      </c>
      <c r="AA388" s="9">
        <f>'Model inputs'!AA412*'Model inputs'!AJ102</f>
        <v>36390.41892481493</v>
      </c>
      <c r="AB388" s="9">
        <f>'Model inputs'!AB412*'Model inputs'!AJ102</f>
        <v>43515.832034514955</v>
      </c>
      <c r="AC388" s="9">
        <f>'Model inputs'!AC412*'Model inputs'!AJ102</f>
        <v>56731.773350500654</v>
      </c>
      <c r="AD388" s="9">
        <f>'Model inputs'!AD412*'Model inputs'!AJ102</f>
        <v>68224.35215513583</v>
      </c>
      <c r="AE388" s="9">
        <f>'Model inputs'!AE412*'Model inputs'!AJ102</f>
        <v>82819.92723702252</v>
      </c>
      <c r="AF388" s="9">
        <f>'Model inputs'!AF412*'Model inputs'!AJ102</f>
        <v>103022.97425768526</v>
      </c>
      <c r="AG388" s="9">
        <f>'Model inputs'!AG412*'Model inputs'!AJ102</f>
        <v>126564.1773072603</v>
      </c>
      <c r="AH388" s="9">
        <f>'Model inputs'!AH412*'Model inputs'!AJ102</f>
        <v>158128.17184688724</v>
      </c>
      <c r="AI388" s="9">
        <f>'Model inputs'!AI412*'Model inputs'!AJ102</f>
        <v>200264.44491221345</v>
      </c>
    </row>
    <row r="389">
      <c r="A389" t="inlineStr" s="13">
        <is>
          <t xml:space="preserve">Haq Collection cost P&amp;L · Haq Operating profit · Haq Future minimum profit · Conservative · Conservative · Conservative</t>
        </is>
      </c>
      <c r="B389" s="9">
        <f>'Model inputs'!B413*'Model inputs'!AJ158</f>
        <v>0</v>
      </c>
      <c r="C389" s="9">
        <f>'Model inputs'!C413*'Model inputs'!AJ158</f>
        <v>0</v>
      </c>
      <c r="D389" s="9">
        <f>'Model inputs'!D413*'Model inputs'!AJ158</f>
        <v>0</v>
      </c>
      <c r="E389" s="9">
        <f>'Model inputs'!E413*'Model inputs'!AJ158</f>
        <v>0</v>
      </c>
      <c r="F389" s="9">
        <f>'Model inputs'!F413*'Model inputs'!AJ158</f>
        <v>0</v>
      </c>
      <c r="G389" s="9">
        <f>'Model inputs'!G413*'Model inputs'!AJ158</f>
        <v>0</v>
      </c>
      <c r="H389" s="9">
        <f>'Model inputs'!H413*'Model inputs'!AJ158</f>
        <v>0</v>
      </c>
      <c r="I389" s="9">
        <f>'Model inputs'!I413*'Model inputs'!AJ158</f>
        <v>0</v>
      </c>
      <c r="J389" s="9">
        <f>'Model inputs'!J413*'Model inputs'!AJ158</f>
        <v>0</v>
      </c>
      <c r="K389" s="9">
        <f>'Model inputs'!K413*'Model inputs'!AJ158</f>
        <v>0</v>
      </c>
      <c r="L389" s="9">
        <f>'Model inputs'!L413*'Model inputs'!AJ158</f>
        <v>0</v>
      </c>
      <c r="M389" s="9">
        <f>'Model inputs'!M413*'Model inputs'!AJ158</f>
        <v>0</v>
      </c>
      <c r="N389" s="9">
        <f>'Model inputs'!N413*'Model inputs'!AJ158</f>
        <v>0</v>
      </c>
      <c r="O389" s="9">
        <f>'Model inputs'!O413*'Model inputs'!AJ158</f>
        <v>1499</v>
      </c>
      <c r="P389" s="9">
        <f>'Model inputs'!P413*'Model inputs'!AJ158</f>
        <v>1543.97</v>
      </c>
      <c r="Q389" s="9">
        <f>'Model inputs'!Q413*'Model inputs'!AJ158</f>
        <v>2006.9557666666667</v>
      </c>
      <c r="R389" s="9">
        <f>'Model inputs'!R413*'Model inputs'!AJ158</f>
        <v>2054.6644396666666</v>
      </c>
      <c r="S389" s="9">
        <f>'Model inputs'!S413*'Model inputs'!AJ158</f>
        <v>2103.8043728566668</v>
      </c>
      <c r="T389" s="9">
        <f>'Model inputs'!T413*'Model inputs'!AJ158</f>
        <v>2987.7518373757002</v>
      </c>
      <c r="U389" s="9">
        <f>'Model inputs'!U413*'Model inputs'!AJ158</f>
        <v>3039.8843924969715</v>
      </c>
      <c r="V389" s="9">
        <f>'Model inputs'!V413*'Model inputs'!AJ158</f>
        <v>3093.58092427188</v>
      </c>
      <c r="W389" s="9">
        <f>'Model inputs'!W413*'Model inputs'!AJ158</f>
        <v>3982.22168533337</v>
      </c>
      <c r="X389" s="9">
        <f>'Model inputs'!X413*'Model inputs'!AJ158</f>
        <v>4039.1883358933705</v>
      </c>
      <c r="Y389" s="9">
        <f>'Model inputs'!Y413*'Model inputs'!AJ158</f>
        <v>4097.8639859701725</v>
      </c>
      <c r="Z389" s="9">
        <f>'Model inputs'!Z413*'Model inputs'!AJ158</f>
        <v>4574.966572215945</v>
      </c>
      <c r="AA389" s="9">
        <f>'Model inputs'!AA413*'Model inputs'!AJ158</f>
        <v>4637.215569382423</v>
      </c>
      <c r="AB389" s="9">
        <f>'Model inputs'!AB413*'Model inputs'!AJ158</f>
        <v>4701.332036463896</v>
      </c>
      <c r="AC389" s="9">
        <f>'Model inputs'!AC413*'Model inputs'!AJ158</f>
        <v>5809.038664224478</v>
      </c>
      <c r="AD389" s="9">
        <f>'Model inputs'!AD413*'Model inputs'!AJ158</f>
        <v>5877.0598241512125</v>
      </c>
      <c r="AE389" s="9">
        <f>'Model inputs'!AE413*'Model inputs'!AJ158</f>
        <v>5947.12161887575</v>
      </c>
      <c r="AF389" s="9">
        <f>'Model inputs'!AF413*'Model inputs'!AJ158</f>
        <v>6435.951934108689</v>
      </c>
      <c r="AG389" s="9">
        <f>'Model inputs'!AG413*'Model inputs'!AJ158</f>
        <v>6510.28049213195</v>
      </c>
      <c r="AH389" s="9">
        <f>'Model inputs'!AH413*'Model inputs'!AJ158</f>
        <v>7003.505573562575</v>
      </c>
      <c r="AI389" s="9">
        <f>'Model inputs'!AI413*'Model inputs'!AJ158</f>
        <v>8124.027407436119</v>
      </c>
    </row>
    <row r="390">
      <c r="A390" t="inlineStr" s="13">
        <is>
          <t xml:space="preserve">Haq CSC revenue · Haq Ending cash · Main Scenario · Main Scenario</t>
        </is>
      </c>
      <c r="B390" s="9">
        <f>'Model inputs'!B189*('Model inputs'!AJ29+MAX('Model inputs'!AJ21-'Model inputs'!AJ24,0)*'Model inputs'!AJ22)</f>
        <v>0</v>
      </c>
      <c r="C390" s="9">
        <f>'Model inputs'!C189*('Model inputs'!AJ29+MAX('Model inputs'!AJ21-'Model inputs'!AJ24,0)*'Model inputs'!AJ22)</f>
        <v>0</v>
      </c>
      <c r="D390" s="9">
        <f>'Model inputs'!D189*('Model inputs'!AJ29+MAX('Model inputs'!AJ21-'Model inputs'!AJ24,0)*'Model inputs'!AJ22)</f>
        <v>0</v>
      </c>
      <c r="E390" s="9">
        <f>'Model inputs'!E189*('Model inputs'!AJ29+MAX('Model inputs'!AJ21-'Model inputs'!AJ24,0)*'Model inputs'!AJ22)</f>
        <v>0</v>
      </c>
      <c r="F390" s="9">
        <f>'Model inputs'!F189*('Model inputs'!AJ29+MAX('Model inputs'!AJ21-'Model inputs'!AJ24,0)*'Model inputs'!AJ22)</f>
        <v>0</v>
      </c>
      <c r="G390" s="9">
        <f>'Model inputs'!G189*('Model inputs'!AJ29+MAX('Model inputs'!AJ21-'Model inputs'!AJ24,0)*'Model inputs'!AJ22)</f>
        <v>0</v>
      </c>
      <c r="H390" s="9">
        <f>'Model inputs'!H189*('Model inputs'!AJ29+MAX('Model inputs'!AJ21-'Model inputs'!AJ24,0)*'Model inputs'!AJ22)</f>
        <v>0</v>
      </c>
      <c r="I390" s="9">
        <f>'Model inputs'!I189*('Model inputs'!AJ29+MAX('Model inputs'!AJ21-'Model inputs'!AJ24,0)*'Model inputs'!AJ22)</f>
        <v>0</v>
      </c>
      <c r="J390" s="9">
        <f>'Model inputs'!J189*('Model inputs'!AJ29+MAX('Model inputs'!AJ21-'Model inputs'!AJ24,0)*'Model inputs'!AJ22)</f>
        <v>0</v>
      </c>
      <c r="K390" s="9">
        <f>'Model inputs'!K189*('Model inputs'!AJ29+MAX('Model inputs'!AJ21-'Model inputs'!AJ24,0)*'Model inputs'!AJ22)</f>
        <v>0</v>
      </c>
      <c r="L390" s="9">
        <f>'Model inputs'!L189*('Model inputs'!AJ29+MAX('Model inputs'!AJ21-'Model inputs'!AJ24,0)*'Model inputs'!AJ22)</f>
        <v>0</v>
      </c>
      <c r="M390" s="9">
        <f>'Model inputs'!M189*('Model inputs'!AJ29+MAX('Model inputs'!AJ21-'Model inputs'!AJ24,0)*'Model inputs'!AJ22)</f>
        <v>0</v>
      </c>
      <c r="N390" s="9">
        <f>'Model inputs'!N189*('Model inputs'!AJ29+MAX('Model inputs'!AJ21-'Model inputs'!AJ24,0)*'Model inputs'!AJ22)</f>
        <v>0</v>
      </c>
      <c r="O390" s="9">
        <f>'Model inputs'!O189*('Model inputs'!AJ29+MAX('Model inputs'!AJ21-'Model inputs'!AJ24,0)*'Model inputs'!AJ22)</f>
        <v>74950</v>
      </c>
      <c r="P390" s="9">
        <f>'Model inputs'!P189*('Model inputs'!AJ29+MAX('Model inputs'!AJ21-'Model inputs'!AJ24,0)*'Model inputs'!AJ22)</f>
        <v>86192.49999999999</v>
      </c>
      <c r="Q390" s="9">
        <f>'Model inputs'!Q189*('Model inputs'!AJ29+MAX('Model inputs'!AJ21-'Model inputs'!AJ24,0)*'Model inputs'!AJ22)</f>
        <v>99121.37499999999</v>
      </c>
      <c r="R390" s="9">
        <f>'Model inputs'!R189*('Model inputs'!AJ29+MAX('Model inputs'!AJ21-'Model inputs'!AJ24,0)*'Model inputs'!AJ22)</f>
        <v>113989.58124999996</v>
      </c>
      <c r="S390" s="9">
        <f>'Model inputs'!S189*('Model inputs'!AJ29+MAX('Model inputs'!AJ21-'Model inputs'!AJ24,0)*'Model inputs'!AJ22)</f>
        <v>131088.01843749994</v>
      </c>
      <c r="T390" s="9">
        <f>'Model inputs'!T189*('Model inputs'!AJ29+MAX('Model inputs'!AJ21-'Model inputs'!AJ24,0)*'Model inputs'!AJ22)</f>
        <v>150751.22120312494</v>
      </c>
      <c r="U390" s="9">
        <f>'Model inputs'!U189*('Model inputs'!AJ29+MAX('Model inputs'!AJ21-'Model inputs'!AJ24,0)*'Model inputs'!AJ22)</f>
        <v>173363.90438359365</v>
      </c>
      <c r="V390" s="9">
        <f>'Model inputs'!V189*('Model inputs'!AJ29+MAX('Model inputs'!AJ21-'Model inputs'!AJ24,0)*'Model inputs'!AJ22)</f>
        <v>199368.4900411327</v>
      </c>
      <c r="W390" s="9">
        <f>'Model inputs'!W189*('Model inputs'!AJ29+MAX('Model inputs'!AJ21-'Model inputs'!AJ24,0)*'Model inputs'!AJ22)</f>
        <v>229273.76354730257</v>
      </c>
      <c r="X390" s="9">
        <f>'Model inputs'!X189*('Model inputs'!AJ29+MAX('Model inputs'!AJ21-'Model inputs'!AJ24,0)*'Model inputs'!AJ22)</f>
        <v>263664.82807939796</v>
      </c>
      <c r="Y390" s="9">
        <f>'Model inputs'!Y189*('Model inputs'!AJ29+MAX('Model inputs'!AJ21-'Model inputs'!AJ24,0)*'Model inputs'!AJ22)</f>
        <v>303214.5522913076</v>
      </c>
      <c r="Z390" s="9">
        <f>'Model inputs'!Z189*('Model inputs'!AJ29+MAX('Model inputs'!AJ21-'Model inputs'!AJ24,0)*'Model inputs'!AJ22)</f>
        <v>348696.73513500375</v>
      </c>
      <c r="AA390" s="9">
        <f>'Model inputs'!AA189*('Model inputs'!AJ29+MAX('Model inputs'!AJ21-'Model inputs'!AJ24,0)*'Model inputs'!AJ22)</f>
        <v>401001.24540525425</v>
      </c>
      <c r="AB390" s="9">
        <f>'Model inputs'!AB189*('Model inputs'!AJ29+MAX('Model inputs'!AJ21-'Model inputs'!AJ24,0)*'Model inputs'!AJ22)</f>
        <v>461151.43221604236</v>
      </c>
      <c r="AC390" s="9">
        <f>'Model inputs'!AC189*('Model inputs'!AJ29+MAX('Model inputs'!AJ21-'Model inputs'!AJ24,0)*'Model inputs'!AJ22)</f>
        <v>530324.1470484487</v>
      </c>
      <c r="AD390" s="9">
        <f>'Model inputs'!AD189*('Model inputs'!AJ29+MAX('Model inputs'!AJ21-'Model inputs'!AJ24,0)*'Model inputs'!AJ22)</f>
        <v>609872.7691057159</v>
      </c>
      <c r="AE390" s="9">
        <f>'Model inputs'!AE189*('Model inputs'!AJ29+MAX('Model inputs'!AJ21-'Model inputs'!AJ24,0)*'Model inputs'!AJ22)</f>
        <v>701353.6844715733</v>
      </c>
      <c r="AF390" s="9">
        <f>'Model inputs'!AF189*('Model inputs'!AJ29+MAX('Model inputs'!AJ21-'Model inputs'!AJ24,0)*'Model inputs'!AJ22)</f>
        <v>806556.7371423092</v>
      </c>
      <c r="AG390" s="9">
        <f>'Model inputs'!AG189*('Model inputs'!AJ29+MAX('Model inputs'!AJ21-'Model inputs'!AJ24,0)*'Model inputs'!AJ22)</f>
        <v>927540.2477136555</v>
      </c>
      <c r="AH390" s="9">
        <f>'Model inputs'!AH189*('Model inputs'!AJ29+MAX('Model inputs'!AJ21-'Model inputs'!AJ24,0)*'Model inputs'!AJ22)</f>
        <v>1066671.2848707037</v>
      </c>
      <c r="AI390" s="9">
        <f>'Model inputs'!AI189*('Model inputs'!AJ29+MAX('Model inputs'!AJ21-'Model inputs'!AJ24,0)*'Model inputs'!AJ22)</f>
        <v>1226671.977601309</v>
      </c>
    </row>
    <row r="391">
      <c r="A391" t="inlineStr" s="13">
        <is>
          <t xml:space="preserve">Haq CSC revenue · Haq Ending cash · Growth · Growth</t>
        </is>
      </c>
      <c r="B391" s="9">
        <f>'Model inputs'!B190*('Model inputs'!AJ85+MAX('Model inputs'!AJ77-'Model inputs'!AJ80,0)*'Model inputs'!AJ78)</f>
        <v>0</v>
      </c>
      <c r="C391" s="9">
        <f>'Model inputs'!C190*('Model inputs'!AJ85+MAX('Model inputs'!AJ77-'Model inputs'!AJ80,0)*'Model inputs'!AJ78)</f>
        <v>0</v>
      </c>
      <c r="D391" s="9">
        <f>'Model inputs'!D190*('Model inputs'!AJ85+MAX('Model inputs'!AJ77-'Model inputs'!AJ80,0)*'Model inputs'!AJ78)</f>
        <v>0</v>
      </c>
      <c r="E391" s="9">
        <f>'Model inputs'!E190*('Model inputs'!AJ85+MAX('Model inputs'!AJ77-'Model inputs'!AJ80,0)*'Model inputs'!AJ78)</f>
        <v>0</v>
      </c>
      <c r="F391" s="9">
        <f>'Model inputs'!F190*('Model inputs'!AJ85+MAX('Model inputs'!AJ77-'Model inputs'!AJ80,0)*'Model inputs'!AJ78)</f>
        <v>0</v>
      </c>
      <c r="G391" s="9">
        <f>'Model inputs'!G190*('Model inputs'!AJ85+MAX('Model inputs'!AJ77-'Model inputs'!AJ80,0)*'Model inputs'!AJ78)</f>
        <v>0</v>
      </c>
      <c r="H391" s="9">
        <f>'Model inputs'!H190*('Model inputs'!AJ85+MAX('Model inputs'!AJ77-'Model inputs'!AJ80,0)*'Model inputs'!AJ78)</f>
        <v>0</v>
      </c>
      <c r="I391" s="9">
        <f>'Model inputs'!I190*('Model inputs'!AJ85+MAX('Model inputs'!AJ77-'Model inputs'!AJ80,0)*'Model inputs'!AJ78)</f>
        <v>0</v>
      </c>
      <c r="J391" s="9">
        <f>'Model inputs'!J190*('Model inputs'!AJ85+MAX('Model inputs'!AJ77-'Model inputs'!AJ80,0)*'Model inputs'!AJ78)</f>
        <v>0</v>
      </c>
      <c r="K391" s="9">
        <f>'Model inputs'!K190*('Model inputs'!AJ85+MAX('Model inputs'!AJ77-'Model inputs'!AJ80,0)*'Model inputs'!AJ78)</f>
        <v>0</v>
      </c>
      <c r="L391" s="9">
        <f>'Model inputs'!L190*('Model inputs'!AJ85+MAX('Model inputs'!AJ77-'Model inputs'!AJ80,0)*'Model inputs'!AJ78)</f>
        <v>0</v>
      </c>
      <c r="M391" s="9">
        <f>'Model inputs'!M190*('Model inputs'!AJ85+MAX('Model inputs'!AJ77-'Model inputs'!AJ80,0)*'Model inputs'!AJ78)</f>
        <v>0</v>
      </c>
      <c r="N391" s="9">
        <f>'Model inputs'!N190*('Model inputs'!AJ85+MAX('Model inputs'!AJ77-'Model inputs'!AJ80,0)*'Model inputs'!AJ78)</f>
        <v>0</v>
      </c>
      <c r="O391" s="9">
        <f>'Model inputs'!O190*('Model inputs'!AJ85+MAX('Model inputs'!AJ77-'Model inputs'!AJ80,0)*'Model inputs'!AJ78)</f>
        <v>74950</v>
      </c>
      <c r="P391" s="9">
        <f>'Model inputs'!P190*('Model inputs'!AJ85+MAX('Model inputs'!AJ77-'Model inputs'!AJ80,0)*'Model inputs'!AJ78)</f>
        <v>95186.5</v>
      </c>
      <c r="Q391" s="9">
        <f>'Model inputs'!Q190*('Model inputs'!AJ85+MAX('Model inputs'!AJ77-'Model inputs'!AJ80,0)*'Model inputs'!AJ78)</f>
        <v>120886.855</v>
      </c>
      <c r="R391" s="9">
        <f>'Model inputs'!R190*('Model inputs'!AJ85+MAX('Model inputs'!AJ77-'Model inputs'!AJ80,0)*'Model inputs'!AJ78)</f>
        <v>153526.30585</v>
      </c>
      <c r="S391" s="9">
        <f>'Model inputs'!S190*('Model inputs'!AJ85+MAX('Model inputs'!AJ77-'Model inputs'!AJ80,0)*'Model inputs'!AJ78)</f>
        <v>194978.40842950004</v>
      </c>
      <c r="T391" s="9">
        <f>'Model inputs'!T190*('Model inputs'!AJ85+MAX('Model inputs'!AJ77-'Model inputs'!AJ80,0)*'Model inputs'!AJ78)</f>
        <v>247622.57870546504</v>
      </c>
      <c r="U391" s="9">
        <f>'Model inputs'!U190*('Model inputs'!AJ85+MAX('Model inputs'!AJ77-'Model inputs'!AJ80,0)*'Model inputs'!AJ78)</f>
        <v>314480.6749559406</v>
      </c>
      <c r="V391" s="9">
        <f>'Model inputs'!V190*('Model inputs'!AJ85+MAX('Model inputs'!AJ77-'Model inputs'!AJ80,0)*'Model inputs'!AJ78)</f>
        <v>399390.4571940445</v>
      </c>
      <c r="W391" s="9">
        <f>'Model inputs'!W190*('Model inputs'!AJ85+MAX('Model inputs'!AJ77-'Model inputs'!AJ80,0)*'Model inputs'!AJ78)</f>
        <v>507225.8806364365</v>
      </c>
      <c r="X391" s="9">
        <f>'Model inputs'!X190*('Model inputs'!AJ85+MAX('Model inputs'!AJ77-'Model inputs'!AJ80,0)*'Model inputs'!AJ78)</f>
        <v>644176.8684082744</v>
      </c>
      <c r="Y391" s="9">
        <f>'Model inputs'!Y190*('Model inputs'!AJ85+MAX('Model inputs'!AJ77-'Model inputs'!AJ80,0)*'Model inputs'!AJ78)</f>
        <v>818104.6228785085</v>
      </c>
      <c r="Z391" s="9">
        <f>'Model inputs'!Z190*('Model inputs'!AJ85+MAX('Model inputs'!AJ77-'Model inputs'!AJ80,0)*'Model inputs'!AJ78)</f>
        <v>1038992.8710557058</v>
      </c>
      <c r="AA391" s="9">
        <f>'Model inputs'!AA190*('Model inputs'!AJ85+MAX('Model inputs'!AJ77-'Model inputs'!AJ80,0)*'Model inputs'!AJ78)</f>
        <v>1319520.9462407464</v>
      </c>
      <c r="AB391" s="9">
        <f>'Model inputs'!AB190*('Model inputs'!AJ85+MAX('Model inputs'!AJ77-'Model inputs'!AJ80,0)*'Model inputs'!AJ78)</f>
        <v>1675791.6017257478</v>
      </c>
      <c r="AC391" s="9">
        <f>'Model inputs'!AC190*('Model inputs'!AJ85+MAX('Model inputs'!AJ77-'Model inputs'!AJ80,0)*'Model inputs'!AJ78)</f>
        <v>2128255.3341916995</v>
      </c>
      <c r="AD391" s="9">
        <f>'Model inputs'!AD190*('Model inputs'!AJ85+MAX('Model inputs'!AJ77-'Model inputs'!AJ80,0)*'Model inputs'!AJ78)</f>
        <v>2702884.2744234586</v>
      </c>
      <c r="AE391" s="9">
        <f>'Model inputs'!AE190*('Model inputs'!AJ85+MAX('Model inputs'!AJ77-'Model inputs'!AJ80,0)*'Model inputs'!AJ78)</f>
        <v>3432663.0285177925</v>
      </c>
      <c r="AF391" s="9">
        <f>'Model inputs'!AF190*('Model inputs'!AJ85+MAX('Model inputs'!AJ77-'Model inputs'!AJ80,0)*'Model inputs'!AJ78)</f>
        <v>4359482.046217596</v>
      </c>
      <c r="AG391" s="9">
        <f>'Model inputs'!AG190*('Model inputs'!AJ85+MAX('Model inputs'!AJ77-'Model inputs'!AJ80,0)*'Model inputs'!AJ78)</f>
        <v>5536542.198696348</v>
      </c>
      <c r="AH391" s="9">
        <f>'Model inputs'!AH190*('Model inputs'!AJ85+MAX('Model inputs'!AJ77-'Model inputs'!AJ80,0)*'Model inputs'!AJ78)</f>
        <v>7031408.592344362</v>
      </c>
      <c r="AI391" s="9">
        <f>'Model inputs'!AI190*('Model inputs'!AJ85+MAX('Model inputs'!AJ77-'Model inputs'!AJ80,0)*'Model inputs'!AJ78)</f>
        <v>8929888.912277339</v>
      </c>
    </row>
    <row r="392">
      <c r="A392" t="inlineStr" s="13">
        <is>
          <t xml:space="preserve">Haq CSC revenue · Haq Ending cash · Conservative · Conservative</t>
        </is>
      </c>
      <c r="B392" s="9">
        <f>'Model inputs'!B191*('Model inputs'!AJ141+MAX('Model inputs'!AJ133-'Model inputs'!AJ136,0)*'Model inputs'!AJ134)</f>
        <v>0</v>
      </c>
      <c r="C392" s="9">
        <f>'Model inputs'!C191*('Model inputs'!AJ141+MAX('Model inputs'!AJ133-'Model inputs'!AJ136,0)*'Model inputs'!AJ134)</f>
        <v>0</v>
      </c>
      <c r="D392" s="9">
        <f>'Model inputs'!D191*('Model inputs'!AJ141+MAX('Model inputs'!AJ133-'Model inputs'!AJ136,0)*'Model inputs'!AJ134)</f>
        <v>0</v>
      </c>
      <c r="E392" s="9">
        <f>'Model inputs'!E191*('Model inputs'!AJ141+MAX('Model inputs'!AJ133-'Model inputs'!AJ136,0)*'Model inputs'!AJ134)</f>
        <v>0</v>
      </c>
      <c r="F392" s="9">
        <f>'Model inputs'!F191*('Model inputs'!AJ141+MAX('Model inputs'!AJ133-'Model inputs'!AJ136,0)*'Model inputs'!AJ134)</f>
        <v>0</v>
      </c>
      <c r="G392" s="9">
        <f>'Model inputs'!G191*('Model inputs'!AJ141+MAX('Model inputs'!AJ133-'Model inputs'!AJ136,0)*'Model inputs'!AJ134)</f>
        <v>0</v>
      </c>
      <c r="H392" s="9">
        <f>'Model inputs'!H191*('Model inputs'!AJ141+MAX('Model inputs'!AJ133-'Model inputs'!AJ136,0)*'Model inputs'!AJ134)</f>
        <v>0</v>
      </c>
      <c r="I392" s="9">
        <f>'Model inputs'!I191*('Model inputs'!AJ141+MAX('Model inputs'!AJ133-'Model inputs'!AJ136,0)*'Model inputs'!AJ134)</f>
        <v>0</v>
      </c>
      <c r="J392" s="9">
        <f>'Model inputs'!J191*('Model inputs'!AJ141+MAX('Model inputs'!AJ133-'Model inputs'!AJ136,0)*'Model inputs'!AJ134)</f>
        <v>0</v>
      </c>
      <c r="K392" s="9">
        <f>'Model inputs'!K191*('Model inputs'!AJ141+MAX('Model inputs'!AJ133-'Model inputs'!AJ136,0)*'Model inputs'!AJ134)</f>
        <v>0</v>
      </c>
      <c r="L392" s="9">
        <f>'Model inputs'!L191*('Model inputs'!AJ141+MAX('Model inputs'!AJ133-'Model inputs'!AJ136,0)*'Model inputs'!AJ134)</f>
        <v>0</v>
      </c>
      <c r="M392" s="9">
        <f>'Model inputs'!M191*('Model inputs'!AJ141+MAX('Model inputs'!AJ133-'Model inputs'!AJ136,0)*'Model inputs'!AJ134)</f>
        <v>0</v>
      </c>
      <c r="N392" s="9">
        <f>'Model inputs'!N191*('Model inputs'!AJ141+MAX('Model inputs'!AJ133-'Model inputs'!AJ136,0)*'Model inputs'!AJ134)</f>
        <v>0</v>
      </c>
      <c r="O392" s="9">
        <f>'Model inputs'!O191*('Model inputs'!AJ141+MAX('Model inputs'!AJ133-'Model inputs'!AJ136,0)*'Model inputs'!AJ134)</f>
        <v>74950</v>
      </c>
      <c r="P392" s="9">
        <f>'Model inputs'!P191*('Model inputs'!AJ141+MAX('Model inputs'!AJ133-'Model inputs'!AJ136,0)*'Model inputs'!AJ134)</f>
        <v>77198.5</v>
      </c>
      <c r="Q392" s="9">
        <f>'Model inputs'!Q191*('Model inputs'!AJ141+MAX('Model inputs'!AJ133-'Model inputs'!AJ136,0)*'Model inputs'!AJ134)</f>
        <v>79514.455</v>
      </c>
      <c r="R392" s="9">
        <f>'Model inputs'!R191*('Model inputs'!AJ141+MAX('Model inputs'!AJ133-'Model inputs'!AJ136,0)*'Model inputs'!AJ134)</f>
        <v>81899.88865</v>
      </c>
      <c r="S392" s="9">
        <f>'Model inputs'!S191*('Model inputs'!AJ141+MAX('Model inputs'!AJ133-'Model inputs'!AJ136,0)*'Model inputs'!AJ134)</f>
        <v>84356.88530950001</v>
      </c>
      <c r="T392" s="9">
        <f>'Model inputs'!T191*('Model inputs'!AJ141+MAX('Model inputs'!AJ133-'Model inputs'!AJ136,0)*'Model inputs'!AJ134)</f>
        <v>86887.591868785</v>
      </c>
      <c r="U392" s="9">
        <f>'Model inputs'!U191*('Model inputs'!AJ141+MAX('Model inputs'!AJ133-'Model inputs'!AJ136,0)*'Model inputs'!AJ134)</f>
        <v>89494.21962484856</v>
      </c>
      <c r="V392" s="9">
        <f>'Model inputs'!V191*('Model inputs'!AJ141+MAX('Model inputs'!AJ133-'Model inputs'!AJ136,0)*'Model inputs'!AJ134)</f>
        <v>92179.046213594</v>
      </c>
      <c r="W392" s="9">
        <f>'Model inputs'!W191*('Model inputs'!AJ141+MAX('Model inputs'!AJ133-'Model inputs'!AJ136,0)*'Model inputs'!AJ134)</f>
        <v>94944.41760000183</v>
      </c>
      <c r="X392" s="9">
        <f>'Model inputs'!X191*('Model inputs'!AJ141+MAX('Model inputs'!AJ133-'Model inputs'!AJ136,0)*'Model inputs'!AJ134)</f>
        <v>97792.75012800189</v>
      </c>
      <c r="Y392" s="9">
        <f>'Model inputs'!Y191*('Model inputs'!AJ141+MAX('Model inputs'!AJ133-'Model inputs'!AJ136,0)*'Model inputs'!AJ134)</f>
        <v>100726.53263184195</v>
      </c>
      <c r="Z392" s="9">
        <f>'Model inputs'!Z191*('Model inputs'!AJ141+MAX('Model inputs'!AJ133-'Model inputs'!AJ136,0)*'Model inputs'!AJ134)</f>
        <v>103748.32861079722</v>
      </c>
      <c r="AA392" s="9">
        <f>'Model inputs'!AA191*('Model inputs'!AJ141+MAX('Model inputs'!AJ133-'Model inputs'!AJ136,0)*'Model inputs'!AJ134)</f>
        <v>106860.77846912114</v>
      </c>
      <c r="AB392" s="9">
        <f>'Model inputs'!AB191*('Model inputs'!AJ141+MAX('Model inputs'!AJ133-'Model inputs'!AJ136,0)*'Model inputs'!AJ134)</f>
        <v>110066.60182319477</v>
      </c>
      <c r="AC392" s="9">
        <f>'Model inputs'!AC191*('Model inputs'!AJ141+MAX('Model inputs'!AJ133-'Model inputs'!AJ136,0)*'Model inputs'!AJ134)</f>
        <v>113368.5998778906</v>
      </c>
      <c r="AD392" s="9">
        <f>'Model inputs'!AD191*('Model inputs'!AJ141+MAX('Model inputs'!AJ133-'Model inputs'!AJ136,0)*'Model inputs'!AJ134)</f>
        <v>116769.65787422733</v>
      </c>
      <c r="AE392" s="9">
        <f>'Model inputs'!AE191*('Model inputs'!AJ141+MAX('Model inputs'!AJ133-'Model inputs'!AJ136,0)*'Model inputs'!AJ134)</f>
        <v>120272.74761045416</v>
      </c>
      <c r="AF392" s="9">
        <f>'Model inputs'!AF191*('Model inputs'!AJ141+MAX('Model inputs'!AJ133-'Model inputs'!AJ136,0)*'Model inputs'!AJ134)</f>
        <v>123880.93003876778</v>
      </c>
      <c r="AG392" s="9">
        <f>'Model inputs'!AG191*('Model inputs'!AJ141+MAX('Model inputs'!AJ133-'Model inputs'!AJ136,0)*'Model inputs'!AJ134)</f>
        <v>127597.35793993081</v>
      </c>
      <c r="AH392" s="9">
        <f>'Model inputs'!AH191*('Model inputs'!AJ141+MAX('Model inputs'!AJ133-'Model inputs'!AJ136,0)*'Model inputs'!AJ134)</f>
        <v>131425.27867812873</v>
      </c>
      <c r="AI392" s="9">
        <f>'Model inputs'!AI191*('Model inputs'!AJ141+MAX('Model inputs'!AJ133-'Model inputs'!AJ136,0)*'Model inputs'!AJ134)</f>
        <v>135368.0370384726</v>
      </c>
    </row>
    <row r="393">
      <c r="A393" t="inlineStr" s="13">
        <is>
          <t xml:space="preserve">Haq CSR receipts · Haq Ending cash · Main Scenario · Main Scenario</t>
        </is>
      </c>
      <c r="B393" s="9">
        <f>'Model inputs'!B420*'Model inputs'!AJ30+0*'Model inputs'!AJ19</f>
        <v>0</v>
      </c>
      <c r="C393" s="9">
        <f>'Model inputs'!C420*'Model inputs'!AJ30+0*'Model inputs'!AJ19</f>
        <v>0</v>
      </c>
      <c r="D393" s="9">
        <f>'Model inputs'!D420*'Model inputs'!AJ30+0*'Model inputs'!AJ19</f>
        <v>0</v>
      </c>
      <c r="E393" s="9">
        <f>'Model inputs'!E420*'Model inputs'!AJ30+0*'Model inputs'!AJ19</f>
        <v>0</v>
      </c>
      <c r="F393" s="9">
        <f>'Model inputs'!F420*'Model inputs'!AJ30+0*'Model inputs'!AJ19</f>
        <v>0</v>
      </c>
      <c r="G393" s="9">
        <f>'Model inputs'!G420*'Model inputs'!AJ30+0*'Model inputs'!AJ19</f>
        <v>0</v>
      </c>
      <c r="H393" s="9">
        <f>'Model inputs'!H420*'Model inputs'!AJ30+0*'Model inputs'!AJ19</f>
        <v>0</v>
      </c>
      <c r="I393" s="9">
        <f>'Model inputs'!I420*'Model inputs'!AJ30+0*'Model inputs'!AJ19</f>
        <v>0</v>
      </c>
      <c r="J393" s="9">
        <f>'Model inputs'!J420*'Model inputs'!AJ30+0*'Model inputs'!AJ19</f>
        <v>0</v>
      </c>
      <c r="K393" s="9">
        <f>'Model inputs'!K420*'Model inputs'!AJ30+0*'Model inputs'!AJ19</f>
        <v>0</v>
      </c>
      <c r="L393" s="9">
        <f>'Model inputs'!L420*'Model inputs'!AJ30+0*'Model inputs'!AJ19</f>
        <v>0</v>
      </c>
      <c r="M393" s="9">
        <f>'Model inputs'!M420*'Model inputs'!AJ30+0*'Model inputs'!AJ19</f>
        <v>0</v>
      </c>
      <c r="N393" s="9">
        <f>'Model inputs'!N420*'Model inputs'!AJ30+'Model inputs'!B393*'Model inputs'!AJ19</f>
        <v>0</v>
      </c>
      <c r="O393" s="9">
        <f>'Model inputs'!O420*'Model inputs'!AJ30+'Model inputs'!C393*'Model inputs'!AJ19</f>
        <v>0</v>
      </c>
      <c r="P393" s="9">
        <f>'Model inputs'!P420*'Model inputs'!AJ30+'Model inputs'!D393*'Model inputs'!AJ19</f>
        <v>0</v>
      </c>
      <c r="Q393" s="9">
        <f>'Model inputs'!Q420*'Model inputs'!AJ30+'Model inputs'!E393*'Model inputs'!AJ19</f>
        <v>500000</v>
      </c>
      <c r="R393" s="9">
        <f>'Model inputs'!R420*'Model inputs'!AJ30+'Model inputs'!F393*'Model inputs'!AJ19</f>
        <v>0</v>
      </c>
      <c r="S393" s="9">
        <f>'Model inputs'!S420*'Model inputs'!AJ30+'Model inputs'!G393*'Model inputs'!AJ19</f>
        <v>0</v>
      </c>
      <c r="T393" s="9">
        <f>'Model inputs'!T420*'Model inputs'!AJ30+'Model inputs'!H393*'Model inputs'!AJ19</f>
        <v>500000</v>
      </c>
      <c r="U393" s="9">
        <f>'Model inputs'!U420*'Model inputs'!AJ30+'Model inputs'!I393*'Model inputs'!AJ19</f>
        <v>0</v>
      </c>
      <c r="V393" s="9">
        <f>'Model inputs'!V420*'Model inputs'!AJ30+'Model inputs'!J393*'Model inputs'!AJ19</f>
        <v>0</v>
      </c>
      <c r="W393" s="9">
        <f>'Model inputs'!W420*'Model inputs'!AJ30+'Model inputs'!K393*'Model inputs'!AJ19</f>
        <v>500000</v>
      </c>
      <c r="X393" s="9">
        <f>'Model inputs'!X420*'Model inputs'!AJ30+'Model inputs'!L393*'Model inputs'!AJ19</f>
        <v>0</v>
      </c>
      <c r="Y393" s="9">
        <f>'Model inputs'!Y420*'Model inputs'!AJ30+'Model inputs'!M393*'Model inputs'!AJ19</f>
        <v>0</v>
      </c>
      <c r="Z393" s="9">
        <f>'Model inputs'!Z420*'Model inputs'!AJ30+'Model inputs'!N393*'Model inputs'!AJ19</f>
        <v>500000</v>
      </c>
      <c r="AA393" s="9">
        <f>'Model inputs'!AA420*'Model inputs'!AJ30+'Model inputs'!O393*'Model inputs'!AJ19</f>
        <v>0</v>
      </c>
      <c r="AB393" s="9">
        <f>'Model inputs'!AB420*'Model inputs'!AJ30+'Model inputs'!P393*'Model inputs'!AJ19</f>
        <v>0</v>
      </c>
      <c r="AC393" s="9">
        <f>'Model inputs'!AC420*'Model inputs'!AJ30+'Model inputs'!Q393*'Model inputs'!AJ19</f>
        <v>1000000</v>
      </c>
      <c r="AD393" s="9">
        <f>'Model inputs'!AD420*'Model inputs'!AJ30+'Model inputs'!R393*'Model inputs'!AJ19</f>
        <v>0</v>
      </c>
      <c r="AE393" s="9">
        <f>'Model inputs'!AE420*'Model inputs'!AJ30+'Model inputs'!S393*'Model inputs'!AJ19</f>
        <v>0</v>
      </c>
      <c r="AF393" s="9">
        <f>'Model inputs'!AF420*'Model inputs'!AJ30+'Model inputs'!T393*'Model inputs'!AJ19</f>
        <v>1000000</v>
      </c>
      <c r="AG393" s="9">
        <f>'Model inputs'!AG420*'Model inputs'!AJ30+'Model inputs'!U393*'Model inputs'!AJ19</f>
        <v>0</v>
      </c>
      <c r="AH393" s="9">
        <f>'Model inputs'!AH420*'Model inputs'!AJ30+'Model inputs'!V393*'Model inputs'!AJ19</f>
        <v>500000</v>
      </c>
      <c r="AI393" s="9">
        <f>'Model inputs'!AI420*'Model inputs'!AJ30+'Model inputs'!W393*'Model inputs'!AJ19</f>
        <v>1000000</v>
      </c>
    </row>
    <row r="394">
      <c r="A394" t="inlineStr" s="13">
        <is>
          <t xml:space="preserve">Haq CSR receipts · Haq Ending cash · Growth · Growth</t>
        </is>
      </c>
      <c r="B394" s="9">
        <f>'Model inputs'!B421*'Model inputs'!AJ86+0*'Model inputs'!AJ75</f>
        <v>0</v>
      </c>
      <c r="C394" s="9">
        <f>'Model inputs'!C421*'Model inputs'!AJ86+0*'Model inputs'!AJ75</f>
        <v>0</v>
      </c>
      <c r="D394" s="9">
        <f>'Model inputs'!D421*'Model inputs'!AJ86+0*'Model inputs'!AJ75</f>
        <v>0</v>
      </c>
      <c r="E394" s="9">
        <f>'Model inputs'!E421*'Model inputs'!AJ86+0*'Model inputs'!AJ75</f>
        <v>0</v>
      </c>
      <c r="F394" s="9">
        <f>'Model inputs'!F421*'Model inputs'!AJ86+0*'Model inputs'!AJ75</f>
        <v>0</v>
      </c>
      <c r="G394" s="9">
        <f>'Model inputs'!G421*'Model inputs'!AJ86+0*'Model inputs'!AJ75</f>
        <v>0</v>
      </c>
      <c r="H394" s="9">
        <f>'Model inputs'!H421*'Model inputs'!AJ86+0*'Model inputs'!AJ75</f>
        <v>0</v>
      </c>
      <c r="I394" s="9">
        <f>'Model inputs'!I421*'Model inputs'!AJ86+0*'Model inputs'!AJ75</f>
        <v>0</v>
      </c>
      <c r="J394" s="9">
        <f>'Model inputs'!J421*'Model inputs'!AJ86+0*'Model inputs'!AJ75</f>
        <v>0</v>
      </c>
      <c r="K394" s="9">
        <f>'Model inputs'!K421*'Model inputs'!AJ86+0*'Model inputs'!AJ75</f>
        <v>0</v>
      </c>
      <c r="L394" s="9">
        <f>'Model inputs'!L421*'Model inputs'!AJ86+0*'Model inputs'!AJ75</f>
        <v>0</v>
      </c>
      <c r="M394" s="9">
        <f>'Model inputs'!M421*'Model inputs'!AJ86+0*'Model inputs'!AJ75</f>
        <v>0</v>
      </c>
      <c r="N394" s="9">
        <f>'Model inputs'!N421*'Model inputs'!AJ86+'Model inputs'!B394*'Model inputs'!AJ75</f>
        <v>0</v>
      </c>
      <c r="O394" s="9">
        <f>'Model inputs'!O421*'Model inputs'!AJ86+'Model inputs'!C394*'Model inputs'!AJ75</f>
        <v>0</v>
      </c>
      <c r="P394" s="9">
        <f>'Model inputs'!P421*'Model inputs'!AJ86+'Model inputs'!D394*'Model inputs'!AJ75</f>
        <v>0</v>
      </c>
      <c r="Q394" s="9">
        <f>'Model inputs'!Q421*'Model inputs'!AJ86+'Model inputs'!E394*'Model inputs'!AJ75</f>
        <v>1000000</v>
      </c>
      <c r="R394" s="9">
        <f>'Model inputs'!R421*'Model inputs'!AJ86+'Model inputs'!F394*'Model inputs'!AJ75</f>
        <v>0</v>
      </c>
      <c r="S394" s="9">
        <f>'Model inputs'!S421*'Model inputs'!AJ86+'Model inputs'!G394*'Model inputs'!AJ75</f>
        <v>0</v>
      </c>
      <c r="T394" s="9">
        <f>'Model inputs'!T421*'Model inputs'!AJ86+'Model inputs'!H394*'Model inputs'!AJ75</f>
        <v>1000000</v>
      </c>
      <c r="U394" s="9">
        <f>'Model inputs'!U421*'Model inputs'!AJ86+'Model inputs'!I394*'Model inputs'!AJ75</f>
        <v>0</v>
      </c>
      <c r="V394" s="9">
        <f>'Model inputs'!V421*'Model inputs'!AJ86+'Model inputs'!J394*'Model inputs'!AJ75</f>
        <v>0</v>
      </c>
      <c r="W394" s="9">
        <f>'Model inputs'!W421*'Model inputs'!AJ86+'Model inputs'!K394*'Model inputs'!AJ75</f>
        <v>1000000</v>
      </c>
      <c r="X394" s="9">
        <f>'Model inputs'!X421*'Model inputs'!AJ86+'Model inputs'!L394*'Model inputs'!AJ75</f>
        <v>0</v>
      </c>
      <c r="Y394" s="9">
        <f>'Model inputs'!Y421*'Model inputs'!AJ86+'Model inputs'!M394*'Model inputs'!AJ75</f>
        <v>0</v>
      </c>
      <c r="Z394" s="9">
        <f>'Model inputs'!Z421*'Model inputs'!AJ86+'Model inputs'!N394*'Model inputs'!AJ75</f>
        <v>1000000</v>
      </c>
      <c r="AA394" s="9">
        <f>'Model inputs'!AA421*'Model inputs'!AJ86+'Model inputs'!O394*'Model inputs'!AJ75</f>
        <v>0</v>
      </c>
      <c r="AB394" s="9">
        <f>'Model inputs'!AB421*'Model inputs'!AJ86+'Model inputs'!P394*'Model inputs'!AJ75</f>
        <v>0</v>
      </c>
      <c r="AC394" s="9">
        <f>'Model inputs'!AC421*'Model inputs'!AJ86+'Model inputs'!Q394*'Model inputs'!AJ75</f>
        <v>2000000</v>
      </c>
      <c r="AD394" s="9">
        <f>'Model inputs'!AD421*'Model inputs'!AJ86+'Model inputs'!R394*'Model inputs'!AJ75</f>
        <v>0</v>
      </c>
      <c r="AE394" s="9">
        <f>'Model inputs'!AE421*'Model inputs'!AJ86+'Model inputs'!S394*'Model inputs'!AJ75</f>
        <v>0</v>
      </c>
      <c r="AF394" s="9">
        <f>'Model inputs'!AF421*'Model inputs'!AJ86+'Model inputs'!T394*'Model inputs'!AJ75</f>
        <v>2000000</v>
      </c>
      <c r="AG394" s="9">
        <f>'Model inputs'!AG421*'Model inputs'!AJ86+'Model inputs'!U394*'Model inputs'!AJ75</f>
        <v>0</v>
      </c>
      <c r="AH394" s="9">
        <f>'Model inputs'!AH421*'Model inputs'!AJ86+'Model inputs'!V394*'Model inputs'!AJ75</f>
        <v>1000000</v>
      </c>
      <c r="AI394" s="9">
        <f>'Model inputs'!AI421*'Model inputs'!AJ86+'Model inputs'!W394*'Model inputs'!AJ75</f>
        <v>2000000</v>
      </c>
    </row>
    <row r="395">
      <c r="A395" t="inlineStr" s="13">
        <is>
          <t xml:space="preserve">Haq CSR receipts · Haq Ending cash · Conservative · Conservative</t>
        </is>
      </c>
      <c r="B395" s="9">
        <f>'Model inputs'!B422*'Model inputs'!AJ142+0*'Model inputs'!AJ131</f>
        <v>0</v>
      </c>
      <c r="C395" s="9">
        <f>'Model inputs'!C422*'Model inputs'!AJ142+0*'Model inputs'!AJ131</f>
        <v>0</v>
      </c>
      <c r="D395" s="9">
        <f>'Model inputs'!D422*'Model inputs'!AJ142+0*'Model inputs'!AJ131</f>
        <v>0</v>
      </c>
      <c r="E395" s="9">
        <f>'Model inputs'!E422*'Model inputs'!AJ142+0*'Model inputs'!AJ131</f>
        <v>0</v>
      </c>
      <c r="F395" s="9">
        <f>'Model inputs'!F422*'Model inputs'!AJ142+0*'Model inputs'!AJ131</f>
        <v>0</v>
      </c>
      <c r="G395" s="9">
        <f>'Model inputs'!G422*'Model inputs'!AJ142+0*'Model inputs'!AJ131</f>
        <v>0</v>
      </c>
      <c r="H395" s="9">
        <f>'Model inputs'!H422*'Model inputs'!AJ142+0*'Model inputs'!AJ131</f>
        <v>0</v>
      </c>
      <c r="I395" s="9">
        <f>'Model inputs'!I422*'Model inputs'!AJ142+0*'Model inputs'!AJ131</f>
        <v>0</v>
      </c>
      <c r="J395" s="9">
        <f>'Model inputs'!J422*'Model inputs'!AJ142+0*'Model inputs'!AJ131</f>
        <v>0</v>
      </c>
      <c r="K395" s="9">
        <f>'Model inputs'!K422*'Model inputs'!AJ142+0*'Model inputs'!AJ131</f>
        <v>0</v>
      </c>
      <c r="L395" s="9">
        <f>'Model inputs'!L422*'Model inputs'!AJ142+0*'Model inputs'!AJ131</f>
        <v>0</v>
      </c>
      <c r="M395" s="9">
        <f>'Model inputs'!M422*'Model inputs'!AJ142+0*'Model inputs'!AJ131</f>
        <v>0</v>
      </c>
      <c r="N395" s="9">
        <f>'Model inputs'!N422*'Model inputs'!AJ142+'Model inputs'!B395*'Model inputs'!AJ131</f>
        <v>0</v>
      </c>
      <c r="O395" s="9">
        <f>'Model inputs'!O422*'Model inputs'!AJ142+'Model inputs'!C395*'Model inputs'!AJ131</f>
        <v>0</v>
      </c>
      <c r="P395" s="9">
        <f>'Model inputs'!P422*'Model inputs'!AJ142+'Model inputs'!D395*'Model inputs'!AJ131</f>
        <v>0</v>
      </c>
      <c r="Q395" s="9">
        <f>'Model inputs'!Q422*'Model inputs'!AJ142+'Model inputs'!E395*'Model inputs'!AJ131</f>
        <v>250000</v>
      </c>
      <c r="R395" s="9">
        <f>'Model inputs'!R422*'Model inputs'!AJ142+'Model inputs'!F395*'Model inputs'!AJ131</f>
        <v>0</v>
      </c>
      <c r="S395" s="9">
        <f>'Model inputs'!S422*'Model inputs'!AJ142+'Model inputs'!G395*'Model inputs'!AJ131</f>
        <v>0</v>
      </c>
      <c r="T395" s="9">
        <f>'Model inputs'!T422*'Model inputs'!AJ142+'Model inputs'!H395*'Model inputs'!AJ131</f>
        <v>250000</v>
      </c>
      <c r="U395" s="9">
        <f>'Model inputs'!U422*'Model inputs'!AJ142+'Model inputs'!I395*'Model inputs'!AJ131</f>
        <v>0</v>
      </c>
      <c r="V395" s="9">
        <f>'Model inputs'!V422*'Model inputs'!AJ142+'Model inputs'!J395*'Model inputs'!AJ131</f>
        <v>0</v>
      </c>
      <c r="W395" s="9">
        <f>'Model inputs'!W422*'Model inputs'!AJ142+'Model inputs'!K395*'Model inputs'!AJ131</f>
        <v>250000</v>
      </c>
      <c r="X395" s="9">
        <f>'Model inputs'!X422*'Model inputs'!AJ142+'Model inputs'!L395*'Model inputs'!AJ131</f>
        <v>0</v>
      </c>
      <c r="Y395" s="9">
        <f>'Model inputs'!Y422*'Model inputs'!AJ142+'Model inputs'!M395*'Model inputs'!AJ131</f>
        <v>0</v>
      </c>
      <c r="Z395" s="9">
        <f>'Model inputs'!Z422*'Model inputs'!AJ142+'Model inputs'!N395*'Model inputs'!AJ131</f>
        <v>250000</v>
      </c>
      <c r="AA395" s="9">
        <f>'Model inputs'!AA422*'Model inputs'!AJ142+'Model inputs'!O395*'Model inputs'!AJ131</f>
        <v>0</v>
      </c>
      <c r="AB395" s="9">
        <f>'Model inputs'!AB422*'Model inputs'!AJ142+'Model inputs'!P395*'Model inputs'!AJ131</f>
        <v>0</v>
      </c>
      <c r="AC395" s="9">
        <f>'Model inputs'!AC422*'Model inputs'!AJ142+'Model inputs'!Q395*'Model inputs'!AJ131</f>
        <v>500000</v>
      </c>
      <c r="AD395" s="9">
        <f>'Model inputs'!AD422*'Model inputs'!AJ142+'Model inputs'!R395*'Model inputs'!AJ131</f>
        <v>0</v>
      </c>
      <c r="AE395" s="9">
        <f>'Model inputs'!AE422*'Model inputs'!AJ142+'Model inputs'!S395*'Model inputs'!AJ131</f>
        <v>0</v>
      </c>
      <c r="AF395" s="9">
        <f>'Model inputs'!AF422*'Model inputs'!AJ142+'Model inputs'!T395*'Model inputs'!AJ131</f>
        <v>500000</v>
      </c>
      <c r="AG395" s="9">
        <f>'Model inputs'!AG422*'Model inputs'!AJ142+'Model inputs'!U395*'Model inputs'!AJ131</f>
        <v>0</v>
      </c>
      <c r="AH395" s="9">
        <f>'Model inputs'!AH422*'Model inputs'!AJ142+'Model inputs'!V395*'Model inputs'!AJ131</f>
        <v>250000</v>
      </c>
      <c r="AI395" s="9">
        <f>'Model inputs'!AI422*'Model inputs'!AJ142+'Model inputs'!W395*'Model inputs'!AJ131</f>
        <v>500000</v>
      </c>
    </row>
    <row r="396">
      <c r="A396" t="inlineStr" s="13">
        <is>
          <t xml:space="preserve">Haq District onboarding · Haq Ending cash · Main Scenario · Main Scenario</t>
        </is>
      </c>
      <c r="B396" s="9">
        <f>'Model inputs'!B420*'Model inputs'!AJ50</f>
        <v>0</v>
      </c>
      <c r="C396" s="9">
        <f>'Model inputs'!C420*'Model inputs'!AJ50</f>
        <v>0</v>
      </c>
      <c r="D396" s="9">
        <f>'Model inputs'!D420*'Model inputs'!AJ50</f>
        <v>0</v>
      </c>
      <c r="E396" s="9">
        <f>'Model inputs'!E420*'Model inputs'!AJ50</f>
        <v>0</v>
      </c>
      <c r="F396" s="9">
        <f>'Model inputs'!F420*'Model inputs'!AJ50</f>
        <v>0</v>
      </c>
      <c r="G396" s="9">
        <f>'Model inputs'!G420*'Model inputs'!AJ50</f>
        <v>0</v>
      </c>
      <c r="H396" s="9">
        <f>'Model inputs'!H420*'Model inputs'!AJ50</f>
        <v>0</v>
      </c>
      <c r="I396" s="9">
        <f>'Model inputs'!I420*'Model inputs'!AJ50</f>
        <v>0</v>
      </c>
      <c r="J396" s="9">
        <f>'Model inputs'!J420*'Model inputs'!AJ50</f>
        <v>0</v>
      </c>
      <c r="K396" s="9">
        <f>'Model inputs'!K420*'Model inputs'!AJ50</f>
        <v>0</v>
      </c>
      <c r="L396" s="9">
        <f>'Model inputs'!L420*'Model inputs'!AJ50</f>
        <v>0</v>
      </c>
      <c r="M396" s="9">
        <f>'Model inputs'!M420*'Model inputs'!AJ50</f>
        <v>0</v>
      </c>
      <c r="N396" s="9">
        <f>'Model inputs'!N420*'Model inputs'!AJ50</f>
        <v>0</v>
      </c>
      <c r="O396" s="9">
        <f>'Model inputs'!O420*'Model inputs'!AJ50</f>
        <v>0</v>
      </c>
      <c r="P396" s="9">
        <f>'Model inputs'!P420*'Model inputs'!AJ50</f>
        <v>0</v>
      </c>
      <c r="Q396" s="9">
        <f>'Model inputs'!Q420*'Model inputs'!AJ50</f>
        <v>100000</v>
      </c>
      <c r="R396" s="9">
        <f>'Model inputs'!R420*'Model inputs'!AJ50</f>
        <v>0</v>
      </c>
      <c r="S396" s="9">
        <f>'Model inputs'!S420*'Model inputs'!AJ50</f>
        <v>0</v>
      </c>
      <c r="T396" s="9">
        <f>'Model inputs'!T420*'Model inputs'!AJ50</f>
        <v>100000</v>
      </c>
      <c r="U396" s="9">
        <f>'Model inputs'!U420*'Model inputs'!AJ50</f>
        <v>0</v>
      </c>
      <c r="V396" s="9">
        <f>'Model inputs'!V420*'Model inputs'!AJ50</f>
        <v>0</v>
      </c>
      <c r="W396" s="9">
        <f>'Model inputs'!W420*'Model inputs'!AJ50</f>
        <v>100000</v>
      </c>
      <c r="X396" s="9">
        <f>'Model inputs'!X420*'Model inputs'!AJ50</f>
        <v>0</v>
      </c>
      <c r="Y396" s="9">
        <f>'Model inputs'!Y420*'Model inputs'!AJ50</f>
        <v>0</v>
      </c>
      <c r="Z396" s="9">
        <f>'Model inputs'!Z420*'Model inputs'!AJ50</f>
        <v>100000</v>
      </c>
      <c r="AA396" s="9">
        <f>'Model inputs'!AA420*'Model inputs'!AJ50</f>
        <v>0</v>
      </c>
      <c r="AB396" s="9">
        <f>'Model inputs'!AB420*'Model inputs'!AJ50</f>
        <v>0</v>
      </c>
      <c r="AC396" s="9">
        <f>'Model inputs'!AC420*'Model inputs'!AJ50</f>
        <v>100000</v>
      </c>
      <c r="AD396" s="9">
        <f>'Model inputs'!AD420*'Model inputs'!AJ50</f>
        <v>0</v>
      </c>
      <c r="AE396" s="9">
        <f>'Model inputs'!AE420*'Model inputs'!AJ50</f>
        <v>0</v>
      </c>
      <c r="AF396" s="9">
        <f>'Model inputs'!AF420*'Model inputs'!AJ50</f>
        <v>100000</v>
      </c>
      <c r="AG396" s="9">
        <f>'Model inputs'!AG420*'Model inputs'!AJ50</f>
        <v>0</v>
      </c>
      <c r="AH396" s="9">
        <f>'Model inputs'!AH420*'Model inputs'!AJ50</f>
        <v>100000</v>
      </c>
      <c r="AI396" s="9">
        <f>'Model inputs'!AI420*'Model inputs'!AJ50</f>
        <v>100000</v>
      </c>
    </row>
    <row r="397">
      <c r="A397" t="inlineStr" s="13">
        <is>
          <t xml:space="preserve">Haq District onboarding · Haq Ending cash · Growth · Growth</t>
        </is>
      </c>
      <c r="B397" s="9">
        <f>'Model inputs'!B421*'Model inputs'!AJ106</f>
        <v>0</v>
      </c>
      <c r="C397" s="9">
        <f>'Model inputs'!C421*'Model inputs'!AJ106</f>
        <v>0</v>
      </c>
      <c r="D397" s="9">
        <f>'Model inputs'!D421*'Model inputs'!AJ106</f>
        <v>0</v>
      </c>
      <c r="E397" s="9">
        <f>'Model inputs'!E421*'Model inputs'!AJ106</f>
        <v>0</v>
      </c>
      <c r="F397" s="9">
        <f>'Model inputs'!F421*'Model inputs'!AJ106</f>
        <v>0</v>
      </c>
      <c r="G397" s="9">
        <f>'Model inputs'!G421*'Model inputs'!AJ106</f>
        <v>0</v>
      </c>
      <c r="H397" s="9">
        <f>'Model inputs'!H421*'Model inputs'!AJ106</f>
        <v>0</v>
      </c>
      <c r="I397" s="9">
        <f>'Model inputs'!I421*'Model inputs'!AJ106</f>
        <v>0</v>
      </c>
      <c r="J397" s="9">
        <f>'Model inputs'!J421*'Model inputs'!AJ106</f>
        <v>0</v>
      </c>
      <c r="K397" s="9">
        <f>'Model inputs'!K421*'Model inputs'!AJ106</f>
        <v>0</v>
      </c>
      <c r="L397" s="9">
        <f>'Model inputs'!L421*'Model inputs'!AJ106</f>
        <v>0</v>
      </c>
      <c r="M397" s="9">
        <f>'Model inputs'!M421*'Model inputs'!AJ106</f>
        <v>0</v>
      </c>
      <c r="N397" s="9">
        <f>'Model inputs'!N421*'Model inputs'!AJ106</f>
        <v>0</v>
      </c>
      <c r="O397" s="9">
        <f>'Model inputs'!O421*'Model inputs'!AJ106</f>
        <v>0</v>
      </c>
      <c r="P397" s="9">
        <f>'Model inputs'!P421*'Model inputs'!AJ106</f>
        <v>0</v>
      </c>
      <c r="Q397" s="9">
        <f>'Model inputs'!Q421*'Model inputs'!AJ106</f>
        <v>200000</v>
      </c>
      <c r="R397" s="9">
        <f>'Model inputs'!R421*'Model inputs'!AJ106</f>
        <v>0</v>
      </c>
      <c r="S397" s="9">
        <f>'Model inputs'!S421*'Model inputs'!AJ106</f>
        <v>0</v>
      </c>
      <c r="T397" s="9">
        <f>'Model inputs'!T421*'Model inputs'!AJ106</f>
        <v>200000</v>
      </c>
      <c r="U397" s="9">
        <f>'Model inputs'!U421*'Model inputs'!AJ106</f>
        <v>0</v>
      </c>
      <c r="V397" s="9">
        <f>'Model inputs'!V421*'Model inputs'!AJ106</f>
        <v>0</v>
      </c>
      <c r="W397" s="9">
        <f>'Model inputs'!W421*'Model inputs'!AJ106</f>
        <v>200000</v>
      </c>
      <c r="X397" s="9">
        <f>'Model inputs'!X421*'Model inputs'!AJ106</f>
        <v>0</v>
      </c>
      <c r="Y397" s="9">
        <f>'Model inputs'!Y421*'Model inputs'!AJ106</f>
        <v>0</v>
      </c>
      <c r="Z397" s="9">
        <f>'Model inputs'!Z421*'Model inputs'!AJ106</f>
        <v>200000</v>
      </c>
      <c r="AA397" s="9">
        <f>'Model inputs'!AA421*'Model inputs'!AJ106</f>
        <v>0</v>
      </c>
      <c r="AB397" s="9">
        <f>'Model inputs'!AB421*'Model inputs'!AJ106</f>
        <v>0</v>
      </c>
      <c r="AC397" s="9">
        <f>'Model inputs'!AC421*'Model inputs'!AJ106</f>
        <v>200000</v>
      </c>
      <c r="AD397" s="9">
        <f>'Model inputs'!AD421*'Model inputs'!AJ106</f>
        <v>0</v>
      </c>
      <c r="AE397" s="9">
        <f>'Model inputs'!AE421*'Model inputs'!AJ106</f>
        <v>0</v>
      </c>
      <c r="AF397" s="9">
        <f>'Model inputs'!AF421*'Model inputs'!AJ106</f>
        <v>200000</v>
      </c>
      <c r="AG397" s="9">
        <f>'Model inputs'!AG421*'Model inputs'!AJ106</f>
        <v>0</v>
      </c>
      <c r="AH397" s="9">
        <f>'Model inputs'!AH421*'Model inputs'!AJ106</f>
        <v>200000</v>
      </c>
      <c r="AI397" s="9">
        <f>'Model inputs'!AI421*'Model inputs'!AJ106</f>
        <v>200000</v>
      </c>
    </row>
    <row r="398">
      <c r="A398" t="inlineStr" s="13">
        <is>
          <t xml:space="preserve">Haq District onboarding · Haq Ending cash · Conservative · Conservative</t>
        </is>
      </c>
      <c r="B398" s="9">
        <f>'Model inputs'!B422*'Model inputs'!AJ162</f>
        <v>0</v>
      </c>
      <c r="C398" s="9">
        <f>'Model inputs'!C422*'Model inputs'!AJ162</f>
        <v>0</v>
      </c>
      <c r="D398" s="9">
        <f>'Model inputs'!D422*'Model inputs'!AJ162</f>
        <v>0</v>
      </c>
      <c r="E398" s="9">
        <f>'Model inputs'!E422*'Model inputs'!AJ162</f>
        <v>0</v>
      </c>
      <c r="F398" s="9">
        <f>'Model inputs'!F422*'Model inputs'!AJ162</f>
        <v>0</v>
      </c>
      <c r="G398" s="9">
        <f>'Model inputs'!G422*'Model inputs'!AJ162</f>
        <v>0</v>
      </c>
      <c r="H398" s="9">
        <f>'Model inputs'!H422*'Model inputs'!AJ162</f>
        <v>0</v>
      </c>
      <c r="I398" s="9">
        <f>'Model inputs'!I422*'Model inputs'!AJ162</f>
        <v>0</v>
      </c>
      <c r="J398" s="9">
        <f>'Model inputs'!J422*'Model inputs'!AJ162</f>
        <v>0</v>
      </c>
      <c r="K398" s="9">
        <f>'Model inputs'!K422*'Model inputs'!AJ162</f>
        <v>0</v>
      </c>
      <c r="L398" s="9">
        <f>'Model inputs'!L422*'Model inputs'!AJ162</f>
        <v>0</v>
      </c>
      <c r="M398" s="9">
        <f>'Model inputs'!M422*'Model inputs'!AJ162</f>
        <v>0</v>
      </c>
      <c r="N398" s="9">
        <f>'Model inputs'!N422*'Model inputs'!AJ162</f>
        <v>0</v>
      </c>
      <c r="O398" s="9">
        <f>'Model inputs'!O422*'Model inputs'!AJ162</f>
        <v>0</v>
      </c>
      <c r="P398" s="9">
        <f>'Model inputs'!P422*'Model inputs'!AJ162</f>
        <v>0</v>
      </c>
      <c r="Q398" s="9">
        <f>'Model inputs'!Q422*'Model inputs'!AJ162</f>
        <v>50000</v>
      </c>
      <c r="R398" s="9">
        <f>'Model inputs'!R422*'Model inputs'!AJ162</f>
        <v>0</v>
      </c>
      <c r="S398" s="9">
        <f>'Model inputs'!S422*'Model inputs'!AJ162</f>
        <v>0</v>
      </c>
      <c r="T398" s="9">
        <f>'Model inputs'!T422*'Model inputs'!AJ162</f>
        <v>50000</v>
      </c>
      <c r="U398" s="9">
        <f>'Model inputs'!U422*'Model inputs'!AJ162</f>
        <v>0</v>
      </c>
      <c r="V398" s="9">
        <f>'Model inputs'!V422*'Model inputs'!AJ162</f>
        <v>0</v>
      </c>
      <c r="W398" s="9">
        <f>'Model inputs'!W422*'Model inputs'!AJ162</f>
        <v>50000</v>
      </c>
      <c r="X398" s="9">
        <f>'Model inputs'!X422*'Model inputs'!AJ162</f>
        <v>0</v>
      </c>
      <c r="Y398" s="9">
        <f>'Model inputs'!Y422*'Model inputs'!AJ162</f>
        <v>0</v>
      </c>
      <c r="Z398" s="9">
        <f>'Model inputs'!Z422*'Model inputs'!AJ162</f>
        <v>50000</v>
      </c>
      <c r="AA398" s="9">
        <f>'Model inputs'!AA422*'Model inputs'!AJ162</f>
        <v>0</v>
      </c>
      <c r="AB398" s="9">
        <f>'Model inputs'!AB422*'Model inputs'!AJ162</f>
        <v>0</v>
      </c>
      <c r="AC398" s="9">
        <f>'Model inputs'!AC422*'Model inputs'!AJ162</f>
        <v>50000</v>
      </c>
      <c r="AD398" s="9">
        <f>'Model inputs'!AD422*'Model inputs'!AJ162</f>
        <v>0</v>
      </c>
      <c r="AE398" s="9">
        <f>'Model inputs'!AE422*'Model inputs'!AJ162</f>
        <v>0</v>
      </c>
      <c r="AF398" s="9">
        <f>'Model inputs'!AF422*'Model inputs'!AJ162</f>
        <v>50000</v>
      </c>
      <c r="AG398" s="9">
        <f>'Model inputs'!AG422*'Model inputs'!AJ162</f>
        <v>0</v>
      </c>
      <c r="AH398" s="9">
        <f>'Model inputs'!AH422*'Model inputs'!AJ162</f>
        <v>50000</v>
      </c>
      <c r="AI398" s="9">
        <f>'Model inputs'!AI422*'Model inputs'!AJ162</f>
        <v>50000</v>
      </c>
    </row>
    <row r="399">
      <c r="A399" t="inlineStr" s="13">
        <is>
          <t xml:space="preserve">Haq Employer receipts · Haq Ending cash · Main Scenario · Main Scenario</t>
        </is>
      </c>
      <c r="B399" s="9">
        <f>'Model inputs'!B432*'Model inputs'!AJ51+0*'Model inputs'!AJ19</f>
        <v>0</v>
      </c>
      <c r="C399" s="9">
        <f>'Model inputs'!C432*'Model inputs'!AJ51+0*'Model inputs'!AJ19</f>
        <v>0</v>
      </c>
      <c r="D399" s="9">
        <f>'Model inputs'!D432*'Model inputs'!AJ51+0*'Model inputs'!AJ19</f>
        <v>0</v>
      </c>
      <c r="E399" s="9">
        <f>'Model inputs'!E432*'Model inputs'!AJ51+0*'Model inputs'!AJ19</f>
        <v>0</v>
      </c>
      <c r="F399" s="9">
        <f>'Model inputs'!F432*'Model inputs'!AJ51+0*'Model inputs'!AJ19</f>
        <v>0</v>
      </c>
      <c r="G399" s="9">
        <f>'Model inputs'!G432*'Model inputs'!AJ51+0*'Model inputs'!AJ19</f>
        <v>0</v>
      </c>
      <c r="H399" s="9">
        <f>'Model inputs'!H432*'Model inputs'!AJ51+0*'Model inputs'!AJ19</f>
        <v>0</v>
      </c>
      <c r="I399" s="9">
        <f>'Model inputs'!I432*'Model inputs'!AJ51+0*'Model inputs'!AJ19</f>
        <v>0</v>
      </c>
      <c r="J399" s="9">
        <f>'Model inputs'!J432*'Model inputs'!AJ51+0*'Model inputs'!AJ19</f>
        <v>0</v>
      </c>
      <c r="K399" s="9">
        <f>'Model inputs'!K432*'Model inputs'!AJ51+0*'Model inputs'!AJ19</f>
        <v>0</v>
      </c>
      <c r="L399" s="9">
        <f>'Model inputs'!L432*'Model inputs'!AJ51+0*'Model inputs'!AJ19</f>
        <v>0</v>
      </c>
      <c r="M399" s="9">
        <f>'Model inputs'!M432*'Model inputs'!AJ51+0*'Model inputs'!AJ19</f>
        <v>0</v>
      </c>
      <c r="N399" s="9">
        <f>'Model inputs'!N432*'Model inputs'!AJ51+'Model inputs'!B399*'Model inputs'!AJ19</f>
        <v>0</v>
      </c>
      <c r="O399" s="9">
        <f>'Model inputs'!O432*'Model inputs'!AJ51+'Model inputs'!C399*'Model inputs'!AJ19</f>
        <v>0</v>
      </c>
      <c r="P399" s="9">
        <f>'Model inputs'!P432*'Model inputs'!AJ51+'Model inputs'!D399*'Model inputs'!AJ19</f>
        <v>0</v>
      </c>
      <c r="Q399" s="9">
        <f>'Model inputs'!Q432*'Model inputs'!AJ51+'Model inputs'!E399*'Model inputs'!AJ19</f>
        <v>0</v>
      </c>
      <c r="R399" s="9">
        <f>'Model inputs'!R432*'Model inputs'!AJ51+'Model inputs'!F399*'Model inputs'!AJ19</f>
        <v>0</v>
      </c>
      <c r="S399" s="9">
        <f>'Model inputs'!S432*'Model inputs'!AJ51+'Model inputs'!G399*'Model inputs'!AJ19</f>
        <v>0</v>
      </c>
      <c r="T399" s="9">
        <f>'Model inputs'!T432*'Model inputs'!AJ51+'Model inputs'!H399*'Model inputs'!AJ19</f>
        <v>500000</v>
      </c>
      <c r="U399" s="9">
        <f>'Model inputs'!U432*'Model inputs'!AJ51+'Model inputs'!I399*'Model inputs'!AJ19</f>
        <v>0</v>
      </c>
      <c r="V399" s="9">
        <f>'Model inputs'!V432*'Model inputs'!AJ51+'Model inputs'!J399*'Model inputs'!AJ19</f>
        <v>0</v>
      </c>
      <c r="W399" s="9">
        <f>'Model inputs'!W432*'Model inputs'!AJ51+'Model inputs'!K399*'Model inputs'!AJ19</f>
        <v>500000</v>
      </c>
      <c r="X399" s="9">
        <f>'Model inputs'!X432*'Model inputs'!AJ51+'Model inputs'!L399*'Model inputs'!AJ19</f>
        <v>0</v>
      </c>
      <c r="Y399" s="9">
        <f>'Model inputs'!Y432*'Model inputs'!AJ51+'Model inputs'!M399*'Model inputs'!AJ19</f>
        <v>0</v>
      </c>
      <c r="Z399" s="9">
        <f>'Model inputs'!Z432*'Model inputs'!AJ51+'Model inputs'!N399*'Model inputs'!AJ19</f>
        <v>0</v>
      </c>
      <c r="AA399" s="9">
        <f>'Model inputs'!AA432*'Model inputs'!AJ51+'Model inputs'!O399*'Model inputs'!AJ19</f>
        <v>0</v>
      </c>
      <c r="AB399" s="9">
        <f>'Model inputs'!AB432*'Model inputs'!AJ51+'Model inputs'!P399*'Model inputs'!AJ19</f>
        <v>0</v>
      </c>
      <c r="AC399" s="9">
        <f>'Model inputs'!AC432*'Model inputs'!AJ51+'Model inputs'!Q399*'Model inputs'!AJ19</f>
        <v>750000</v>
      </c>
      <c r="AD399" s="9">
        <f>'Model inputs'!AD432*'Model inputs'!AJ51+'Model inputs'!R399*'Model inputs'!AJ19</f>
        <v>0</v>
      </c>
      <c r="AE399" s="9">
        <f>'Model inputs'!AE432*'Model inputs'!AJ51+'Model inputs'!S399*'Model inputs'!AJ19</f>
        <v>0</v>
      </c>
      <c r="AF399" s="9">
        <f>'Model inputs'!AF432*'Model inputs'!AJ51+'Model inputs'!T399*'Model inputs'!AJ19</f>
        <v>500000</v>
      </c>
      <c r="AG399" s="9">
        <f>'Model inputs'!AG432*'Model inputs'!AJ51+'Model inputs'!U399*'Model inputs'!AJ19</f>
        <v>0</v>
      </c>
      <c r="AH399" s="9">
        <f>'Model inputs'!AH432*'Model inputs'!AJ51+'Model inputs'!V399*'Model inputs'!AJ19</f>
        <v>0</v>
      </c>
      <c r="AI399" s="9">
        <f>'Model inputs'!AI432*'Model inputs'!AJ51+'Model inputs'!W399*'Model inputs'!AJ19</f>
        <v>1250000</v>
      </c>
    </row>
    <row r="400">
      <c r="A400" t="inlineStr" s="13">
        <is>
          <t xml:space="preserve">Haq Employer receipts · Haq Ending cash · Growth · Growth</t>
        </is>
      </c>
      <c r="B400" s="9">
        <f>'Model inputs'!B433*'Model inputs'!AJ107+0*'Model inputs'!AJ75</f>
        <v>0</v>
      </c>
      <c r="C400" s="9">
        <f>'Model inputs'!C433*'Model inputs'!AJ107+0*'Model inputs'!AJ75</f>
        <v>0</v>
      </c>
      <c r="D400" s="9">
        <f>'Model inputs'!D433*'Model inputs'!AJ107+0*'Model inputs'!AJ75</f>
        <v>0</v>
      </c>
      <c r="E400" s="9">
        <f>'Model inputs'!E433*'Model inputs'!AJ107+0*'Model inputs'!AJ75</f>
        <v>0</v>
      </c>
      <c r="F400" s="9">
        <f>'Model inputs'!F433*'Model inputs'!AJ107+0*'Model inputs'!AJ75</f>
        <v>0</v>
      </c>
      <c r="G400" s="9">
        <f>'Model inputs'!G433*'Model inputs'!AJ107+0*'Model inputs'!AJ75</f>
        <v>0</v>
      </c>
      <c r="H400" s="9">
        <f>'Model inputs'!H433*'Model inputs'!AJ107+0*'Model inputs'!AJ75</f>
        <v>0</v>
      </c>
      <c r="I400" s="9">
        <f>'Model inputs'!I433*'Model inputs'!AJ107+0*'Model inputs'!AJ75</f>
        <v>0</v>
      </c>
      <c r="J400" s="9">
        <f>'Model inputs'!J433*'Model inputs'!AJ107+0*'Model inputs'!AJ75</f>
        <v>0</v>
      </c>
      <c r="K400" s="9">
        <f>'Model inputs'!K433*'Model inputs'!AJ107+0*'Model inputs'!AJ75</f>
        <v>0</v>
      </c>
      <c r="L400" s="9">
        <f>'Model inputs'!L433*'Model inputs'!AJ107+0*'Model inputs'!AJ75</f>
        <v>0</v>
      </c>
      <c r="M400" s="9">
        <f>'Model inputs'!M433*'Model inputs'!AJ107+0*'Model inputs'!AJ75</f>
        <v>0</v>
      </c>
      <c r="N400" s="9">
        <f>'Model inputs'!N433*'Model inputs'!AJ107+'Model inputs'!B400*'Model inputs'!AJ75</f>
        <v>0</v>
      </c>
      <c r="O400" s="9">
        <f>'Model inputs'!O433*'Model inputs'!AJ107+'Model inputs'!C400*'Model inputs'!AJ75</f>
        <v>0</v>
      </c>
      <c r="P400" s="9">
        <f>'Model inputs'!P433*'Model inputs'!AJ107+'Model inputs'!D400*'Model inputs'!AJ75</f>
        <v>0</v>
      </c>
      <c r="Q400" s="9">
        <f>'Model inputs'!Q433*'Model inputs'!AJ107+'Model inputs'!E400*'Model inputs'!AJ75</f>
        <v>0</v>
      </c>
      <c r="R400" s="9">
        <f>'Model inputs'!R433*'Model inputs'!AJ107+'Model inputs'!F400*'Model inputs'!AJ75</f>
        <v>0</v>
      </c>
      <c r="S400" s="9">
        <f>'Model inputs'!S433*'Model inputs'!AJ107+'Model inputs'!G400*'Model inputs'!AJ75</f>
        <v>0</v>
      </c>
      <c r="T400" s="9">
        <f>'Model inputs'!T433*'Model inputs'!AJ107+'Model inputs'!H400*'Model inputs'!AJ75</f>
        <v>1000000</v>
      </c>
      <c r="U400" s="9">
        <f>'Model inputs'!U433*'Model inputs'!AJ107+'Model inputs'!I400*'Model inputs'!AJ75</f>
        <v>0</v>
      </c>
      <c r="V400" s="9">
        <f>'Model inputs'!V433*'Model inputs'!AJ107+'Model inputs'!J400*'Model inputs'!AJ75</f>
        <v>0</v>
      </c>
      <c r="W400" s="9">
        <f>'Model inputs'!W433*'Model inputs'!AJ107+'Model inputs'!K400*'Model inputs'!AJ75</f>
        <v>1000000</v>
      </c>
      <c r="X400" s="9">
        <f>'Model inputs'!X433*'Model inputs'!AJ107+'Model inputs'!L400*'Model inputs'!AJ75</f>
        <v>0</v>
      </c>
      <c r="Y400" s="9">
        <f>'Model inputs'!Y433*'Model inputs'!AJ107+'Model inputs'!M400*'Model inputs'!AJ75</f>
        <v>0</v>
      </c>
      <c r="Z400" s="9">
        <f>'Model inputs'!Z433*'Model inputs'!AJ107+'Model inputs'!N400*'Model inputs'!AJ75</f>
        <v>0</v>
      </c>
      <c r="AA400" s="9">
        <f>'Model inputs'!AA433*'Model inputs'!AJ107+'Model inputs'!O400*'Model inputs'!AJ75</f>
        <v>0</v>
      </c>
      <c r="AB400" s="9">
        <f>'Model inputs'!AB433*'Model inputs'!AJ107+'Model inputs'!P400*'Model inputs'!AJ75</f>
        <v>0</v>
      </c>
      <c r="AC400" s="9">
        <f>'Model inputs'!AC433*'Model inputs'!AJ107+'Model inputs'!Q400*'Model inputs'!AJ75</f>
        <v>1500000</v>
      </c>
      <c r="AD400" s="9">
        <f>'Model inputs'!AD433*'Model inputs'!AJ107+'Model inputs'!R400*'Model inputs'!AJ75</f>
        <v>0</v>
      </c>
      <c r="AE400" s="9">
        <f>'Model inputs'!AE433*'Model inputs'!AJ107+'Model inputs'!S400*'Model inputs'!AJ75</f>
        <v>0</v>
      </c>
      <c r="AF400" s="9">
        <f>'Model inputs'!AF433*'Model inputs'!AJ107+'Model inputs'!T400*'Model inputs'!AJ75</f>
        <v>1000000</v>
      </c>
      <c r="AG400" s="9">
        <f>'Model inputs'!AG433*'Model inputs'!AJ107+'Model inputs'!U400*'Model inputs'!AJ75</f>
        <v>0</v>
      </c>
      <c r="AH400" s="9">
        <f>'Model inputs'!AH433*'Model inputs'!AJ107+'Model inputs'!V400*'Model inputs'!AJ75</f>
        <v>0</v>
      </c>
      <c r="AI400" s="9">
        <f>'Model inputs'!AI433*'Model inputs'!AJ107+'Model inputs'!W400*'Model inputs'!AJ75</f>
        <v>2500000</v>
      </c>
    </row>
    <row r="401">
      <c r="A401" t="inlineStr" s="13">
        <is>
          <t xml:space="preserve">Haq Employer receipts · Haq Ending cash · Conservative · Conservative</t>
        </is>
      </c>
      <c r="B401" s="9">
        <f>'Model inputs'!B434*'Model inputs'!AJ163+0*'Model inputs'!AJ131</f>
        <v>0</v>
      </c>
      <c r="C401" s="9">
        <f>'Model inputs'!C434*'Model inputs'!AJ163+0*'Model inputs'!AJ131</f>
        <v>0</v>
      </c>
      <c r="D401" s="9">
        <f>'Model inputs'!D434*'Model inputs'!AJ163+0*'Model inputs'!AJ131</f>
        <v>0</v>
      </c>
      <c r="E401" s="9">
        <f>'Model inputs'!E434*'Model inputs'!AJ163+0*'Model inputs'!AJ131</f>
        <v>0</v>
      </c>
      <c r="F401" s="9">
        <f>'Model inputs'!F434*'Model inputs'!AJ163+0*'Model inputs'!AJ131</f>
        <v>0</v>
      </c>
      <c r="G401" s="9">
        <f>'Model inputs'!G434*'Model inputs'!AJ163+0*'Model inputs'!AJ131</f>
        <v>0</v>
      </c>
      <c r="H401" s="9">
        <f>'Model inputs'!H434*'Model inputs'!AJ163+0*'Model inputs'!AJ131</f>
        <v>0</v>
      </c>
      <c r="I401" s="9">
        <f>'Model inputs'!I434*'Model inputs'!AJ163+0*'Model inputs'!AJ131</f>
        <v>0</v>
      </c>
      <c r="J401" s="9">
        <f>'Model inputs'!J434*'Model inputs'!AJ163+0*'Model inputs'!AJ131</f>
        <v>0</v>
      </c>
      <c r="K401" s="9">
        <f>'Model inputs'!K434*'Model inputs'!AJ163+0*'Model inputs'!AJ131</f>
        <v>0</v>
      </c>
      <c r="L401" s="9">
        <f>'Model inputs'!L434*'Model inputs'!AJ163+0*'Model inputs'!AJ131</f>
        <v>0</v>
      </c>
      <c r="M401" s="9">
        <f>'Model inputs'!M434*'Model inputs'!AJ163+0*'Model inputs'!AJ131</f>
        <v>0</v>
      </c>
      <c r="N401" s="9">
        <f>'Model inputs'!N434*'Model inputs'!AJ163+'Model inputs'!B401*'Model inputs'!AJ131</f>
        <v>0</v>
      </c>
      <c r="O401" s="9">
        <f>'Model inputs'!O434*'Model inputs'!AJ163+'Model inputs'!C401*'Model inputs'!AJ131</f>
        <v>0</v>
      </c>
      <c r="P401" s="9">
        <f>'Model inputs'!P434*'Model inputs'!AJ163+'Model inputs'!D401*'Model inputs'!AJ131</f>
        <v>0</v>
      </c>
      <c r="Q401" s="9">
        <f>'Model inputs'!Q434*'Model inputs'!AJ163+'Model inputs'!E401*'Model inputs'!AJ131</f>
        <v>0</v>
      </c>
      <c r="R401" s="9">
        <f>'Model inputs'!R434*'Model inputs'!AJ163+'Model inputs'!F401*'Model inputs'!AJ131</f>
        <v>0</v>
      </c>
      <c r="S401" s="9">
        <f>'Model inputs'!S434*'Model inputs'!AJ163+'Model inputs'!G401*'Model inputs'!AJ131</f>
        <v>0</v>
      </c>
      <c r="T401" s="9">
        <f>'Model inputs'!T434*'Model inputs'!AJ163+'Model inputs'!H401*'Model inputs'!AJ131</f>
        <v>250000</v>
      </c>
      <c r="U401" s="9">
        <f>'Model inputs'!U434*'Model inputs'!AJ163+'Model inputs'!I401*'Model inputs'!AJ131</f>
        <v>0</v>
      </c>
      <c r="V401" s="9">
        <f>'Model inputs'!V434*'Model inputs'!AJ163+'Model inputs'!J401*'Model inputs'!AJ131</f>
        <v>0</v>
      </c>
      <c r="W401" s="9">
        <f>'Model inputs'!W434*'Model inputs'!AJ163+'Model inputs'!K401*'Model inputs'!AJ131</f>
        <v>250000</v>
      </c>
      <c r="X401" s="9">
        <f>'Model inputs'!X434*'Model inputs'!AJ163+'Model inputs'!L401*'Model inputs'!AJ131</f>
        <v>0</v>
      </c>
      <c r="Y401" s="9">
        <f>'Model inputs'!Y434*'Model inputs'!AJ163+'Model inputs'!M401*'Model inputs'!AJ131</f>
        <v>0</v>
      </c>
      <c r="Z401" s="9">
        <f>'Model inputs'!Z434*'Model inputs'!AJ163+'Model inputs'!N401*'Model inputs'!AJ131</f>
        <v>0</v>
      </c>
      <c r="AA401" s="9">
        <f>'Model inputs'!AA434*'Model inputs'!AJ163+'Model inputs'!O401*'Model inputs'!AJ131</f>
        <v>0</v>
      </c>
      <c r="AB401" s="9">
        <f>'Model inputs'!AB434*'Model inputs'!AJ163+'Model inputs'!P401*'Model inputs'!AJ131</f>
        <v>0</v>
      </c>
      <c r="AC401" s="9">
        <f>'Model inputs'!AC434*'Model inputs'!AJ163+'Model inputs'!Q401*'Model inputs'!AJ131</f>
        <v>375000</v>
      </c>
      <c r="AD401" s="9">
        <f>'Model inputs'!AD434*'Model inputs'!AJ163+'Model inputs'!R401*'Model inputs'!AJ131</f>
        <v>0</v>
      </c>
      <c r="AE401" s="9">
        <f>'Model inputs'!AE434*'Model inputs'!AJ163+'Model inputs'!S401*'Model inputs'!AJ131</f>
        <v>0</v>
      </c>
      <c r="AF401" s="9">
        <f>'Model inputs'!AF434*'Model inputs'!AJ163+'Model inputs'!T401*'Model inputs'!AJ131</f>
        <v>250000</v>
      </c>
      <c r="AG401" s="9">
        <f>'Model inputs'!AG434*'Model inputs'!AJ163+'Model inputs'!U401*'Model inputs'!AJ131</f>
        <v>0</v>
      </c>
      <c r="AH401" s="9">
        <f>'Model inputs'!AH434*'Model inputs'!AJ163+'Model inputs'!V401*'Model inputs'!AJ131</f>
        <v>0</v>
      </c>
      <c r="AI401" s="9">
        <f>'Model inputs'!AI434*'Model inputs'!AJ163+'Model inputs'!W401*'Model inputs'!AJ131</f>
        <v>625000</v>
      </c>
    </row>
    <row r="402">
      <c r="A402" t="inlineStr" s="13">
        <is>
          <t xml:space="preserve">Haq Marketing · Haq Ending cash · Main Scenario · Main Scenario</t>
        </is>
      </c>
      <c r="B402" s="9">
        <f>IF('Model inputs'!AJ65="","",'Model inputs'!AJ65)</f>
        <v>50000</v>
      </c>
      <c r="C402" s="9">
        <f>IF('Model inputs'!AJ65="","",'Model inputs'!AJ65)</f>
        <v>50000</v>
      </c>
      <c r="D402" s="9">
        <f>IF('Model inputs'!AJ65="","",'Model inputs'!AJ65)</f>
        <v>50000</v>
      </c>
      <c r="E402" s="9">
        <f>IF('Model inputs'!AJ65="","",'Model inputs'!AJ65)</f>
        <v>50000</v>
      </c>
      <c r="F402" s="9">
        <f>IF('Model inputs'!AJ65="","",'Model inputs'!AJ65)</f>
        <v>50000</v>
      </c>
      <c r="G402" s="9">
        <f>IF('Model inputs'!AJ65="","",'Model inputs'!AJ65)</f>
        <v>50000</v>
      </c>
      <c r="H402" s="9">
        <f>IF('Model inputs'!AJ65="","",'Model inputs'!AJ65)</f>
        <v>50000</v>
      </c>
      <c r="I402" s="9">
        <f>IF('Model inputs'!AJ65="","",'Model inputs'!AJ65)</f>
        <v>50000</v>
      </c>
      <c r="J402" s="9">
        <f>IF('Model inputs'!AJ65="","",'Model inputs'!AJ65)</f>
        <v>50000</v>
      </c>
      <c r="K402" s="9">
        <f>IF('Model inputs'!AJ65="","",'Model inputs'!AJ65)</f>
        <v>50000</v>
      </c>
      <c r="L402" s="9">
        <f>IF('Model inputs'!AJ65="","",'Model inputs'!AJ65)</f>
        <v>50000</v>
      </c>
      <c r="M402" s="9">
        <f>IF('Model inputs'!AJ65="","",'Model inputs'!AJ65)</f>
        <v>50000</v>
      </c>
      <c r="N402" s="9">
        <f>IF('Model inputs'!AJ65="","",'Model inputs'!AJ65)</f>
        <v>50000</v>
      </c>
      <c r="O402" s="9">
        <f>IF('Model inputs'!AJ65="","",'Model inputs'!AJ65)</f>
        <v>50000</v>
      </c>
      <c r="P402" s="9">
        <f>IF('Model inputs'!AJ65="","",'Model inputs'!AJ65)</f>
        <v>50000</v>
      </c>
      <c r="Q402" s="9">
        <f>IF('Model inputs'!AJ65="","",'Model inputs'!AJ65)</f>
        <v>50000</v>
      </c>
      <c r="R402" s="9">
        <f>IF('Model inputs'!AJ65="","",'Model inputs'!AJ65)</f>
        <v>50000</v>
      </c>
      <c r="S402" s="9">
        <f>IF('Model inputs'!AJ65="","",'Model inputs'!AJ65)</f>
        <v>50000</v>
      </c>
      <c r="T402" s="9">
        <f>IF('Model inputs'!AJ65="","",'Model inputs'!AJ65)</f>
        <v>50000</v>
      </c>
      <c r="U402" s="9">
        <f>IF('Model inputs'!AJ65="","",'Model inputs'!AJ65)</f>
        <v>50000</v>
      </c>
      <c r="V402" s="9">
        <f>IF('Model inputs'!AJ65="","",'Model inputs'!AJ65)</f>
        <v>50000</v>
      </c>
      <c r="W402" s="9">
        <f>IF('Model inputs'!AJ65="","",'Model inputs'!AJ65)</f>
        <v>50000</v>
      </c>
      <c r="X402" s="9">
        <f>IF('Model inputs'!AJ65="","",'Model inputs'!AJ65)</f>
        <v>50000</v>
      </c>
      <c r="Y402" s="9">
        <f>IF('Model inputs'!AJ65="","",'Model inputs'!AJ65)</f>
        <v>50000</v>
      </c>
      <c r="Z402" s="9">
        <f>IF('Model inputs'!AJ65="","",'Model inputs'!AJ65)</f>
        <v>50000</v>
      </c>
      <c r="AA402" s="9">
        <f>IF('Model inputs'!AJ65="","",'Model inputs'!AJ65)</f>
        <v>50000</v>
      </c>
      <c r="AB402" s="9">
        <f>IF('Model inputs'!AJ65="","",'Model inputs'!AJ65)</f>
        <v>50000</v>
      </c>
      <c r="AC402" s="9">
        <f>IF('Model inputs'!AJ65="","",'Model inputs'!AJ65)</f>
        <v>50000</v>
      </c>
      <c r="AD402" s="9">
        <f>IF('Model inputs'!AJ65="","",'Model inputs'!AJ65)</f>
        <v>50000</v>
      </c>
      <c r="AE402" s="9">
        <f>IF('Model inputs'!AJ65="","",'Model inputs'!AJ65)</f>
        <v>50000</v>
      </c>
      <c r="AF402" s="9">
        <f>IF('Model inputs'!AJ65="","",'Model inputs'!AJ65)</f>
        <v>50000</v>
      </c>
      <c r="AG402" s="9">
        <f>IF('Model inputs'!AJ65="","",'Model inputs'!AJ65)</f>
        <v>50000</v>
      </c>
      <c r="AH402" s="9">
        <f>IF('Model inputs'!AJ65="","",'Model inputs'!AJ65)</f>
        <v>50000</v>
      </c>
      <c r="AI402" s="9">
        <f>IF('Model inputs'!AJ65="","",'Model inputs'!AJ65)</f>
        <v>50000</v>
      </c>
    </row>
    <row r="403">
      <c r="A403" t="inlineStr" s="13">
        <is>
          <t xml:space="preserve">Haq Marketing · Haq Ending cash · Growth · Growth</t>
        </is>
      </c>
      <c r="B403" s="9">
        <f>IF('Model inputs'!AJ121="","",'Model inputs'!AJ121)</f>
        <v>50000</v>
      </c>
      <c r="C403" s="9">
        <f>IF('Model inputs'!AJ121="","",'Model inputs'!AJ121)</f>
        <v>50000</v>
      </c>
      <c r="D403" s="9">
        <f>IF('Model inputs'!AJ121="","",'Model inputs'!AJ121)</f>
        <v>50000</v>
      </c>
      <c r="E403" s="9">
        <f>IF('Model inputs'!AJ121="","",'Model inputs'!AJ121)</f>
        <v>50000</v>
      </c>
      <c r="F403" s="9">
        <f>IF('Model inputs'!AJ121="","",'Model inputs'!AJ121)</f>
        <v>50000</v>
      </c>
      <c r="G403" s="9">
        <f>IF('Model inputs'!AJ121="","",'Model inputs'!AJ121)</f>
        <v>50000</v>
      </c>
      <c r="H403" s="9">
        <f>IF('Model inputs'!AJ121="","",'Model inputs'!AJ121)</f>
        <v>50000</v>
      </c>
      <c r="I403" s="9">
        <f>IF('Model inputs'!AJ121="","",'Model inputs'!AJ121)</f>
        <v>50000</v>
      </c>
      <c r="J403" s="9">
        <f>IF('Model inputs'!AJ121="","",'Model inputs'!AJ121)</f>
        <v>50000</v>
      </c>
      <c r="K403" s="9">
        <f>IF('Model inputs'!AJ121="","",'Model inputs'!AJ121)</f>
        <v>50000</v>
      </c>
      <c r="L403" s="9">
        <f>IF('Model inputs'!AJ121="","",'Model inputs'!AJ121)</f>
        <v>50000</v>
      </c>
      <c r="M403" s="9">
        <f>IF('Model inputs'!AJ121="","",'Model inputs'!AJ121)</f>
        <v>50000</v>
      </c>
      <c r="N403" s="9">
        <f>IF('Model inputs'!AJ121="","",'Model inputs'!AJ121)</f>
        <v>50000</v>
      </c>
      <c r="O403" s="9">
        <f>IF('Model inputs'!AJ121="","",'Model inputs'!AJ121)</f>
        <v>50000</v>
      </c>
      <c r="P403" s="9">
        <f>IF('Model inputs'!AJ121="","",'Model inputs'!AJ121)</f>
        <v>50000</v>
      </c>
      <c r="Q403" s="9">
        <f>IF('Model inputs'!AJ121="","",'Model inputs'!AJ121)</f>
        <v>50000</v>
      </c>
      <c r="R403" s="9">
        <f>IF('Model inputs'!AJ121="","",'Model inputs'!AJ121)</f>
        <v>50000</v>
      </c>
      <c r="S403" s="9">
        <f>IF('Model inputs'!AJ121="","",'Model inputs'!AJ121)</f>
        <v>50000</v>
      </c>
      <c r="T403" s="9">
        <f>IF('Model inputs'!AJ121="","",'Model inputs'!AJ121)</f>
        <v>50000</v>
      </c>
      <c r="U403" s="9">
        <f>IF('Model inputs'!AJ121="","",'Model inputs'!AJ121)</f>
        <v>50000</v>
      </c>
      <c r="V403" s="9">
        <f>IF('Model inputs'!AJ121="","",'Model inputs'!AJ121)</f>
        <v>50000</v>
      </c>
      <c r="W403" s="9">
        <f>IF('Model inputs'!AJ121="","",'Model inputs'!AJ121)</f>
        <v>50000</v>
      </c>
      <c r="X403" s="9">
        <f>IF('Model inputs'!AJ121="","",'Model inputs'!AJ121)</f>
        <v>50000</v>
      </c>
      <c r="Y403" s="9">
        <f>IF('Model inputs'!AJ121="","",'Model inputs'!AJ121)</f>
        <v>50000</v>
      </c>
      <c r="Z403" s="9">
        <f>IF('Model inputs'!AJ121="","",'Model inputs'!AJ121)</f>
        <v>50000</v>
      </c>
      <c r="AA403" s="9">
        <f>IF('Model inputs'!AJ121="","",'Model inputs'!AJ121)</f>
        <v>50000</v>
      </c>
      <c r="AB403" s="9">
        <f>IF('Model inputs'!AJ121="","",'Model inputs'!AJ121)</f>
        <v>50000</v>
      </c>
      <c r="AC403" s="9">
        <f>IF('Model inputs'!AJ121="","",'Model inputs'!AJ121)</f>
        <v>50000</v>
      </c>
      <c r="AD403" s="9">
        <f>IF('Model inputs'!AJ121="","",'Model inputs'!AJ121)</f>
        <v>50000</v>
      </c>
      <c r="AE403" s="9">
        <f>IF('Model inputs'!AJ121="","",'Model inputs'!AJ121)</f>
        <v>50000</v>
      </c>
      <c r="AF403" s="9">
        <f>IF('Model inputs'!AJ121="","",'Model inputs'!AJ121)</f>
        <v>50000</v>
      </c>
      <c r="AG403" s="9">
        <f>IF('Model inputs'!AJ121="","",'Model inputs'!AJ121)</f>
        <v>50000</v>
      </c>
      <c r="AH403" s="9">
        <f>IF('Model inputs'!AJ121="","",'Model inputs'!AJ121)</f>
        <v>50000</v>
      </c>
      <c r="AI403" s="9">
        <f>IF('Model inputs'!AJ121="","",'Model inputs'!AJ121)</f>
        <v>50000</v>
      </c>
    </row>
    <row r="404">
      <c r="A404" t="inlineStr" s="13">
        <is>
          <t xml:space="preserve">Haq Marketing · Haq Ending cash · Conservative · Conservative</t>
        </is>
      </c>
      <c r="B404" s="9">
        <f>IF('Model inputs'!AJ177="","",'Model inputs'!AJ177)</f>
        <v>50000</v>
      </c>
      <c r="C404" s="9">
        <f>IF('Model inputs'!AJ177="","",'Model inputs'!AJ177)</f>
        <v>50000</v>
      </c>
      <c r="D404" s="9">
        <f>IF('Model inputs'!AJ177="","",'Model inputs'!AJ177)</f>
        <v>50000</v>
      </c>
      <c r="E404" s="9">
        <f>IF('Model inputs'!AJ177="","",'Model inputs'!AJ177)</f>
        <v>50000</v>
      </c>
      <c r="F404" s="9">
        <f>IF('Model inputs'!AJ177="","",'Model inputs'!AJ177)</f>
        <v>50000</v>
      </c>
      <c r="G404" s="9">
        <f>IF('Model inputs'!AJ177="","",'Model inputs'!AJ177)</f>
        <v>50000</v>
      </c>
      <c r="H404" s="9">
        <f>IF('Model inputs'!AJ177="","",'Model inputs'!AJ177)</f>
        <v>50000</v>
      </c>
      <c r="I404" s="9">
        <f>IF('Model inputs'!AJ177="","",'Model inputs'!AJ177)</f>
        <v>50000</v>
      </c>
      <c r="J404" s="9">
        <f>IF('Model inputs'!AJ177="","",'Model inputs'!AJ177)</f>
        <v>50000</v>
      </c>
      <c r="K404" s="9">
        <f>IF('Model inputs'!AJ177="","",'Model inputs'!AJ177)</f>
        <v>50000</v>
      </c>
      <c r="L404" s="9">
        <f>IF('Model inputs'!AJ177="","",'Model inputs'!AJ177)</f>
        <v>50000</v>
      </c>
      <c r="M404" s="9">
        <f>IF('Model inputs'!AJ177="","",'Model inputs'!AJ177)</f>
        <v>50000</v>
      </c>
      <c r="N404" s="9">
        <f>IF('Model inputs'!AJ177="","",'Model inputs'!AJ177)</f>
        <v>50000</v>
      </c>
      <c r="O404" s="9">
        <f>IF('Model inputs'!AJ177="","",'Model inputs'!AJ177)</f>
        <v>50000</v>
      </c>
      <c r="P404" s="9">
        <f>IF('Model inputs'!AJ177="","",'Model inputs'!AJ177)</f>
        <v>50000</v>
      </c>
      <c r="Q404" s="9">
        <f>IF('Model inputs'!AJ177="","",'Model inputs'!AJ177)</f>
        <v>50000</v>
      </c>
      <c r="R404" s="9">
        <f>IF('Model inputs'!AJ177="","",'Model inputs'!AJ177)</f>
        <v>50000</v>
      </c>
      <c r="S404" s="9">
        <f>IF('Model inputs'!AJ177="","",'Model inputs'!AJ177)</f>
        <v>50000</v>
      </c>
      <c r="T404" s="9">
        <f>IF('Model inputs'!AJ177="","",'Model inputs'!AJ177)</f>
        <v>50000</v>
      </c>
      <c r="U404" s="9">
        <f>IF('Model inputs'!AJ177="","",'Model inputs'!AJ177)</f>
        <v>50000</v>
      </c>
      <c r="V404" s="9">
        <f>IF('Model inputs'!AJ177="","",'Model inputs'!AJ177)</f>
        <v>50000</v>
      </c>
      <c r="W404" s="9">
        <f>IF('Model inputs'!AJ177="","",'Model inputs'!AJ177)</f>
        <v>50000</v>
      </c>
      <c r="X404" s="9">
        <f>IF('Model inputs'!AJ177="","",'Model inputs'!AJ177)</f>
        <v>50000</v>
      </c>
      <c r="Y404" s="9">
        <f>IF('Model inputs'!AJ177="","",'Model inputs'!AJ177)</f>
        <v>50000</v>
      </c>
      <c r="Z404" s="9">
        <f>IF('Model inputs'!AJ177="","",'Model inputs'!AJ177)</f>
        <v>50000</v>
      </c>
      <c r="AA404" s="9">
        <f>IF('Model inputs'!AJ177="","",'Model inputs'!AJ177)</f>
        <v>50000</v>
      </c>
      <c r="AB404" s="9">
        <f>IF('Model inputs'!AJ177="","",'Model inputs'!AJ177)</f>
        <v>50000</v>
      </c>
      <c r="AC404" s="9">
        <f>IF('Model inputs'!AJ177="","",'Model inputs'!AJ177)</f>
        <v>50000</v>
      </c>
      <c r="AD404" s="9">
        <f>IF('Model inputs'!AJ177="","",'Model inputs'!AJ177)</f>
        <v>50000</v>
      </c>
      <c r="AE404" s="9">
        <f>IF('Model inputs'!AJ177="","",'Model inputs'!AJ177)</f>
        <v>50000</v>
      </c>
      <c r="AF404" s="9">
        <f>IF('Model inputs'!AJ177="","",'Model inputs'!AJ177)</f>
        <v>50000</v>
      </c>
      <c r="AG404" s="9">
        <f>IF('Model inputs'!AJ177="","",'Model inputs'!AJ177)</f>
        <v>50000</v>
      </c>
      <c r="AH404" s="9">
        <f>IF('Model inputs'!AJ177="","",'Model inputs'!AJ177)</f>
        <v>50000</v>
      </c>
      <c r="AI404" s="9">
        <f>IF('Model inputs'!AJ177="","",'Model inputs'!AJ177)</f>
        <v>50000</v>
      </c>
    </row>
    <row r="405">
      <c r="A405" t="inlineStr" s="13">
        <is>
          <t xml:space="preserve">Haq Team payroll · Haq Ending cash · Main Scenario · Main Scenario</t>
        </is>
      </c>
      <c r="B405" s="9">
        <f>'Model inputs'!B441+'Model inputs'!B426+'Model inputs'!B438</f>
        <v>0</v>
      </c>
      <c r="C405" s="9">
        <f>'Model inputs'!C441+'Model inputs'!C426+'Model inputs'!C438</f>
        <v>0</v>
      </c>
      <c r="D405" s="9">
        <f>'Model inputs'!D441+'Model inputs'!D426+'Model inputs'!D438</f>
        <v>0</v>
      </c>
      <c r="E405" s="9">
        <f>'Model inputs'!E441+'Model inputs'!E426+'Model inputs'!E438</f>
        <v>0</v>
      </c>
      <c r="F405" s="9">
        <f>'Model inputs'!F441+'Model inputs'!F426+'Model inputs'!F438</f>
        <v>0</v>
      </c>
      <c r="G405" s="9">
        <f>'Model inputs'!G441+'Model inputs'!G426+'Model inputs'!G438</f>
        <v>0</v>
      </c>
      <c r="H405" s="9">
        <f>'Model inputs'!H441+'Model inputs'!H426+'Model inputs'!H438</f>
        <v>0</v>
      </c>
      <c r="I405" s="9">
        <f>'Model inputs'!I441+'Model inputs'!I426+'Model inputs'!I438</f>
        <v>0</v>
      </c>
      <c r="J405" s="9">
        <f>'Model inputs'!J441+'Model inputs'!J426+'Model inputs'!J438</f>
        <v>0</v>
      </c>
      <c r="K405" s="9">
        <f>'Model inputs'!K441+'Model inputs'!K426+'Model inputs'!K438</f>
        <v>0</v>
      </c>
      <c r="L405" s="9">
        <f>'Model inputs'!L441+'Model inputs'!L426+'Model inputs'!L438</f>
        <v>150000</v>
      </c>
      <c r="M405" s="9">
        <f>'Model inputs'!M441+'Model inputs'!M426+'Model inputs'!M438</f>
        <v>150000</v>
      </c>
      <c r="N405" s="9">
        <f>'Model inputs'!N441+'Model inputs'!N426+'Model inputs'!N438</f>
        <v>150000</v>
      </c>
      <c r="O405" s="9">
        <f>'Model inputs'!O441+'Model inputs'!O426+'Model inputs'!O438</f>
        <v>150000</v>
      </c>
      <c r="P405" s="9">
        <f>'Model inputs'!P441+'Model inputs'!P426+'Model inputs'!P438</f>
        <v>150000</v>
      </c>
      <c r="Q405" s="9">
        <f>'Model inputs'!Q441+'Model inputs'!Q426+'Model inputs'!Q438</f>
        <v>210000</v>
      </c>
      <c r="R405" s="9">
        <f>'Model inputs'!R441+'Model inputs'!R426+'Model inputs'!R438</f>
        <v>310000</v>
      </c>
      <c r="S405" s="9">
        <f>'Model inputs'!S441+'Model inputs'!S426+'Model inputs'!S438</f>
        <v>310000</v>
      </c>
      <c r="T405" s="9">
        <f>'Model inputs'!T441+'Model inputs'!T426+'Model inputs'!T438</f>
        <v>310000</v>
      </c>
      <c r="U405" s="9">
        <f>'Model inputs'!U441+'Model inputs'!U426+'Model inputs'!U438</f>
        <v>310000</v>
      </c>
      <c r="V405" s="9">
        <f>'Model inputs'!V441+'Model inputs'!V426+'Model inputs'!V438</f>
        <v>310000</v>
      </c>
      <c r="W405" s="9">
        <f>'Model inputs'!W441+'Model inputs'!W426+'Model inputs'!W438</f>
        <v>310000</v>
      </c>
      <c r="X405" s="9">
        <f>'Model inputs'!X441+'Model inputs'!X426+'Model inputs'!X438</f>
        <v>310000</v>
      </c>
      <c r="Y405" s="9">
        <f>'Model inputs'!Y441+'Model inputs'!Y426+'Model inputs'!Y438</f>
        <v>310000</v>
      </c>
      <c r="Z405" s="9">
        <f>'Model inputs'!Z441+'Model inputs'!Z426+'Model inputs'!Z438</f>
        <v>310000</v>
      </c>
      <c r="AA405" s="9">
        <f>'Model inputs'!AA441+'Model inputs'!AA426+'Model inputs'!AA438</f>
        <v>310000</v>
      </c>
      <c r="AB405" s="9">
        <f>'Model inputs'!AB441+'Model inputs'!AB426+'Model inputs'!AB438</f>
        <v>310000</v>
      </c>
      <c r="AC405" s="9">
        <f>'Model inputs'!AC441+'Model inputs'!AC426+'Model inputs'!AC438</f>
        <v>310000</v>
      </c>
      <c r="AD405" s="9">
        <f>'Model inputs'!AD441+'Model inputs'!AD426+'Model inputs'!AD438</f>
        <v>310000</v>
      </c>
      <c r="AE405" s="9">
        <f>'Model inputs'!AE441+'Model inputs'!AE426+'Model inputs'!AE438</f>
        <v>310000</v>
      </c>
      <c r="AF405" s="9">
        <f>'Model inputs'!AF441+'Model inputs'!AF426+'Model inputs'!AF438</f>
        <v>310000</v>
      </c>
      <c r="AG405" s="9">
        <f>'Model inputs'!AG441+'Model inputs'!AG426+'Model inputs'!AG438</f>
        <v>310000</v>
      </c>
      <c r="AH405" s="9">
        <f>'Model inputs'!AH441+'Model inputs'!AH426+'Model inputs'!AH438</f>
        <v>310000</v>
      </c>
      <c r="AI405" s="9">
        <f>'Model inputs'!AI441+'Model inputs'!AI426+'Model inputs'!AI438</f>
        <v>310000</v>
      </c>
    </row>
    <row r="406">
      <c r="A406" t="inlineStr" s="13">
        <is>
          <t xml:space="preserve">Haq Team payroll · Haq Ending cash · Growth · Growth</t>
        </is>
      </c>
      <c r="B406" s="9">
        <f>'Model inputs'!B442+'Model inputs'!B427+'Model inputs'!B439</f>
        <v>0</v>
      </c>
      <c r="C406" s="9">
        <f>'Model inputs'!C442+'Model inputs'!C427+'Model inputs'!C439</f>
        <v>0</v>
      </c>
      <c r="D406" s="9">
        <f>'Model inputs'!D442+'Model inputs'!D427+'Model inputs'!D439</f>
        <v>0</v>
      </c>
      <c r="E406" s="9">
        <f>'Model inputs'!E442+'Model inputs'!E427+'Model inputs'!E439</f>
        <v>0</v>
      </c>
      <c r="F406" s="9">
        <f>'Model inputs'!F442+'Model inputs'!F427+'Model inputs'!F439</f>
        <v>0</v>
      </c>
      <c r="G406" s="9">
        <f>'Model inputs'!G442+'Model inputs'!G427+'Model inputs'!G439</f>
        <v>0</v>
      </c>
      <c r="H406" s="9">
        <f>'Model inputs'!H442+'Model inputs'!H427+'Model inputs'!H439</f>
        <v>0</v>
      </c>
      <c r="I406" s="9">
        <f>'Model inputs'!I442+'Model inputs'!I427+'Model inputs'!I439</f>
        <v>0</v>
      </c>
      <c r="J406" s="9">
        <f>'Model inputs'!J442+'Model inputs'!J427+'Model inputs'!J439</f>
        <v>0</v>
      </c>
      <c r="K406" s="9">
        <f>'Model inputs'!K442+'Model inputs'!K427+'Model inputs'!K439</f>
        <v>0</v>
      </c>
      <c r="L406" s="9">
        <f>'Model inputs'!L442+'Model inputs'!L427+'Model inputs'!L439</f>
        <v>150000</v>
      </c>
      <c r="M406" s="9">
        <f>'Model inputs'!M442+'Model inputs'!M427+'Model inputs'!M439</f>
        <v>150000</v>
      </c>
      <c r="N406" s="9">
        <f>'Model inputs'!N442+'Model inputs'!N427+'Model inputs'!N439</f>
        <v>150000</v>
      </c>
      <c r="O406" s="9">
        <f>'Model inputs'!O442+'Model inputs'!O427+'Model inputs'!O439</f>
        <v>150000</v>
      </c>
      <c r="P406" s="9">
        <f>'Model inputs'!P442+'Model inputs'!P427+'Model inputs'!P439</f>
        <v>150000</v>
      </c>
      <c r="Q406" s="9">
        <f>'Model inputs'!Q442+'Model inputs'!Q427+'Model inputs'!Q439</f>
        <v>210000</v>
      </c>
      <c r="R406" s="9">
        <f>'Model inputs'!R442+'Model inputs'!R427+'Model inputs'!R439</f>
        <v>310000</v>
      </c>
      <c r="S406" s="9">
        <f>'Model inputs'!S442+'Model inputs'!S427+'Model inputs'!S439</f>
        <v>310000</v>
      </c>
      <c r="T406" s="9">
        <f>'Model inputs'!T442+'Model inputs'!T427+'Model inputs'!T439</f>
        <v>310000</v>
      </c>
      <c r="U406" s="9">
        <f>'Model inputs'!U442+'Model inputs'!U427+'Model inputs'!U439</f>
        <v>310000</v>
      </c>
      <c r="V406" s="9">
        <f>'Model inputs'!V442+'Model inputs'!V427+'Model inputs'!V439</f>
        <v>310000</v>
      </c>
      <c r="W406" s="9">
        <f>'Model inputs'!W442+'Model inputs'!W427+'Model inputs'!W439</f>
        <v>310000</v>
      </c>
      <c r="X406" s="9">
        <f>'Model inputs'!X442+'Model inputs'!X427+'Model inputs'!X439</f>
        <v>310000</v>
      </c>
      <c r="Y406" s="9">
        <f>'Model inputs'!Y442+'Model inputs'!Y427+'Model inputs'!Y439</f>
        <v>310000</v>
      </c>
      <c r="Z406" s="9">
        <f>'Model inputs'!Z442+'Model inputs'!Z427+'Model inputs'!Z439</f>
        <v>310000</v>
      </c>
      <c r="AA406" s="9">
        <f>'Model inputs'!AA442+'Model inputs'!AA427+'Model inputs'!AA439</f>
        <v>310000</v>
      </c>
      <c r="AB406" s="9">
        <f>'Model inputs'!AB442+'Model inputs'!AB427+'Model inputs'!AB439</f>
        <v>310000</v>
      </c>
      <c r="AC406" s="9">
        <f>'Model inputs'!AC442+'Model inputs'!AC427+'Model inputs'!AC439</f>
        <v>310000</v>
      </c>
      <c r="AD406" s="9">
        <f>'Model inputs'!AD442+'Model inputs'!AD427+'Model inputs'!AD439</f>
        <v>310000</v>
      </c>
      <c r="AE406" s="9">
        <f>'Model inputs'!AE442+'Model inputs'!AE427+'Model inputs'!AE439</f>
        <v>310000</v>
      </c>
      <c r="AF406" s="9">
        <f>'Model inputs'!AF442+'Model inputs'!AF427+'Model inputs'!AF439</f>
        <v>310000</v>
      </c>
      <c r="AG406" s="9">
        <f>'Model inputs'!AG442+'Model inputs'!AG427+'Model inputs'!AG439</f>
        <v>310000</v>
      </c>
      <c r="AH406" s="9">
        <f>'Model inputs'!AH442+'Model inputs'!AH427+'Model inputs'!AH439</f>
        <v>310000</v>
      </c>
      <c r="AI406" s="9">
        <f>'Model inputs'!AI442+'Model inputs'!AI427+'Model inputs'!AI439</f>
        <v>310000</v>
      </c>
    </row>
    <row r="407">
      <c r="A407" t="inlineStr" s="13">
        <is>
          <t xml:space="preserve">Haq Team payroll · Haq Ending cash · Conservative · Conservative</t>
        </is>
      </c>
      <c r="B407" s="9">
        <f>'Model inputs'!B443+'Model inputs'!B428+'Model inputs'!B440</f>
        <v>0</v>
      </c>
      <c r="C407" s="9">
        <f>'Model inputs'!C443+'Model inputs'!C428+'Model inputs'!C440</f>
        <v>0</v>
      </c>
      <c r="D407" s="9">
        <f>'Model inputs'!D443+'Model inputs'!D428+'Model inputs'!D440</f>
        <v>0</v>
      </c>
      <c r="E407" s="9">
        <f>'Model inputs'!E443+'Model inputs'!E428+'Model inputs'!E440</f>
        <v>0</v>
      </c>
      <c r="F407" s="9">
        <f>'Model inputs'!F443+'Model inputs'!F428+'Model inputs'!F440</f>
        <v>0</v>
      </c>
      <c r="G407" s="9">
        <f>'Model inputs'!G443+'Model inputs'!G428+'Model inputs'!G440</f>
        <v>0</v>
      </c>
      <c r="H407" s="9">
        <f>'Model inputs'!H443+'Model inputs'!H428+'Model inputs'!H440</f>
        <v>0</v>
      </c>
      <c r="I407" s="9">
        <f>'Model inputs'!I443+'Model inputs'!I428+'Model inputs'!I440</f>
        <v>0</v>
      </c>
      <c r="J407" s="9">
        <f>'Model inputs'!J443+'Model inputs'!J428+'Model inputs'!J440</f>
        <v>0</v>
      </c>
      <c r="K407" s="9">
        <f>'Model inputs'!K443+'Model inputs'!K428+'Model inputs'!K440</f>
        <v>0</v>
      </c>
      <c r="L407" s="9">
        <f>'Model inputs'!L443+'Model inputs'!L428+'Model inputs'!L440</f>
        <v>150000</v>
      </c>
      <c r="M407" s="9">
        <f>'Model inputs'!M443+'Model inputs'!M428+'Model inputs'!M440</f>
        <v>150000</v>
      </c>
      <c r="N407" s="9">
        <f>'Model inputs'!N443+'Model inputs'!N428+'Model inputs'!N440</f>
        <v>150000</v>
      </c>
      <c r="O407" s="9">
        <f>'Model inputs'!O443+'Model inputs'!O428+'Model inputs'!O440</f>
        <v>150000</v>
      </c>
      <c r="P407" s="9">
        <f>'Model inputs'!P443+'Model inputs'!P428+'Model inputs'!P440</f>
        <v>150000</v>
      </c>
      <c r="Q407" s="9">
        <f>'Model inputs'!Q443+'Model inputs'!Q428+'Model inputs'!Q440</f>
        <v>210000</v>
      </c>
      <c r="R407" s="9">
        <f>'Model inputs'!R443+'Model inputs'!R428+'Model inputs'!R440</f>
        <v>310000</v>
      </c>
      <c r="S407" s="9">
        <f>'Model inputs'!S443+'Model inputs'!S428+'Model inputs'!S440</f>
        <v>310000</v>
      </c>
      <c r="T407" s="9">
        <f>'Model inputs'!T443+'Model inputs'!T428+'Model inputs'!T440</f>
        <v>310000</v>
      </c>
      <c r="U407" s="9">
        <f>'Model inputs'!U443+'Model inputs'!U428+'Model inputs'!U440</f>
        <v>310000</v>
      </c>
      <c r="V407" s="9">
        <f>'Model inputs'!V443+'Model inputs'!V428+'Model inputs'!V440</f>
        <v>310000</v>
      </c>
      <c r="W407" s="9">
        <f>'Model inputs'!W443+'Model inputs'!W428+'Model inputs'!W440</f>
        <v>310000</v>
      </c>
      <c r="X407" s="9">
        <f>'Model inputs'!X443+'Model inputs'!X428+'Model inputs'!X440</f>
        <v>310000</v>
      </c>
      <c r="Y407" s="9">
        <f>'Model inputs'!Y443+'Model inputs'!Y428+'Model inputs'!Y440</f>
        <v>310000</v>
      </c>
      <c r="Z407" s="9">
        <f>'Model inputs'!Z443+'Model inputs'!Z428+'Model inputs'!Z440</f>
        <v>310000</v>
      </c>
      <c r="AA407" s="9">
        <f>'Model inputs'!AA443+'Model inputs'!AA428+'Model inputs'!AA440</f>
        <v>310000</v>
      </c>
      <c r="AB407" s="9">
        <f>'Model inputs'!AB443+'Model inputs'!AB428+'Model inputs'!AB440</f>
        <v>310000</v>
      </c>
      <c r="AC407" s="9">
        <f>'Model inputs'!AC443+'Model inputs'!AC428+'Model inputs'!AC440</f>
        <v>310000</v>
      </c>
      <c r="AD407" s="9">
        <f>'Model inputs'!AD443+'Model inputs'!AD428+'Model inputs'!AD440</f>
        <v>310000</v>
      </c>
      <c r="AE407" s="9">
        <f>'Model inputs'!AE443+'Model inputs'!AE428+'Model inputs'!AE440</f>
        <v>310000</v>
      </c>
      <c r="AF407" s="9">
        <f>'Model inputs'!AF443+'Model inputs'!AF428+'Model inputs'!AF440</f>
        <v>310000</v>
      </c>
      <c r="AG407" s="9">
        <f>'Model inputs'!AG443+'Model inputs'!AG428+'Model inputs'!AG440</f>
        <v>310000</v>
      </c>
      <c r="AH407" s="9">
        <f>'Model inputs'!AH443+'Model inputs'!AH428+'Model inputs'!AH440</f>
        <v>310000</v>
      </c>
      <c r="AI407" s="9">
        <f>'Model inputs'!AI443+'Model inputs'!AI428+'Model inputs'!AI440</f>
        <v>310000</v>
      </c>
    </row>
    <row r="408">
      <c r="A408" t="inlineStr" s="13">
        <is>
          <t xml:space="preserve">Haq Total checks · Haq Ending cash · Main Scenario · Main Scenario</t>
        </is>
      </c>
      <c r="B408" s="8">
        <f>'Model inputs'!B414+'Model inputs'!B417+'Model inputs'!B429</f>
        <v>0</v>
      </c>
      <c r="C408" s="8">
        <f>'Model inputs'!C414+'Model inputs'!C417+'Model inputs'!C429</f>
        <v>0</v>
      </c>
      <c r="D408" s="8">
        <f>'Model inputs'!D414+'Model inputs'!D417+'Model inputs'!D429</f>
        <v>0</v>
      </c>
      <c r="E408" s="8">
        <f>'Model inputs'!E414+'Model inputs'!E417+'Model inputs'!E429</f>
        <v>0</v>
      </c>
      <c r="F408" s="8">
        <f>'Model inputs'!F414+'Model inputs'!F417+'Model inputs'!F429</f>
        <v>0</v>
      </c>
      <c r="G408" s="8">
        <f>'Model inputs'!G414+'Model inputs'!G417+'Model inputs'!G429</f>
        <v>0</v>
      </c>
      <c r="H408" s="8">
        <f>'Model inputs'!H414+'Model inputs'!H417+'Model inputs'!H429</f>
        <v>0</v>
      </c>
      <c r="I408" s="8">
        <f>'Model inputs'!I414+'Model inputs'!I417+'Model inputs'!I429</f>
        <v>0</v>
      </c>
      <c r="J408" s="8">
        <f>'Model inputs'!J414+'Model inputs'!J417+'Model inputs'!J429</f>
        <v>0</v>
      </c>
      <c r="K408" s="8">
        <f>'Model inputs'!K414+'Model inputs'!K417+'Model inputs'!K429</f>
        <v>0</v>
      </c>
      <c r="L408" s="8">
        <f>'Model inputs'!L414+'Model inputs'!L417+'Model inputs'!L429</f>
        <v>0</v>
      </c>
      <c r="M408" s="8">
        <f>'Model inputs'!M414+'Model inputs'!M417+'Model inputs'!M429</f>
        <v>0</v>
      </c>
      <c r="N408" s="8">
        <f>'Model inputs'!N414+'Model inputs'!N417+'Model inputs'!N429</f>
        <v>0</v>
      </c>
      <c r="O408" s="8">
        <f>'Model inputs'!O414+'Model inputs'!O417+'Model inputs'!O429</f>
        <v>4000</v>
      </c>
      <c r="P408" s="8">
        <f>'Model inputs'!P414+'Model inputs'!P417+'Model inputs'!P429</f>
        <v>4599.999999999999</v>
      </c>
      <c r="Q408" s="8">
        <f>'Model inputs'!Q414+'Model inputs'!Q417+'Model inputs'!Q429</f>
        <v>7373.333333333332</v>
      </c>
      <c r="R408" s="8">
        <f>'Model inputs'!R414+'Model inputs'!R417+'Model inputs'!R429</f>
        <v>8166.833333333331</v>
      </c>
      <c r="S408" s="8">
        <f>'Model inputs'!S414+'Model inputs'!S417+'Model inputs'!S429</f>
        <v>9079.35833333333</v>
      </c>
      <c r="T408" s="8">
        <f>'Model inputs'!T414+'Model inputs'!T417+'Model inputs'!T429</f>
        <v>13045.428749999995</v>
      </c>
      <c r="U408" s="8">
        <f>'Model inputs'!U414+'Model inputs'!U417+'Model inputs'!U429</f>
        <v>14252.243062499994</v>
      </c>
      <c r="V408" s="8">
        <f>'Model inputs'!V414+'Model inputs'!V417+'Model inputs'!V429</f>
        <v>15640.079521874992</v>
      </c>
      <c r="W408" s="8">
        <f>'Model inputs'!W414+'Model inputs'!W417+'Model inputs'!W429</f>
        <v>20152.758116822908</v>
      </c>
      <c r="X408" s="8">
        <f>'Model inputs'!X414+'Model inputs'!X417+'Model inputs'!X429</f>
        <v>21988.171834346344</v>
      </c>
      <c r="Y408" s="8">
        <f>'Model inputs'!Y414+'Model inputs'!Y417+'Model inputs'!Y429</f>
        <v>24098.897609498294</v>
      </c>
      <c r="Z408" s="8">
        <f>'Model inputs'!Z414+'Model inputs'!Z417+'Model inputs'!Z429</f>
        <v>28609.565584256372</v>
      </c>
      <c r="AA408" s="8">
        <f>'Model inputs'!AA414+'Model inputs'!AA417+'Model inputs'!AA429</f>
        <v>31401.000421894823</v>
      </c>
      <c r="AB408" s="8">
        <f>'Model inputs'!AB414+'Model inputs'!AB417+'Model inputs'!AB429</f>
        <v>34611.150485179045</v>
      </c>
      <c r="AC408" s="8">
        <f>'Model inputs'!AC414+'Model inputs'!AC417+'Model inputs'!AC429</f>
        <v>41636.15639128923</v>
      </c>
      <c r="AD408" s="8">
        <f>'Model inputs'!AD414+'Model inputs'!AD417+'Model inputs'!AD429</f>
        <v>45881.57984998262</v>
      </c>
      <c r="AE408" s="8">
        <f>'Model inputs'!AE414+'Model inputs'!AE417+'Model inputs'!AE429</f>
        <v>50763.81682748001</v>
      </c>
      <c r="AF408" s="8">
        <f>'Model inputs'!AF414+'Model inputs'!AF417+'Model inputs'!AF429</f>
        <v>58461.72268493533</v>
      </c>
      <c r="AG408" s="8">
        <f>'Model inputs'!AG414+'Model inputs'!AG417+'Model inputs'!AG429</f>
        <v>64918.48108767563</v>
      </c>
      <c r="AH408" s="8">
        <f>'Model inputs'!AH414+'Model inputs'!AH417+'Model inputs'!AH429</f>
        <v>74427.08658416031</v>
      </c>
      <c r="AI408" s="8">
        <f>'Model inputs'!AI414+'Model inputs'!AI417+'Model inputs'!AI429</f>
        <v>86299.48290511768</v>
      </c>
    </row>
    <row r="409">
      <c r="A409" t="inlineStr" s="13">
        <is>
          <t xml:space="preserve">Haq Total checks · Haq Ending cash · Growth · Growth</t>
        </is>
      </c>
      <c r="B409" s="8">
        <f>'Model inputs'!B415+'Model inputs'!B418+'Model inputs'!B430</f>
        <v>0</v>
      </c>
      <c r="C409" s="8">
        <f>'Model inputs'!C415+'Model inputs'!C418+'Model inputs'!C430</f>
        <v>0</v>
      </c>
      <c r="D409" s="8">
        <f>'Model inputs'!D415+'Model inputs'!D418+'Model inputs'!D430</f>
        <v>0</v>
      </c>
      <c r="E409" s="8">
        <f>'Model inputs'!E415+'Model inputs'!E418+'Model inputs'!E430</f>
        <v>0</v>
      </c>
      <c r="F409" s="8">
        <f>'Model inputs'!F415+'Model inputs'!F418+'Model inputs'!F430</f>
        <v>0</v>
      </c>
      <c r="G409" s="8">
        <f>'Model inputs'!G415+'Model inputs'!G418+'Model inputs'!G430</f>
        <v>0</v>
      </c>
      <c r="H409" s="8">
        <f>'Model inputs'!H415+'Model inputs'!H418+'Model inputs'!H430</f>
        <v>0</v>
      </c>
      <c r="I409" s="8">
        <f>'Model inputs'!I415+'Model inputs'!I418+'Model inputs'!I430</f>
        <v>0</v>
      </c>
      <c r="J409" s="8">
        <f>'Model inputs'!J415+'Model inputs'!J418+'Model inputs'!J430</f>
        <v>0</v>
      </c>
      <c r="K409" s="8">
        <f>'Model inputs'!K415+'Model inputs'!K418+'Model inputs'!K430</f>
        <v>0</v>
      </c>
      <c r="L409" s="8">
        <f>'Model inputs'!L415+'Model inputs'!L418+'Model inputs'!L430</f>
        <v>0</v>
      </c>
      <c r="M409" s="8">
        <f>'Model inputs'!M415+'Model inputs'!M418+'Model inputs'!M430</f>
        <v>0</v>
      </c>
      <c r="N409" s="8">
        <f>'Model inputs'!N415+'Model inputs'!N418+'Model inputs'!N430</f>
        <v>0</v>
      </c>
      <c r="O409" s="8">
        <f>'Model inputs'!O415+'Model inputs'!O418+'Model inputs'!O430</f>
        <v>4000</v>
      </c>
      <c r="P409" s="8">
        <f>'Model inputs'!P415+'Model inputs'!P418+'Model inputs'!P430</f>
        <v>5080</v>
      </c>
      <c r="Q409" s="8">
        <f>'Model inputs'!Q415+'Model inputs'!Q418+'Model inputs'!Q430</f>
        <v>10618.266666666666</v>
      </c>
      <c r="R409" s="8">
        <f>'Model inputs'!R415+'Model inputs'!R418+'Model inputs'!R430</f>
        <v>12360.198666666665</v>
      </c>
      <c r="S409" s="8">
        <f>'Model inputs'!S415+'Model inputs'!S418+'Model inputs'!S430</f>
        <v>14572.452306666668</v>
      </c>
      <c r="T409" s="8">
        <f>'Model inputs'!T415+'Model inputs'!T418+'Model inputs'!T430</f>
        <v>23215.3477628</v>
      </c>
      <c r="U409" s="8">
        <f>'Model inputs'!U415+'Model inputs'!U418+'Model inputs'!U430</f>
        <v>26783.491658756</v>
      </c>
      <c r="V409" s="8">
        <f>'Model inputs'!V415+'Model inputs'!V418+'Model inputs'!V430</f>
        <v>31315.03440662012</v>
      </c>
      <c r="W409" s="8">
        <f>'Model inputs'!W415+'Model inputs'!W418+'Model inputs'!W430</f>
        <v>42903.42702974088</v>
      </c>
      <c r="X409" s="8">
        <f>'Model inputs'!X415+'Model inputs'!X418+'Model inputs'!X430</f>
        <v>50212.35232777092</v>
      </c>
      <c r="Y409" s="8">
        <f>'Model inputs'!Y415+'Model inputs'!Y418+'Model inputs'!Y430</f>
        <v>59494.68745626908</v>
      </c>
      <c r="Z409" s="8">
        <f>'Model inputs'!Z415+'Model inputs'!Z418+'Model inputs'!Z430</f>
        <v>75449.91973612839</v>
      </c>
      <c r="AA409" s="8">
        <f>'Model inputs'!AA415+'Model inputs'!AA418+'Model inputs'!AA430</f>
        <v>90421.39806488306</v>
      </c>
      <c r="AB409" s="8">
        <f>'Model inputs'!AB415+'Model inputs'!AB418+'Model inputs'!AB430</f>
        <v>109435.17554240148</v>
      </c>
      <c r="AC409" s="8">
        <f>'Model inputs'!AC415+'Model inputs'!AC418+'Model inputs'!AC430</f>
        <v>140249.33960551655</v>
      </c>
      <c r="AD409" s="8">
        <f>'Model inputs'!AD415+'Model inputs'!AD418+'Model inputs'!AD430</f>
        <v>170916.661299006</v>
      </c>
      <c r="AE409" s="8">
        <f>'Model inputs'!AE415+'Model inputs'!AE418+'Model inputs'!AE430</f>
        <v>209864.15984973763</v>
      </c>
      <c r="AF409" s="8">
        <f>'Model inputs'!AF415+'Model inputs'!AF418+'Model inputs'!AF430</f>
        <v>263494.14967583347</v>
      </c>
      <c r="AG409" s="8">
        <f>'Model inputs'!AG415+'Model inputs'!AG418+'Model inputs'!AG430</f>
        <v>326312.57008830854</v>
      </c>
      <c r="AH409" s="8">
        <f>'Model inputs'!AH415+'Model inputs'!AH418+'Model inputs'!AH430</f>
        <v>410258.6306788185</v>
      </c>
      <c r="AI409" s="8">
        <f>'Model inputs'!AI415+'Model inputs'!AI418+'Model inputs'!AI430</f>
        <v>518245.1276287661</v>
      </c>
    </row>
    <row r="410">
      <c r="A410" t="inlineStr" s="13">
        <is>
          <t xml:space="preserve">Haq Total checks · Haq Ending cash · Conservative · Conservative</t>
        </is>
      </c>
      <c r="B410" s="8">
        <f>'Model inputs'!B416+'Model inputs'!B419+'Model inputs'!B431</f>
        <v>0</v>
      </c>
      <c r="C410" s="8">
        <f>'Model inputs'!C416+'Model inputs'!C419+'Model inputs'!C431</f>
        <v>0</v>
      </c>
      <c r="D410" s="8">
        <f>'Model inputs'!D416+'Model inputs'!D419+'Model inputs'!D431</f>
        <v>0</v>
      </c>
      <c r="E410" s="8">
        <f>'Model inputs'!E416+'Model inputs'!E419+'Model inputs'!E431</f>
        <v>0</v>
      </c>
      <c r="F410" s="8">
        <f>'Model inputs'!F416+'Model inputs'!F419+'Model inputs'!F431</f>
        <v>0</v>
      </c>
      <c r="G410" s="8">
        <f>'Model inputs'!G416+'Model inputs'!G419+'Model inputs'!G431</f>
        <v>0</v>
      </c>
      <c r="H410" s="8">
        <f>'Model inputs'!H416+'Model inputs'!H419+'Model inputs'!H431</f>
        <v>0</v>
      </c>
      <c r="I410" s="8">
        <f>'Model inputs'!I416+'Model inputs'!I419+'Model inputs'!I431</f>
        <v>0</v>
      </c>
      <c r="J410" s="8">
        <f>'Model inputs'!J416+'Model inputs'!J419+'Model inputs'!J431</f>
        <v>0</v>
      </c>
      <c r="K410" s="8">
        <f>'Model inputs'!K416+'Model inputs'!K419+'Model inputs'!K431</f>
        <v>0</v>
      </c>
      <c r="L410" s="8">
        <f>'Model inputs'!L416+'Model inputs'!L419+'Model inputs'!L431</f>
        <v>0</v>
      </c>
      <c r="M410" s="8">
        <f>'Model inputs'!M416+'Model inputs'!M419+'Model inputs'!M431</f>
        <v>0</v>
      </c>
      <c r="N410" s="8">
        <f>'Model inputs'!N416+'Model inputs'!N419+'Model inputs'!N431</f>
        <v>0</v>
      </c>
      <c r="O410" s="8">
        <f>'Model inputs'!O416+'Model inputs'!O419+'Model inputs'!O431</f>
        <v>4000</v>
      </c>
      <c r="P410" s="8">
        <f>'Model inputs'!P416+'Model inputs'!P419+'Model inputs'!P431</f>
        <v>4120</v>
      </c>
      <c r="Q410" s="8">
        <f>'Model inputs'!Q416+'Model inputs'!Q419+'Model inputs'!Q431</f>
        <v>5285.266666666666</v>
      </c>
      <c r="R410" s="8">
        <f>'Model inputs'!R416+'Model inputs'!R419+'Model inputs'!R431</f>
        <v>5412.574666666667</v>
      </c>
      <c r="S410" s="8">
        <f>'Model inputs'!S416+'Model inputs'!S419+'Model inputs'!S431</f>
        <v>5543.701906666667</v>
      </c>
      <c r="T410" s="8">
        <f>'Model inputs'!T416+'Model inputs'!T419+'Model inputs'!T431</f>
        <v>7137.0962972</v>
      </c>
      <c r="U410" s="8">
        <f>'Model inputs'!U416+'Model inputs'!U419+'Model inputs'!U431</f>
        <v>7276.209186116001</v>
      </c>
      <c r="V410" s="8">
        <f>'Model inputs'!V416+'Model inputs'!V419+'Model inputs'!V431</f>
        <v>7419.49546169948</v>
      </c>
      <c r="W410" s="8">
        <f>'Model inputs'!W416+'Model inputs'!W419+'Model inputs'!W431</f>
        <v>9025.413658883797</v>
      </c>
      <c r="X410" s="8">
        <f>'Model inputs'!X416+'Model inputs'!X419+'Model inputs'!X431</f>
        <v>9177.426068650311</v>
      </c>
      <c r="Y410" s="8">
        <f>'Model inputs'!Y416+'Model inputs'!Y419+'Model inputs'!Y431</f>
        <v>9333.99885070982</v>
      </c>
      <c r="Z410" s="8">
        <f>'Model inputs'!Z416+'Model inputs'!Z419+'Model inputs'!Z431</f>
        <v>10536.935482897783</v>
      </c>
      <c r="AA410" s="8">
        <f>'Model inputs'!AA416+'Model inputs'!AA419+'Model inputs'!AA431</f>
        <v>10703.043547384717</v>
      </c>
      <c r="AB410" s="8">
        <f>'Model inputs'!AB416+'Model inputs'!AB419+'Model inputs'!AB431</f>
        <v>10874.134853806258</v>
      </c>
      <c r="AC410" s="8">
        <f>'Model inputs'!AC416+'Model inputs'!AC419+'Model inputs'!AC431</f>
        <v>12717.025566087112</v>
      </c>
      <c r="AD410" s="8">
        <f>'Model inputs'!AD416+'Model inputs'!AD419+'Model inputs'!AD431</f>
        <v>12898.536333069726</v>
      </c>
      <c r="AE410" s="8">
        <f>'Model inputs'!AE416+'Model inputs'!AE419+'Model inputs'!AE431</f>
        <v>13085.492423061818</v>
      </c>
      <c r="AF410" s="8">
        <f>'Model inputs'!AF416+'Model inputs'!AF419+'Model inputs'!AF431</f>
        <v>14319.723862420338</v>
      </c>
      <c r="AG410" s="8">
        <f>'Model inputs'!AG416+'Model inputs'!AG419+'Model inputs'!AG431</f>
        <v>14518.06557829295</v>
      </c>
      <c r="AH410" s="8">
        <f>'Model inputs'!AH416+'Model inputs'!AH419+'Model inputs'!AH431</f>
        <v>15764.024212308404</v>
      </c>
      <c r="AI410" s="8">
        <f>'Model inputs'!AI416+'Model inputs'!AI419+'Model inputs'!AI431</f>
        <v>17641.111605344322</v>
      </c>
    </row>
    <row r="411">
      <c r="A411" t="inlineStr" s="13">
        <is>
          <t xml:space="preserve">Haq Total revenue · Haq Operating profit · Haq Future minimum profit · Main Scenario · Main Scenario · Main Scenario</t>
        </is>
      </c>
      <c r="B411" s="9">
        <f>'Model inputs'!B390+'Model inputs'!B423+'Model inputs'!B435</f>
        <v>0</v>
      </c>
      <c r="C411" s="9">
        <f>'Model inputs'!C390+'Model inputs'!C423+'Model inputs'!C435</f>
        <v>0</v>
      </c>
      <c r="D411" s="9">
        <f>'Model inputs'!D390+'Model inputs'!D423+'Model inputs'!D435</f>
        <v>0</v>
      </c>
      <c r="E411" s="9">
        <f>'Model inputs'!E390+'Model inputs'!E423+'Model inputs'!E435</f>
        <v>0</v>
      </c>
      <c r="F411" s="9">
        <f>'Model inputs'!F390+'Model inputs'!F423+'Model inputs'!F435</f>
        <v>0</v>
      </c>
      <c r="G411" s="9">
        <f>'Model inputs'!G390+'Model inputs'!G423+'Model inputs'!G435</f>
        <v>0</v>
      </c>
      <c r="H411" s="9">
        <f>'Model inputs'!H390+'Model inputs'!H423+'Model inputs'!H435</f>
        <v>0</v>
      </c>
      <c r="I411" s="9">
        <f>'Model inputs'!I390+'Model inputs'!I423+'Model inputs'!I435</f>
        <v>0</v>
      </c>
      <c r="J411" s="9">
        <f>'Model inputs'!J390+'Model inputs'!J423+'Model inputs'!J435</f>
        <v>0</v>
      </c>
      <c r="K411" s="9">
        <f>'Model inputs'!K390+'Model inputs'!K423+'Model inputs'!K435</f>
        <v>0</v>
      </c>
      <c r="L411" s="9">
        <f>'Model inputs'!L390+'Model inputs'!L423+'Model inputs'!L435</f>
        <v>0</v>
      </c>
      <c r="M411" s="9">
        <f>'Model inputs'!M390+'Model inputs'!M423+'Model inputs'!M435</f>
        <v>0</v>
      </c>
      <c r="N411" s="9">
        <f>'Model inputs'!N390+'Model inputs'!N423+'Model inputs'!N435</f>
        <v>0</v>
      </c>
      <c r="O411" s="9">
        <f>'Model inputs'!O390+'Model inputs'!O423+'Model inputs'!O435</f>
        <v>74950</v>
      </c>
      <c r="P411" s="9">
        <f>'Model inputs'!P390+'Model inputs'!P423+'Model inputs'!P435</f>
        <v>86192.49999999999</v>
      </c>
      <c r="Q411" s="9">
        <f>'Model inputs'!Q390+'Model inputs'!Q423+'Model inputs'!Q435</f>
        <v>140788.04166666666</v>
      </c>
      <c r="R411" s="9">
        <f>'Model inputs'!R390+'Model inputs'!R423+'Model inputs'!R435</f>
        <v>155656.24791666662</v>
      </c>
      <c r="S411" s="9">
        <f>'Model inputs'!S390+'Model inputs'!S423+'Model inputs'!S435</f>
        <v>172754.6851041666</v>
      </c>
      <c r="T411" s="9">
        <f>'Model inputs'!T390+'Model inputs'!T423+'Model inputs'!T435</f>
        <v>275751.22120312497</v>
      </c>
      <c r="U411" s="9">
        <f>'Model inputs'!U390+'Model inputs'!U423+'Model inputs'!U435</f>
        <v>298363.90438359365</v>
      </c>
      <c r="V411" s="9">
        <f>'Model inputs'!V390+'Model inputs'!V423+'Model inputs'!V435</f>
        <v>324368.49004113267</v>
      </c>
      <c r="W411" s="9">
        <f>'Model inputs'!W390+'Model inputs'!W423+'Model inputs'!W435</f>
        <v>437607.0968806359</v>
      </c>
      <c r="X411" s="9">
        <f>'Model inputs'!X390+'Model inputs'!X423+'Model inputs'!X435</f>
        <v>471998.1614127313</v>
      </c>
      <c r="Y411" s="9">
        <f>'Model inputs'!Y390+'Model inputs'!Y423+'Model inputs'!Y435</f>
        <v>511547.8856246409</v>
      </c>
      <c r="Z411" s="9">
        <f>'Model inputs'!Z390+'Model inputs'!Z423+'Model inputs'!Z435</f>
        <v>598696.7351350037</v>
      </c>
      <c r="AA411" s="9">
        <f>'Model inputs'!AA390+'Model inputs'!AA423+'Model inputs'!AA435</f>
        <v>651001.2454052542</v>
      </c>
      <c r="AB411" s="9">
        <f>'Model inputs'!AB390+'Model inputs'!AB423+'Model inputs'!AB435</f>
        <v>711151.4322160424</v>
      </c>
      <c r="AC411" s="9">
        <f>'Model inputs'!AC390+'Model inputs'!AC423+'Model inputs'!AC435</f>
        <v>884490.8137151153</v>
      </c>
      <c r="AD411" s="9">
        <f>'Model inputs'!AD390+'Model inputs'!AD423+'Model inputs'!AD435</f>
        <v>964039.4357723825</v>
      </c>
      <c r="AE411" s="9">
        <f>'Model inputs'!AE390+'Model inputs'!AE423+'Model inputs'!AE435</f>
        <v>1055520.35113824</v>
      </c>
      <c r="AF411" s="9">
        <f>'Model inputs'!AF390+'Model inputs'!AF423+'Model inputs'!AF435</f>
        <v>1202390.0704756426</v>
      </c>
      <c r="AG411" s="9">
        <f>'Model inputs'!AG390+'Model inputs'!AG423+'Model inputs'!AG435</f>
        <v>1323373.5810469887</v>
      </c>
      <c r="AH411" s="9">
        <f>'Model inputs'!AH390+'Model inputs'!AH423+'Model inputs'!AH435</f>
        <v>1504171.2848707037</v>
      </c>
      <c r="AI411" s="9">
        <f>'Model inputs'!AI390+'Model inputs'!AI423+'Model inputs'!AI435</f>
        <v>1768338.6442679758</v>
      </c>
    </row>
    <row r="412">
      <c r="A412" t="inlineStr" s="13">
        <is>
          <t xml:space="preserve">Haq Total revenue · Haq Operating profit · Haq Future minimum profit · Growth · Growth · Growth</t>
        </is>
      </c>
      <c r="B412" s="9">
        <f>'Model inputs'!B391+'Model inputs'!B424+'Model inputs'!B436</f>
        <v>0</v>
      </c>
      <c r="C412" s="9">
        <f>'Model inputs'!C391+'Model inputs'!C424+'Model inputs'!C436</f>
        <v>0</v>
      </c>
      <c r="D412" s="9">
        <f>'Model inputs'!D391+'Model inputs'!D424+'Model inputs'!D436</f>
        <v>0</v>
      </c>
      <c r="E412" s="9">
        <f>'Model inputs'!E391+'Model inputs'!E424+'Model inputs'!E436</f>
        <v>0</v>
      </c>
      <c r="F412" s="9">
        <f>'Model inputs'!F391+'Model inputs'!F424+'Model inputs'!F436</f>
        <v>0</v>
      </c>
      <c r="G412" s="9">
        <f>'Model inputs'!G391+'Model inputs'!G424+'Model inputs'!G436</f>
        <v>0</v>
      </c>
      <c r="H412" s="9">
        <f>'Model inputs'!H391+'Model inputs'!H424+'Model inputs'!H436</f>
        <v>0</v>
      </c>
      <c r="I412" s="9">
        <f>'Model inputs'!I391+'Model inputs'!I424+'Model inputs'!I436</f>
        <v>0</v>
      </c>
      <c r="J412" s="9">
        <f>'Model inputs'!J391+'Model inputs'!J424+'Model inputs'!J436</f>
        <v>0</v>
      </c>
      <c r="K412" s="9">
        <f>'Model inputs'!K391+'Model inputs'!K424+'Model inputs'!K436</f>
        <v>0</v>
      </c>
      <c r="L412" s="9">
        <f>'Model inputs'!L391+'Model inputs'!L424+'Model inputs'!L436</f>
        <v>0</v>
      </c>
      <c r="M412" s="9">
        <f>'Model inputs'!M391+'Model inputs'!M424+'Model inputs'!M436</f>
        <v>0</v>
      </c>
      <c r="N412" s="9">
        <f>'Model inputs'!N391+'Model inputs'!N424+'Model inputs'!N436</f>
        <v>0</v>
      </c>
      <c r="O412" s="9">
        <f>'Model inputs'!O391+'Model inputs'!O424+'Model inputs'!O436</f>
        <v>74950</v>
      </c>
      <c r="P412" s="9">
        <f>'Model inputs'!P391+'Model inputs'!P424+'Model inputs'!P436</f>
        <v>95186.5</v>
      </c>
      <c r="Q412" s="9">
        <f>'Model inputs'!Q391+'Model inputs'!Q424+'Model inputs'!Q436</f>
        <v>204220.18833333332</v>
      </c>
      <c r="R412" s="9">
        <f>'Model inputs'!R391+'Model inputs'!R424+'Model inputs'!R436</f>
        <v>236859.63918333332</v>
      </c>
      <c r="S412" s="9">
        <f>'Model inputs'!S391+'Model inputs'!S424+'Model inputs'!S436</f>
        <v>278311.7417628334</v>
      </c>
      <c r="T412" s="9">
        <f>'Model inputs'!T391+'Model inputs'!T424+'Model inputs'!T436</f>
        <v>497622.5787054651</v>
      </c>
      <c r="U412" s="9">
        <f>'Model inputs'!U391+'Model inputs'!U424+'Model inputs'!U436</f>
        <v>564480.6749559406</v>
      </c>
      <c r="V412" s="9">
        <f>'Model inputs'!V391+'Model inputs'!V424+'Model inputs'!V436</f>
        <v>649390.4571940445</v>
      </c>
      <c r="W412" s="9">
        <f>'Model inputs'!W391+'Model inputs'!W424+'Model inputs'!W436</f>
        <v>923892.5473031031</v>
      </c>
      <c r="X412" s="9">
        <f>'Model inputs'!X391+'Model inputs'!X424+'Model inputs'!X436</f>
        <v>1060843.5350749409</v>
      </c>
      <c r="Y412" s="9">
        <f>'Model inputs'!Y391+'Model inputs'!Y424+'Model inputs'!Y436</f>
        <v>1234771.2895451752</v>
      </c>
      <c r="Z412" s="9">
        <f>'Model inputs'!Z391+'Model inputs'!Z424+'Model inputs'!Z436</f>
        <v>1538992.871055706</v>
      </c>
      <c r="AA412" s="9">
        <f>'Model inputs'!AA391+'Model inputs'!AA424+'Model inputs'!AA436</f>
        <v>1819520.9462407464</v>
      </c>
      <c r="AB412" s="9">
        <f>'Model inputs'!AB391+'Model inputs'!AB424+'Model inputs'!AB436</f>
        <v>2175791.601725748</v>
      </c>
      <c r="AC412" s="9">
        <f>'Model inputs'!AC391+'Model inputs'!AC424+'Model inputs'!AC436</f>
        <v>2836588.6675250325</v>
      </c>
      <c r="AD412" s="9">
        <f>'Model inputs'!AD391+'Model inputs'!AD424+'Model inputs'!AD436</f>
        <v>3411217.6077567916</v>
      </c>
      <c r="AE412" s="9">
        <f>'Model inputs'!AE391+'Model inputs'!AE424+'Model inputs'!AE436</f>
        <v>4140996.361851126</v>
      </c>
      <c r="AF412" s="9">
        <f>'Model inputs'!AF391+'Model inputs'!AF424+'Model inputs'!AF436</f>
        <v>5151148.712884263</v>
      </c>
      <c r="AG412" s="9">
        <f>'Model inputs'!AG391+'Model inputs'!AG424+'Model inputs'!AG436</f>
        <v>6328208.865363015</v>
      </c>
      <c r="AH412" s="9">
        <f>'Model inputs'!AH391+'Model inputs'!AH424+'Model inputs'!AH436</f>
        <v>7906408.592344362</v>
      </c>
      <c r="AI412" s="9">
        <f>'Model inputs'!AI391+'Model inputs'!AI424+'Model inputs'!AI436</f>
        <v>10013222.245610673</v>
      </c>
    </row>
    <row r="413">
      <c r="A413" t="inlineStr" s="13">
        <is>
          <t xml:space="preserve">Haq Total revenue · Haq Operating profit · Haq Future minimum profit · Conservative · Conservative · Conservative</t>
        </is>
      </c>
      <c r="B413" s="9">
        <f>'Model inputs'!B392+'Model inputs'!B425+'Model inputs'!B437</f>
        <v>0</v>
      </c>
      <c r="C413" s="9">
        <f>'Model inputs'!C392+'Model inputs'!C425+'Model inputs'!C437</f>
        <v>0</v>
      </c>
      <c r="D413" s="9">
        <f>'Model inputs'!D392+'Model inputs'!D425+'Model inputs'!D437</f>
        <v>0</v>
      </c>
      <c r="E413" s="9">
        <f>'Model inputs'!E392+'Model inputs'!E425+'Model inputs'!E437</f>
        <v>0</v>
      </c>
      <c r="F413" s="9">
        <f>'Model inputs'!F392+'Model inputs'!F425+'Model inputs'!F437</f>
        <v>0</v>
      </c>
      <c r="G413" s="9">
        <f>'Model inputs'!G392+'Model inputs'!G425+'Model inputs'!G437</f>
        <v>0</v>
      </c>
      <c r="H413" s="9">
        <f>'Model inputs'!H392+'Model inputs'!H425+'Model inputs'!H437</f>
        <v>0</v>
      </c>
      <c r="I413" s="9">
        <f>'Model inputs'!I392+'Model inputs'!I425+'Model inputs'!I437</f>
        <v>0</v>
      </c>
      <c r="J413" s="9">
        <f>'Model inputs'!J392+'Model inputs'!J425+'Model inputs'!J437</f>
        <v>0</v>
      </c>
      <c r="K413" s="9">
        <f>'Model inputs'!K392+'Model inputs'!K425+'Model inputs'!K437</f>
        <v>0</v>
      </c>
      <c r="L413" s="9">
        <f>'Model inputs'!L392+'Model inputs'!L425+'Model inputs'!L437</f>
        <v>0</v>
      </c>
      <c r="M413" s="9">
        <f>'Model inputs'!M392+'Model inputs'!M425+'Model inputs'!M437</f>
        <v>0</v>
      </c>
      <c r="N413" s="9">
        <f>'Model inputs'!N392+'Model inputs'!N425+'Model inputs'!N437</f>
        <v>0</v>
      </c>
      <c r="O413" s="9">
        <f>'Model inputs'!O392+'Model inputs'!O425+'Model inputs'!O437</f>
        <v>74950</v>
      </c>
      <c r="P413" s="9">
        <f>'Model inputs'!P392+'Model inputs'!P425+'Model inputs'!P437</f>
        <v>77198.5</v>
      </c>
      <c r="Q413" s="9">
        <f>'Model inputs'!Q392+'Model inputs'!Q425+'Model inputs'!Q437</f>
        <v>100347.78833333333</v>
      </c>
      <c r="R413" s="9">
        <f>'Model inputs'!R392+'Model inputs'!R425+'Model inputs'!R437</f>
        <v>102733.22198333332</v>
      </c>
      <c r="S413" s="9">
        <f>'Model inputs'!S392+'Model inputs'!S425+'Model inputs'!S437</f>
        <v>105190.21864283334</v>
      </c>
      <c r="T413" s="9">
        <f>'Model inputs'!T392+'Model inputs'!T425+'Model inputs'!T437</f>
        <v>149387.591868785</v>
      </c>
      <c r="U413" s="9">
        <f>'Model inputs'!U392+'Model inputs'!U425+'Model inputs'!U437</f>
        <v>151994.21962484857</v>
      </c>
      <c r="V413" s="9">
        <f>'Model inputs'!V392+'Model inputs'!V425+'Model inputs'!V437</f>
        <v>154679.046213594</v>
      </c>
      <c r="W413" s="9">
        <f>'Model inputs'!W392+'Model inputs'!W425+'Model inputs'!W437</f>
        <v>199111.08426666848</v>
      </c>
      <c r="X413" s="9">
        <f>'Model inputs'!X392+'Model inputs'!X425+'Model inputs'!X437</f>
        <v>201959.41679466853</v>
      </c>
      <c r="Y413" s="9">
        <f>'Model inputs'!Y392+'Model inputs'!Y425+'Model inputs'!Y437</f>
        <v>204893.1992985086</v>
      </c>
      <c r="Z413" s="9">
        <f>'Model inputs'!Z392+'Model inputs'!Z425+'Model inputs'!Z437</f>
        <v>228748.32861079724</v>
      </c>
      <c r="AA413" s="9">
        <f>'Model inputs'!AA392+'Model inputs'!AA425+'Model inputs'!AA437</f>
        <v>231860.77846912114</v>
      </c>
      <c r="AB413" s="9">
        <f>'Model inputs'!AB392+'Model inputs'!AB425+'Model inputs'!AB437</f>
        <v>235066.60182319477</v>
      </c>
      <c r="AC413" s="9">
        <f>'Model inputs'!AC392+'Model inputs'!AC425+'Model inputs'!AC437</f>
        <v>290451.9332112239</v>
      </c>
      <c r="AD413" s="9">
        <f>'Model inputs'!AD392+'Model inputs'!AD425+'Model inputs'!AD437</f>
        <v>293852.99120756064</v>
      </c>
      <c r="AE413" s="9">
        <f>'Model inputs'!AE392+'Model inputs'!AE425+'Model inputs'!AE437</f>
        <v>297356.08094378747</v>
      </c>
      <c r="AF413" s="9">
        <f>'Model inputs'!AF392+'Model inputs'!AF425+'Model inputs'!AF437</f>
        <v>321797.59670543444</v>
      </c>
      <c r="AG413" s="9">
        <f>'Model inputs'!AG392+'Model inputs'!AG425+'Model inputs'!AG437</f>
        <v>325514.0246065975</v>
      </c>
      <c r="AH413" s="9">
        <f>'Model inputs'!AH392+'Model inputs'!AH425+'Model inputs'!AH437</f>
        <v>350175.2786781287</v>
      </c>
      <c r="AI413" s="9">
        <f>'Model inputs'!AI392+'Model inputs'!AI425+'Model inputs'!AI437</f>
        <v>406201.3703718059</v>
      </c>
    </row>
    <row r="414">
      <c r="A414" t="inlineStr" s="13">
        <is>
          <t xml:space="preserve">Haq CSC checks · Haq Ending cash · Main Scenario · Main Scenario</t>
        </is>
      </c>
      <c r="B414" s="8">
        <f>'Model inputs'!B189*'Model inputs'!AJ21</f>
        <v>0</v>
      </c>
      <c r="C414" s="8">
        <f>'Model inputs'!C189*'Model inputs'!AJ21</f>
        <v>0</v>
      </c>
      <c r="D414" s="8">
        <f>'Model inputs'!D189*'Model inputs'!AJ21</f>
        <v>0</v>
      </c>
      <c r="E414" s="8">
        <f>'Model inputs'!E189*'Model inputs'!AJ21</f>
        <v>0</v>
      </c>
      <c r="F414" s="8">
        <f>'Model inputs'!F189*'Model inputs'!AJ21</f>
        <v>0</v>
      </c>
      <c r="G414" s="8">
        <f>'Model inputs'!G189*'Model inputs'!AJ21</f>
        <v>0</v>
      </c>
      <c r="H414" s="8">
        <f>'Model inputs'!H189*'Model inputs'!AJ21</f>
        <v>0</v>
      </c>
      <c r="I414" s="8">
        <f>'Model inputs'!I189*'Model inputs'!AJ21</f>
        <v>0</v>
      </c>
      <c r="J414" s="8">
        <f>'Model inputs'!J189*'Model inputs'!AJ21</f>
        <v>0</v>
      </c>
      <c r="K414" s="8">
        <f>'Model inputs'!K189*'Model inputs'!AJ21</f>
        <v>0</v>
      </c>
      <c r="L414" s="8">
        <f>'Model inputs'!L189*'Model inputs'!AJ21</f>
        <v>0</v>
      </c>
      <c r="M414" s="8">
        <f>'Model inputs'!M189*'Model inputs'!AJ21</f>
        <v>0</v>
      </c>
      <c r="N414" s="8">
        <f>'Model inputs'!N189*'Model inputs'!AJ21</f>
        <v>0</v>
      </c>
      <c r="O414" s="8">
        <f>'Model inputs'!O189*'Model inputs'!AJ21</f>
        <v>4000</v>
      </c>
      <c r="P414" s="8">
        <f>'Model inputs'!P189*'Model inputs'!AJ21</f>
        <v>4599.999999999999</v>
      </c>
      <c r="Q414" s="8">
        <f>'Model inputs'!Q189*'Model inputs'!AJ21</f>
        <v>5289.999999999999</v>
      </c>
      <c r="R414" s="8">
        <f>'Model inputs'!R189*'Model inputs'!AJ21</f>
        <v>6083.499999999998</v>
      </c>
      <c r="S414" s="8">
        <f>'Model inputs'!S189*'Model inputs'!AJ21</f>
        <v>6996.024999999998</v>
      </c>
      <c r="T414" s="8">
        <f>'Model inputs'!T189*'Model inputs'!AJ21</f>
        <v>8045.428749999996</v>
      </c>
      <c r="U414" s="8">
        <f>'Model inputs'!U189*'Model inputs'!AJ21</f>
        <v>9252.243062499994</v>
      </c>
      <c r="V414" s="8">
        <f>'Model inputs'!V189*'Model inputs'!AJ21</f>
        <v>10640.079521874994</v>
      </c>
      <c r="W414" s="8">
        <f>'Model inputs'!W189*'Model inputs'!AJ21</f>
        <v>12236.09145015624</v>
      </c>
      <c r="X414" s="8">
        <f>'Model inputs'!X189*'Model inputs'!AJ21</f>
        <v>14071.505167679677</v>
      </c>
      <c r="Y414" s="8">
        <f>'Model inputs'!Y189*'Model inputs'!AJ21</f>
        <v>16182.230942831628</v>
      </c>
      <c r="Z414" s="8">
        <f>'Model inputs'!Z189*'Model inputs'!AJ21</f>
        <v>18609.565584256372</v>
      </c>
      <c r="AA414" s="8">
        <f>'Model inputs'!AA189*'Model inputs'!AJ21</f>
        <v>21401.000421894823</v>
      </c>
      <c r="AB414" s="8">
        <f>'Model inputs'!AB189*'Model inputs'!AJ21</f>
        <v>24611.150485179045</v>
      </c>
      <c r="AC414" s="8">
        <f>'Model inputs'!AC189*'Model inputs'!AJ21</f>
        <v>28302.823057955902</v>
      </c>
      <c r="AD414" s="8">
        <f>'Model inputs'!AD189*'Model inputs'!AJ21</f>
        <v>32548.246516649284</v>
      </c>
      <c r="AE414" s="8">
        <f>'Model inputs'!AE189*'Model inputs'!AJ21</f>
        <v>37430.483494146676</v>
      </c>
      <c r="AF414" s="8">
        <f>'Model inputs'!AF189*'Model inputs'!AJ21</f>
        <v>43045.05601826867</v>
      </c>
      <c r="AG414" s="8">
        <f>'Model inputs'!AG189*'Model inputs'!AJ21</f>
        <v>49501.81442100897</v>
      </c>
      <c r="AH414" s="8">
        <f>'Model inputs'!AH189*'Model inputs'!AJ21</f>
        <v>56927.08658416031</v>
      </c>
      <c r="AI414" s="8">
        <f>'Model inputs'!AI189*'Model inputs'!AJ21</f>
        <v>65466.14957178434</v>
      </c>
    </row>
    <row r="415">
      <c r="A415" t="inlineStr" s="13">
        <is>
          <t xml:space="preserve">Haq CSC checks · Haq Ending cash · Growth · Growth</t>
        </is>
      </c>
      <c r="B415" s="8">
        <f>'Model inputs'!B190*'Model inputs'!AJ77</f>
        <v>0</v>
      </c>
      <c r="C415" s="8">
        <f>'Model inputs'!C190*'Model inputs'!AJ77</f>
        <v>0</v>
      </c>
      <c r="D415" s="8">
        <f>'Model inputs'!D190*'Model inputs'!AJ77</f>
        <v>0</v>
      </c>
      <c r="E415" s="8">
        <f>'Model inputs'!E190*'Model inputs'!AJ77</f>
        <v>0</v>
      </c>
      <c r="F415" s="8">
        <f>'Model inputs'!F190*'Model inputs'!AJ77</f>
        <v>0</v>
      </c>
      <c r="G415" s="8">
        <f>'Model inputs'!G190*'Model inputs'!AJ77</f>
        <v>0</v>
      </c>
      <c r="H415" s="8">
        <f>'Model inputs'!H190*'Model inputs'!AJ77</f>
        <v>0</v>
      </c>
      <c r="I415" s="8">
        <f>'Model inputs'!I190*'Model inputs'!AJ77</f>
        <v>0</v>
      </c>
      <c r="J415" s="8">
        <f>'Model inputs'!J190*'Model inputs'!AJ77</f>
        <v>0</v>
      </c>
      <c r="K415" s="8">
        <f>'Model inputs'!K190*'Model inputs'!AJ77</f>
        <v>0</v>
      </c>
      <c r="L415" s="8">
        <f>'Model inputs'!L190*'Model inputs'!AJ77</f>
        <v>0</v>
      </c>
      <c r="M415" s="8">
        <f>'Model inputs'!M190*'Model inputs'!AJ77</f>
        <v>0</v>
      </c>
      <c r="N415" s="8">
        <f>'Model inputs'!N190*'Model inputs'!AJ77</f>
        <v>0</v>
      </c>
      <c r="O415" s="8">
        <f>'Model inputs'!O190*'Model inputs'!AJ77</f>
        <v>4000</v>
      </c>
      <c r="P415" s="8">
        <f>'Model inputs'!P190*'Model inputs'!AJ77</f>
        <v>5080</v>
      </c>
      <c r="Q415" s="8">
        <f>'Model inputs'!Q190*'Model inputs'!AJ77</f>
        <v>6451.599999999999</v>
      </c>
      <c r="R415" s="8">
        <f>'Model inputs'!R190*'Model inputs'!AJ77</f>
        <v>8193.532</v>
      </c>
      <c r="S415" s="8">
        <f>'Model inputs'!S190*'Model inputs'!AJ77</f>
        <v>10405.785640000002</v>
      </c>
      <c r="T415" s="8">
        <f>'Model inputs'!T190*'Model inputs'!AJ77</f>
        <v>13215.347762800002</v>
      </c>
      <c r="U415" s="8">
        <f>'Model inputs'!U190*'Model inputs'!AJ77</f>
        <v>16783.491658756</v>
      </c>
      <c r="V415" s="8">
        <f>'Model inputs'!V190*'Model inputs'!AJ77</f>
        <v>21315.03440662012</v>
      </c>
      <c r="W415" s="8">
        <f>'Model inputs'!W190*'Model inputs'!AJ77</f>
        <v>27070.09369640755</v>
      </c>
      <c r="X415" s="8">
        <f>'Model inputs'!X190*'Model inputs'!AJ77</f>
        <v>34379.01899443759</v>
      </c>
      <c r="Y415" s="8">
        <f>'Model inputs'!Y190*'Model inputs'!AJ77</f>
        <v>43661.35412293574</v>
      </c>
      <c r="Z415" s="8">
        <f>'Model inputs'!Z190*'Model inputs'!AJ77</f>
        <v>55449.919736128395</v>
      </c>
      <c r="AA415" s="8">
        <f>'Model inputs'!AA190*'Model inputs'!AJ77</f>
        <v>70421.39806488306</v>
      </c>
      <c r="AB415" s="8">
        <f>'Model inputs'!AB190*'Model inputs'!AJ77</f>
        <v>89435.17554240148</v>
      </c>
      <c r="AC415" s="8">
        <f>'Model inputs'!AC190*'Model inputs'!AJ77</f>
        <v>113582.67293884988</v>
      </c>
      <c r="AD415" s="8">
        <f>'Model inputs'!AD190*'Model inputs'!AJ77</f>
        <v>144249.99463233934</v>
      </c>
      <c r="AE415" s="8">
        <f>'Model inputs'!AE190*'Model inputs'!AJ77</f>
        <v>183197.49318307097</v>
      </c>
      <c r="AF415" s="8">
        <f>'Model inputs'!AF190*'Model inputs'!AJ77</f>
        <v>232660.81634250015</v>
      </c>
      <c r="AG415" s="8">
        <f>'Model inputs'!AG190*'Model inputs'!AJ77</f>
        <v>295479.2367549752</v>
      </c>
      <c r="AH415" s="8">
        <f>'Model inputs'!AH190*'Model inputs'!AJ77</f>
        <v>375258.6306788185</v>
      </c>
      <c r="AI415" s="8">
        <f>'Model inputs'!AI190*'Model inputs'!AJ77</f>
        <v>476578.4609620995</v>
      </c>
    </row>
    <row r="416">
      <c r="A416" t="inlineStr" s="13">
        <is>
          <t xml:space="preserve">Haq CSC checks · Haq Ending cash · Conservative · Conservative</t>
        </is>
      </c>
      <c r="B416" s="8">
        <f>'Model inputs'!B191*'Model inputs'!AJ133</f>
        <v>0</v>
      </c>
      <c r="C416" s="8">
        <f>'Model inputs'!C191*'Model inputs'!AJ133</f>
        <v>0</v>
      </c>
      <c r="D416" s="8">
        <f>'Model inputs'!D191*'Model inputs'!AJ133</f>
        <v>0</v>
      </c>
      <c r="E416" s="8">
        <f>'Model inputs'!E191*'Model inputs'!AJ133</f>
        <v>0</v>
      </c>
      <c r="F416" s="8">
        <f>'Model inputs'!F191*'Model inputs'!AJ133</f>
        <v>0</v>
      </c>
      <c r="G416" s="8">
        <f>'Model inputs'!G191*'Model inputs'!AJ133</f>
        <v>0</v>
      </c>
      <c r="H416" s="8">
        <f>'Model inputs'!H191*'Model inputs'!AJ133</f>
        <v>0</v>
      </c>
      <c r="I416" s="8">
        <f>'Model inputs'!I191*'Model inputs'!AJ133</f>
        <v>0</v>
      </c>
      <c r="J416" s="8">
        <f>'Model inputs'!J191*'Model inputs'!AJ133</f>
        <v>0</v>
      </c>
      <c r="K416" s="8">
        <f>'Model inputs'!K191*'Model inputs'!AJ133</f>
        <v>0</v>
      </c>
      <c r="L416" s="8">
        <f>'Model inputs'!L191*'Model inputs'!AJ133</f>
        <v>0</v>
      </c>
      <c r="M416" s="8">
        <f>'Model inputs'!M191*'Model inputs'!AJ133</f>
        <v>0</v>
      </c>
      <c r="N416" s="8">
        <f>'Model inputs'!N191*'Model inputs'!AJ133</f>
        <v>0</v>
      </c>
      <c r="O416" s="8">
        <f>'Model inputs'!O191*'Model inputs'!AJ133</f>
        <v>4000</v>
      </c>
      <c r="P416" s="8">
        <f>'Model inputs'!P191*'Model inputs'!AJ133</f>
        <v>4120</v>
      </c>
      <c r="Q416" s="8">
        <f>'Model inputs'!Q191*'Model inputs'!AJ133</f>
        <v>4243.6</v>
      </c>
      <c r="R416" s="8">
        <f>'Model inputs'!R191*'Model inputs'!AJ133</f>
        <v>4370.908</v>
      </c>
      <c r="S416" s="8">
        <f>'Model inputs'!S191*'Model inputs'!AJ133</f>
        <v>4502.03524</v>
      </c>
      <c r="T416" s="8">
        <f>'Model inputs'!T191*'Model inputs'!AJ133</f>
        <v>4637.0962972</v>
      </c>
      <c r="U416" s="8">
        <f>'Model inputs'!U191*'Model inputs'!AJ133</f>
        <v>4776.209186116001</v>
      </c>
      <c r="V416" s="8">
        <f>'Model inputs'!V191*'Model inputs'!AJ133</f>
        <v>4919.49546169948</v>
      </c>
      <c r="W416" s="8">
        <f>'Model inputs'!W191*'Model inputs'!AJ133</f>
        <v>5067.080325550465</v>
      </c>
      <c r="X416" s="8">
        <f>'Model inputs'!X191*'Model inputs'!AJ133</f>
        <v>5219.092735316979</v>
      </c>
      <c r="Y416" s="8">
        <f>'Model inputs'!Y191*'Model inputs'!AJ133</f>
        <v>5375.665517376488</v>
      </c>
      <c r="Z416" s="8">
        <f>'Model inputs'!Z191*'Model inputs'!AJ133</f>
        <v>5536.935482897784</v>
      </c>
      <c r="AA416" s="8">
        <f>'Model inputs'!AA191*'Model inputs'!AJ133</f>
        <v>5703.043547384717</v>
      </c>
      <c r="AB416" s="8">
        <f>'Model inputs'!AB191*'Model inputs'!AJ133</f>
        <v>5874.134853806258</v>
      </c>
      <c r="AC416" s="8">
        <f>'Model inputs'!AC191*'Model inputs'!AJ133</f>
        <v>6050.358899420446</v>
      </c>
      <c r="AD416" s="8">
        <f>'Model inputs'!AD191*'Model inputs'!AJ133</f>
        <v>6231.8696664030595</v>
      </c>
      <c r="AE416" s="8">
        <f>'Model inputs'!AE191*'Model inputs'!AJ133</f>
        <v>6418.825756395152</v>
      </c>
      <c r="AF416" s="8">
        <f>'Model inputs'!AF191*'Model inputs'!AJ133</f>
        <v>6611.390529087006</v>
      </c>
      <c r="AG416" s="8">
        <f>'Model inputs'!AG191*'Model inputs'!AJ133</f>
        <v>6809.732244959616</v>
      </c>
      <c r="AH416" s="8">
        <f>'Model inputs'!AH191*'Model inputs'!AJ133</f>
        <v>7014.0242123084045</v>
      </c>
      <c r="AI416" s="8">
        <f>'Model inputs'!AI191*'Model inputs'!AJ133</f>
        <v>7224.444938677657</v>
      </c>
    </row>
    <row r="417">
      <c r="A417" t="inlineStr" s="13">
        <is>
          <t xml:space="preserve">Haq CSR checks · Haq Ending cash · Main Scenario · Main Scenario</t>
        </is>
      </c>
      <c r="B417" s="8">
        <f>'Model inputs'!B444*'Model inputs'!AJ31/12</f>
        <v>0</v>
      </c>
      <c r="C417" s="8">
        <f>'Model inputs'!C444*'Model inputs'!AJ31/12</f>
        <v>0</v>
      </c>
      <c r="D417" s="8">
        <f>'Model inputs'!D444*'Model inputs'!AJ31/12</f>
        <v>0</v>
      </c>
      <c r="E417" s="8">
        <f>'Model inputs'!E444*'Model inputs'!AJ31/12</f>
        <v>0</v>
      </c>
      <c r="F417" s="8">
        <f>'Model inputs'!F444*'Model inputs'!AJ31/12</f>
        <v>0</v>
      </c>
      <c r="G417" s="8">
        <f>'Model inputs'!G444*'Model inputs'!AJ31/12</f>
        <v>0</v>
      </c>
      <c r="H417" s="8">
        <f>'Model inputs'!H444*'Model inputs'!AJ31/12</f>
        <v>0</v>
      </c>
      <c r="I417" s="8">
        <f>'Model inputs'!I444*'Model inputs'!AJ31/12</f>
        <v>0</v>
      </c>
      <c r="J417" s="8">
        <f>'Model inputs'!J444*'Model inputs'!AJ31/12</f>
        <v>0</v>
      </c>
      <c r="K417" s="8">
        <f>'Model inputs'!K444*'Model inputs'!AJ31/12</f>
        <v>0</v>
      </c>
      <c r="L417" s="8">
        <f>'Model inputs'!L444*'Model inputs'!AJ31/12</f>
        <v>0</v>
      </c>
      <c r="M417" s="8">
        <f>'Model inputs'!M444*'Model inputs'!AJ31/12</f>
        <v>0</v>
      </c>
      <c r="N417" s="8">
        <f>'Model inputs'!N444*'Model inputs'!AJ31/12</f>
        <v>0</v>
      </c>
      <c r="O417" s="8">
        <f>'Model inputs'!O444*'Model inputs'!AJ31/12</f>
        <v>0</v>
      </c>
      <c r="P417" s="8">
        <f>'Model inputs'!P444*'Model inputs'!AJ31/12</f>
        <v>0</v>
      </c>
      <c r="Q417" s="8">
        <f>'Model inputs'!Q444*'Model inputs'!AJ31/12</f>
        <v>2083.333333333333</v>
      </c>
      <c r="R417" s="8">
        <f>'Model inputs'!R444*'Model inputs'!AJ31/12</f>
        <v>2083.333333333333</v>
      </c>
      <c r="S417" s="8">
        <f>'Model inputs'!S444*'Model inputs'!AJ31/12</f>
        <v>2083.333333333333</v>
      </c>
      <c r="T417" s="8">
        <f>'Model inputs'!T444*'Model inputs'!AJ31/12</f>
        <v>4166.666666666666</v>
      </c>
      <c r="U417" s="8">
        <f>'Model inputs'!U444*'Model inputs'!AJ31/12</f>
        <v>4166.666666666666</v>
      </c>
      <c r="V417" s="8">
        <f>'Model inputs'!V444*'Model inputs'!AJ31/12</f>
        <v>4166.666666666666</v>
      </c>
      <c r="W417" s="8">
        <f>'Model inputs'!W444*'Model inputs'!AJ31/12</f>
        <v>6250</v>
      </c>
      <c r="X417" s="8">
        <f>'Model inputs'!X444*'Model inputs'!AJ31/12</f>
        <v>6250</v>
      </c>
      <c r="Y417" s="8">
        <f>'Model inputs'!Y444*'Model inputs'!AJ31/12</f>
        <v>6250</v>
      </c>
      <c r="Z417" s="8">
        <f>'Model inputs'!Z444*'Model inputs'!AJ31/12</f>
        <v>8333.333333333332</v>
      </c>
      <c r="AA417" s="8">
        <f>'Model inputs'!AA444*'Model inputs'!AJ31/12</f>
        <v>8333.333333333332</v>
      </c>
      <c r="AB417" s="8">
        <f>'Model inputs'!AB444*'Model inputs'!AJ31/12</f>
        <v>8333.333333333332</v>
      </c>
      <c r="AC417" s="8">
        <f>'Model inputs'!AC444*'Model inputs'!AJ31/12</f>
        <v>10416.666666666666</v>
      </c>
      <c r="AD417" s="8">
        <f>'Model inputs'!AD444*'Model inputs'!AJ31/12</f>
        <v>10416.666666666666</v>
      </c>
      <c r="AE417" s="8">
        <f>'Model inputs'!AE444*'Model inputs'!AJ31/12</f>
        <v>10416.666666666666</v>
      </c>
      <c r="AF417" s="8">
        <f>'Model inputs'!AF444*'Model inputs'!AJ31/12</f>
        <v>12500</v>
      </c>
      <c r="AG417" s="8">
        <f>'Model inputs'!AG444*'Model inputs'!AJ31/12</f>
        <v>12500</v>
      </c>
      <c r="AH417" s="8">
        <f>'Model inputs'!AH444*'Model inputs'!AJ31/12</f>
        <v>14583.333333333332</v>
      </c>
      <c r="AI417" s="8">
        <f>'Model inputs'!AI444*'Model inputs'!AJ31/12</f>
        <v>16666.666666666664</v>
      </c>
    </row>
    <row r="418">
      <c r="A418" t="inlineStr" s="13">
        <is>
          <t xml:space="preserve">Haq CSR checks · Haq Ending cash · Growth · Growth</t>
        </is>
      </c>
      <c r="B418" s="8">
        <f>'Model inputs'!B445*'Model inputs'!AJ87/12</f>
        <v>0</v>
      </c>
      <c r="C418" s="8">
        <f>'Model inputs'!C445*'Model inputs'!AJ87/12</f>
        <v>0</v>
      </c>
      <c r="D418" s="8">
        <f>'Model inputs'!D445*'Model inputs'!AJ87/12</f>
        <v>0</v>
      </c>
      <c r="E418" s="8">
        <f>'Model inputs'!E445*'Model inputs'!AJ87/12</f>
        <v>0</v>
      </c>
      <c r="F418" s="8">
        <f>'Model inputs'!F445*'Model inputs'!AJ87/12</f>
        <v>0</v>
      </c>
      <c r="G418" s="8">
        <f>'Model inputs'!G445*'Model inputs'!AJ87/12</f>
        <v>0</v>
      </c>
      <c r="H418" s="8">
        <f>'Model inputs'!H445*'Model inputs'!AJ87/12</f>
        <v>0</v>
      </c>
      <c r="I418" s="8">
        <f>'Model inputs'!I445*'Model inputs'!AJ87/12</f>
        <v>0</v>
      </c>
      <c r="J418" s="8">
        <f>'Model inputs'!J445*'Model inputs'!AJ87/12</f>
        <v>0</v>
      </c>
      <c r="K418" s="8">
        <f>'Model inputs'!K445*'Model inputs'!AJ87/12</f>
        <v>0</v>
      </c>
      <c r="L418" s="8">
        <f>'Model inputs'!L445*'Model inputs'!AJ87/12</f>
        <v>0</v>
      </c>
      <c r="M418" s="8">
        <f>'Model inputs'!M445*'Model inputs'!AJ87/12</f>
        <v>0</v>
      </c>
      <c r="N418" s="8">
        <f>'Model inputs'!N445*'Model inputs'!AJ87/12</f>
        <v>0</v>
      </c>
      <c r="O418" s="8">
        <f>'Model inputs'!O445*'Model inputs'!AJ87/12</f>
        <v>0</v>
      </c>
      <c r="P418" s="8">
        <f>'Model inputs'!P445*'Model inputs'!AJ87/12</f>
        <v>0</v>
      </c>
      <c r="Q418" s="8">
        <f>'Model inputs'!Q445*'Model inputs'!AJ87/12</f>
        <v>4166.666666666666</v>
      </c>
      <c r="R418" s="8">
        <f>'Model inputs'!R445*'Model inputs'!AJ87/12</f>
        <v>4166.666666666666</v>
      </c>
      <c r="S418" s="8">
        <f>'Model inputs'!S445*'Model inputs'!AJ87/12</f>
        <v>4166.666666666666</v>
      </c>
      <c r="T418" s="8">
        <f>'Model inputs'!T445*'Model inputs'!AJ87/12</f>
        <v>8333.333333333332</v>
      </c>
      <c r="U418" s="8">
        <f>'Model inputs'!U445*'Model inputs'!AJ87/12</f>
        <v>8333.333333333332</v>
      </c>
      <c r="V418" s="8">
        <f>'Model inputs'!V445*'Model inputs'!AJ87/12</f>
        <v>8333.333333333332</v>
      </c>
      <c r="W418" s="8">
        <f>'Model inputs'!W445*'Model inputs'!AJ87/12</f>
        <v>12500</v>
      </c>
      <c r="X418" s="8">
        <f>'Model inputs'!X445*'Model inputs'!AJ87/12</f>
        <v>12500</v>
      </c>
      <c r="Y418" s="8">
        <f>'Model inputs'!Y445*'Model inputs'!AJ87/12</f>
        <v>12500</v>
      </c>
      <c r="Z418" s="8">
        <f>'Model inputs'!Z445*'Model inputs'!AJ87/12</f>
        <v>16666.666666666664</v>
      </c>
      <c r="AA418" s="8">
        <f>'Model inputs'!AA445*'Model inputs'!AJ87/12</f>
        <v>16666.666666666664</v>
      </c>
      <c r="AB418" s="8">
        <f>'Model inputs'!AB445*'Model inputs'!AJ87/12</f>
        <v>16666.666666666664</v>
      </c>
      <c r="AC418" s="8">
        <f>'Model inputs'!AC445*'Model inputs'!AJ87/12</f>
        <v>20833.333333333332</v>
      </c>
      <c r="AD418" s="8">
        <f>'Model inputs'!AD445*'Model inputs'!AJ87/12</f>
        <v>20833.333333333332</v>
      </c>
      <c r="AE418" s="8">
        <f>'Model inputs'!AE445*'Model inputs'!AJ87/12</f>
        <v>20833.333333333332</v>
      </c>
      <c r="AF418" s="8">
        <f>'Model inputs'!AF445*'Model inputs'!AJ87/12</f>
        <v>25000</v>
      </c>
      <c r="AG418" s="8">
        <f>'Model inputs'!AG445*'Model inputs'!AJ87/12</f>
        <v>25000</v>
      </c>
      <c r="AH418" s="8">
        <f>'Model inputs'!AH445*'Model inputs'!AJ87/12</f>
        <v>29166.666666666664</v>
      </c>
      <c r="AI418" s="8">
        <f>'Model inputs'!AI445*'Model inputs'!AJ87/12</f>
        <v>33333.33333333333</v>
      </c>
    </row>
    <row r="419">
      <c r="A419" t="inlineStr" s="13">
        <is>
          <t xml:space="preserve">Haq CSR checks · Haq Ending cash · Conservative · Conservative</t>
        </is>
      </c>
      <c r="B419" s="8">
        <f>'Model inputs'!B446*'Model inputs'!AJ143/12</f>
        <v>0</v>
      </c>
      <c r="C419" s="8">
        <f>'Model inputs'!C446*'Model inputs'!AJ143/12</f>
        <v>0</v>
      </c>
      <c r="D419" s="8">
        <f>'Model inputs'!D446*'Model inputs'!AJ143/12</f>
        <v>0</v>
      </c>
      <c r="E419" s="8">
        <f>'Model inputs'!E446*'Model inputs'!AJ143/12</f>
        <v>0</v>
      </c>
      <c r="F419" s="8">
        <f>'Model inputs'!F446*'Model inputs'!AJ143/12</f>
        <v>0</v>
      </c>
      <c r="G419" s="8">
        <f>'Model inputs'!G446*'Model inputs'!AJ143/12</f>
        <v>0</v>
      </c>
      <c r="H419" s="8">
        <f>'Model inputs'!H446*'Model inputs'!AJ143/12</f>
        <v>0</v>
      </c>
      <c r="I419" s="8">
        <f>'Model inputs'!I446*'Model inputs'!AJ143/12</f>
        <v>0</v>
      </c>
      <c r="J419" s="8">
        <f>'Model inputs'!J446*'Model inputs'!AJ143/12</f>
        <v>0</v>
      </c>
      <c r="K419" s="8">
        <f>'Model inputs'!K446*'Model inputs'!AJ143/12</f>
        <v>0</v>
      </c>
      <c r="L419" s="8">
        <f>'Model inputs'!L446*'Model inputs'!AJ143/12</f>
        <v>0</v>
      </c>
      <c r="M419" s="8">
        <f>'Model inputs'!M446*'Model inputs'!AJ143/12</f>
        <v>0</v>
      </c>
      <c r="N419" s="8">
        <f>'Model inputs'!N446*'Model inputs'!AJ143/12</f>
        <v>0</v>
      </c>
      <c r="O419" s="8">
        <f>'Model inputs'!O446*'Model inputs'!AJ143/12</f>
        <v>0</v>
      </c>
      <c r="P419" s="8">
        <f>'Model inputs'!P446*'Model inputs'!AJ143/12</f>
        <v>0</v>
      </c>
      <c r="Q419" s="8">
        <f>'Model inputs'!Q446*'Model inputs'!AJ143/12</f>
        <v>1041.6666666666665</v>
      </c>
      <c r="R419" s="8">
        <f>'Model inputs'!R446*'Model inputs'!AJ143/12</f>
        <v>1041.6666666666665</v>
      </c>
      <c r="S419" s="8">
        <f>'Model inputs'!S446*'Model inputs'!AJ143/12</f>
        <v>1041.6666666666665</v>
      </c>
      <c r="T419" s="8">
        <f>'Model inputs'!T446*'Model inputs'!AJ143/12</f>
        <v>2083.333333333333</v>
      </c>
      <c r="U419" s="8">
        <f>'Model inputs'!U446*'Model inputs'!AJ143/12</f>
        <v>2083.333333333333</v>
      </c>
      <c r="V419" s="8">
        <f>'Model inputs'!V446*'Model inputs'!AJ143/12</f>
        <v>2083.333333333333</v>
      </c>
      <c r="W419" s="8">
        <f>'Model inputs'!W446*'Model inputs'!AJ143/12</f>
        <v>3125</v>
      </c>
      <c r="X419" s="8">
        <f>'Model inputs'!X446*'Model inputs'!AJ143/12</f>
        <v>3125</v>
      </c>
      <c r="Y419" s="8">
        <f>'Model inputs'!Y446*'Model inputs'!AJ143/12</f>
        <v>3125</v>
      </c>
      <c r="Z419" s="8">
        <f>'Model inputs'!Z446*'Model inputs'!AJ143/12</f>
        <v>4166.666666666666</v>
      </c>
      <c r="AA419" s="8">
        <f>'Model inputs'!AA446*'Model inputs'!AJ143/12</f>
        <v>4166.666666666666</v>
      </c>
      <c r="AB419" s="8">
        <f>'Model inputs'!AB446*'Model inputs'!AJ143/12</f>
        <v>4166.666666666666</v>
      </c>
      <c r="AC419" s="8">
        <f>'Model inputs'!AC446*'Model inputs'!AJ143/12</f>
        <v>5208.333333333333</v>
      </c>
      <c r="AD419" s="8">
        <f>'Model inputs'!AD446*'Model inputs'!AJ143/12</f>
        <v>5208.333333333333</v>
      </c>
      <c r="AE419" s="8">
        <f>'Model inputs'!AE446*'Model inputs'!AJ143/12</f>
        <v>5208.333333333333</v>
      </c>
      <c r="AF419" s="8">
        <f>'Model inputs'!AF446*'Model inputs'!AJ143/12</f>
        <v>6250</v>
      </c>
      <c r="AG419" s="8">
        <f>'Model inputs'!AG446*'Model inputs'!AJ143/12</f>
        <v>6250</v>
      </c>
      <c r="AH419" s="8">
        <f>'Model inputs'!AH446*'Model inputs'!AJ143/12</f>
        <v>7291.666666666666</v>
      </c>
      <c r="AI419" s="8">
        <f>'Model inputs'!AI446*'Model inputs'!AJ143/12</f>
        <v>8333.333333333332</v>
      </c>
    </row>
    <row r="420">
      <c r="A420" t="inlineStr" s="13">
        <is>
          <t xml:space="preserve">Haq CSR launches · Haq Ending cash · Main Scenario · Main Scenario</t>
        </is>
      </c>
      <c r="B420" s="8">
        <f>MAX('Model inputs'!B444-0,0)</f>
        <v>0</v>
      </c>
      <c r="C420" s="8">
        <f>MAX('Model inputs'!C444-'Model inputs'!B444,0)</f>
        <v>0</v>
      </c>
      <c r="D420" s="8">
        <f>MAX('Model inputs'!D444-'Model inputs'!C444,0)</f>
        <v>0</v>
      </c>
      <c r="E420" s="8">
        <f>MAX('Model inputs'!E444-'Model inputs'!D444,0)</f>
        <v>0</v>
      </c>
      <c r="F420" s="8">
        <f>MAX('Model inputs'!F444-'Model inputs'!E444,0)</f>
        <v>0</v>
      </c>
      <c r="G420" s="8">
        <f>MAX('Model inputs'!G444-'Model inputs'!F444,0)</f>
        <v>0</v>
      </c>
      <c r="H420" s="8">
        <f>MAX('Model inputs'!H444-'Model inputs'!G444,0)</f>
        <v>0</v>
      </c>
      <c r="I420" s="8">
        <f>MAX('Model inputs'!I444-'Model inputs'!H444,0)</f>
        <v>0</v>
      </c>
      <c r="J420" s="8">
        <f>MAX('Model inputs'!J444-'Model inputs'!I444,0)</f>
        <v>0</v>
      </c>
      <c r="K420" s="8">
        <f>MAX('Model inputs'!K444-'Model inputs'!J444,0)</f>
        <v>0</v>
      </c>
      <c r="L420" s="8">
        <f>MAX('Model inputs'!L444-'Model inputs'!K444,0)</f>
        <v>0</v>
      </c>
      <c r="M420" s="8">
        <f>MAX('Model inputs'!M444-'Model inputs'!L444,0)</f>
        <v>0</v>
      </c>
      <c r="N420" s="8">
        <f>MAX('Model inputs'!N444-'Model inputs'!M444,0)</f>
        <v>0</v>
      </c>
      <c r="O420" s="8">
        <f>MAX('Model inputs'!O444-'Model inputs'!N444,0)</f>
        <v>0</v>
      </c>
      <c r="P420" s="8">
        <f>MAX('Model inputs'!P444-'Model inputs'!O444,0)</f>
        <v>0</v>
      </c>
      <c r="Q420" s="8">
        <f>MAX('Model inputs'!Q444-'Model inputs'!P444,0)</f>
        <v>1</v>
      </c>
      <c r="R420" s="8">
        <f>MAX('Model inputs'!R444-'Model inputs'!Q444,0)</f>
        <v>0</v>
      </c>
      <c r="S420" s="8">
        <f>MAX('Model inputs'!S444-'Model inputs'!R444,0)</f>
        <v>0</v>
      </c>
      <c r="T420" s="8">
        <f>MAX('Model inputs'!T444-'Model inputs'!S444,0)</f>
        <v>1</v>
      </c>
      <c r="U420" s="8">
        <f>MAX('Model inputs'!U444-'Model inputs'!T444,0)</f>
        <v>0</v>
      </c>
      <c r="V420" s="8">
        <f>MAX('Model inputs'!V444-'Model inputs'!U444,0)</f>
        <v>0</v>
      </c>
      <c r="W420" s="8">
        <f>MAX('Model inputs'!W444-'Model inputs'!V444,0)</f>
        <v>1</v>
      </c>
      <c r="X420" s="8">
        <f>MAX('Model inputs'!X444-'Model inputs'!W444,0)</f>
        <v>0</v>
      </c>
      <c r="Y420" s="8">
        <f>MAX('Model inputs'!Y444-'Model inputs'!X444,0)</f>
        <v>0</v>
      </c>
      <c r="Z420" s="8">
        <f>MAX('Model inputs'!Z444-'Model inputs'!Y444,0)</f>
        <v>1</v>
      </c>
      <c r="AA420" s="8">
        <f>MAX('Model inputs'!AA444-'Model inputs'!Z444,0)</f>
        <v>0</v>
      </c>
      <c r="AB420" s="8">
        <f>MAX('Model inputs'!AB444-'Model inputs'!AA444,0)</f>
        <v>0</v>
      </c>
      <c r="AC420" s="8">
        <f>MAX('Model inputs'!AC444-'Model inputs'!AB444,0)</f>
        <v>1</v>
      </c>
      <c r="AD420" s="8">
        <f>MAX('Model inputs'!AD444-'Model inputs'!AC444,0)</f>
        <v>0</v>
      </c>
      <c r="AE420" s="8">
        <f>MAX('Model inputs'!AE444-'Model inputs'!AD444,0)</f>
        <v>0</v>
      </c>
      <c r="AF420" s="8">
        <f>MAX('Model inputs'!AF444-'Model inputs'!AE444,0)</f>
        <v>1</v>
      </c>
      <c r="AG420" s="8">
        <f>MAX('Model inputs'!AG444-'Model inputs'!AF444,0)</f>
        <v>0</v>
      </c>
      <c r="AH420" s="8">
        <f>MAX('Model inputs'!AH444-'Model inputs'!AG444,0)</f>
        <v>1</v>
      </c>
      <c r="AI420" s="8">
        <f>MAX('Model inputs'!AI444-'Model inputs'!AH444,0)</f>
        <v>1</v>
      </c>
    </row>
    <row r="421">
      <c r="A421" t="inlineStr" s="13">
        <is>
          <t xml:space="preserve">Haq CSR launches · Haq Ending cash · Growth · Growth</t>
        </is>
      </c>
      <c r="B421" s="8">
        <f>MAX('Model inputs'!B445-0,0)</f>
        <v>0</v>
      </c>
      <c r="C421" s="8">
        <f>MAX('Model inputs'!C445-'Model inputs'!B445,0)</f>
        <v>0</v>
      </c>
      <c r="D421" s="8">
        <f>MAX('Model inputs'!D445-'Model inputs'!C445,0)</f>
        <v>0</v>
      </c>
      <c r="E421" s="8">
        <f>MAX('Model inputs'!E445-'Model inputs'!D445,0)</f>
        <v>0</v>
      </c>
      <c r="F421" s="8">
        <f>MAX('Model inputs'!F445-'Model inputs'!E445,0)</f>
        <v>0</v>
      </c>
      <c r="G421" s="8">
        <f>MAX('Model inputs'!G445-'Model inputs'!F445,0)</f>
        <v>0</v>
      </c>
      <c r="H421" s="8">
        <f>MAX('Model inputs'!H445-'Model inputs'!G445,0)</f>
        <v>0</v>
      </c>
      <c r="I421" s="8">
        <f>MAX('Model inputs'!I445-'Model inputs'!H445,0)</f>
        <v>0</v>
      </c>
      <c r="J421" s="8">
        <f>MAX('Model inputs'!J445-'Model inputs'!I445,0)</f>
        <v>0</v>
      </c>
      <c r="K421" s="8">
        <f>MAX('Model inputs'!K445-'Model inputs'!J445,0)</f>
        <v>0</v>
      </c>
      <c r="L421" s="8">
        <f>MAX('Model inputs'!L445-'Model inputs'!K445,0)</f>
        <v>0</v>
      </c>
      <c r="M421" s="8">
        <f>MAX('Model inputs'!M445-'Model inputs'!L445,0)</f>
        <v>0</v>
      </c>
      <c r="N421" s="8">
        <f>MAX('Model inputs'!N445-'Model inputs'!M445,0)</f>
        <v>0</v>
      </c>
      <c r="O421" s="8">
        <f>MAX('Model inputs'!O445-'Model inputs'!N445,0)</f>
        <v>0</v>
      </c>
      <c r="P421" s="8">
        <f>MAX('Model inputs'!P445-'Model inputs'!O445,0)</f>
        <v>0</v>
      </c>
      <c r="Q421" s="8">
        <f>MAX('Model inputs'!Q445-'Model inputs'!P445,0)</f>
        <v>2</v>
      </c>
      <c r="R421" s="8">
        <f>MAX('Model inputs'!R445-'Model inputs'!Q445,0)</f>
        <v>0</v>
      </c>
      <c r="S421" s="8">
        <f>MAX('Model inputs'!S445-'Model inputs'!R445,0)</f>
        <v>0</v>
      </c>
      <c r="T421" s="8">
        <f>MAX('Model inputs'!T445-'Model inputs'!S445,0)</f>
        <v>2</v>
      </c>
      <c r="U421" s="8">
        <f>MAX('Model inputs'!U445-'Model inputs'!T445,0)</f>
        <v>0</v>
      </c>
      <c r="V421" s="8">
        <f>MAX('Model inputs'!V445-'Model inputs'!U445,0)</f>
        <v>0</v>
      </c>
      <c r="W421" s="8">
        <f>MAX('Model inputs'!W445-'Model inputs'!V445,0)</f>
        <v>2</v>
      </c>
      <c r="X421" s="8">
        <f>MAX('Model inputs'!X445-'Model inputs'!W445,0)</f>
        <v>0</v>
      </c>
      <c r="Y421" s="8">
        <f>MAX('Model inputs'!Y445-'Model inputs'!X445,0)</f>
        <v>0</v>
      </c>
      <c r="Z421" s="8">
        <f>MAX('Model inputs'!Z445-'Model inputs'!Y445,0)</f>
        <v>2</v>
      </c>
      <c r="AA421" s="8">
        <f>MAX('Model inputs'!AA445-'Model inputs'!Z445,0)</f>
        <v>0</v>
      </c>
      <c r="AB421" s="8">
        <f>MAX('Model inputs'!AB445-'Model inputs'!AA445,0)</f>
        <v>0</v>
      </c>
      <c r="AC421" s="8">
        <f>MAX('Model inputs'!AC445-'Model inputs'!AB445,0)</f>
        <v>2</v>
      </c>
      <c r="AD421" s="8">
        <f>MAX('Model inputs'!AD445-'Model inputs'!AC445,0)</f>
        <v>0</v>
      </c>
      <c r="AE421" s="8">
        <f>MAX('Model inputs'!AE445-'Model inputs'!AD445,0)</f>
        <v>0</v>
      </c>
      <c r="AF421" s="8">
        <f>MAX('Model inputs'!AF445-'Model inputs'!AE445,0)</f>
        <v>2</v>
      </c>
      <c r="AG421" s="8">
        <f>MAX('Model inputs'!AG445-'Model inputs'!AF445,0)</f>
        <v>0</v>
      </c>
      <c r="AH421" s="8">
        <f>MAX('Model inputs'!AH445-'Model inputs'!AG445,0)</f>
        <v>2</v>
      </c>
      <c r="AI421" s="8">
        <f>MAX('Model inputs'!AI445-'Model inputs'!AH445,0)</f>
        <v>2</v>
      </c>
    </row>
    <row r="422">
      <c r="A422" t="inlineStr" s="13">
        <is>
          <t xml:space="preserve">Haq CSR launches · Haq Ending cash · Conservative · Conservative</t>
        </is>
      </c>
      <c r="B422" s="8">
        <f>MAX('Model inputs'!B446-0,0)</f>
        <v>0</v>
      </c>
      <c r="C422" s="8">
        <f>MAX('Model inputs'!C446-'Model inputs'!B446,0)</f>
        <v>0</v>
      </c>
      <c r="D422" s="8">
        <f>MAX('Model inputs'!D446-'Model inputs'!C446,0)</f>
        <v>0</v>
      </c>
      <c r="E422" s="8">
        <f>MAX('Model inputs'!E446-'Model inputs'!D446,0)</f>
        <v>0</v>
      </c>
      <c r="F422" s="8">
        <f>MAX('Model inputs'!F446-'Model inputs'!E446,0)</f>
        <v>0</v>
      </c>
      <c r="G422" s="8">
        <f>MAX('Model inputs'!G446-'Model inputs'!F446,0)</f>
        <v>0</v>
      </c>
      <c r="H422" s="8">
        <f>MAX('Model inputs'!H446-'Model inputs'!G446,0)</f>
        <v>0</v>
      </c>
      <c r="I422" s="8">
        <f>MAX('Model inputs'!I446-'Model inputs'!H446,0)</f>
        <v>0</v>
      </c>
      <c r="J422" s="8">
        <f>MAX('Model inputs'!J446-'Model inputs'!I446,0)</f>
        <v>0</v>
      </c>
      <c r="K422" s="8">
        <f>MAX('Model inputs'!K446-'Model inputs'!J446,0)</f>
        <v>0</v>
      </c>
      <c r="L422" s="8">
        <f>MAX('Model inputs'!L446-'Model inputs'!K446,0)</f>
        <v>0</v>
      </c>
      <c r="M422" s="8">
        <f>MAX('Model inputs'!M446-'Model inputs'!L446,0)</f>
        <v>0</v>
      </c>
      <c r="N422" s="8">
        <f>MAX('Model inputs'!N446-'Model inputs'!M446,0)</f>
        <v>0</v>
      </c>
      <c r="O422" s="8">
        <f>MAX('Model inputs'!O446-'Model inputs'!N446,0)</f>
        <v>0</v>
      </c>
      <c r="P422" s="8">
        <f>MAX('Model inputs'!P446-'Model inputs'!O446,0)</f>
        <v>0</v>
      </c>
      <c r="Q422" s="8">
        <f>MAX('Model inputs'!Q446-'Model inputs'!P446,0)</f>
        <v>0.5</v>
      </c>
      <c r="R422" s="8">
        <f>MAX('Model inputs'!R446-'Model inputs'!Q446,0)</f>
        <v>0</v>
      </c>
      <c r="S422" s="8">
        <f>MAX('Model inputs'!S446-'Model inputs'!R446,0)</f>
        <v>0</v>
      </c>
      <c r="T422" s="8">
        <f>MAX('Model inputs'!T446-'Model inputs'!S446,0)</f>
        <v>0.5</v>
      </c>
      <c r="U422" s="8">
        <f>MAX('Model inputs'!U446-'Model inputs'!T446,0)</f>
        <v>0</v>
      </c>
      <c r="V422" s="8">
        <f>MAX('Model inputs'!V446-'Model inputs'!U446,0)</f>
        <v>0</v>
      </c>
      <c r="W422" s="8">
        <f>MAX('Model inputs'!W446-'Model inputs'!V446,0)</f>
        <v>0.5</v>
      </c>
      <c r="X422" s="8">
        <f>MAX('Model inputs'!X446-'Model inputs'!W446,0)</f>
        <v>0</v>
      </c>
      <c r="Y422" s="8">
        <f>MAX('Model inputs'!Y446-'Model inputs'!X446,0)</f>
        <v>0</v>
      </c>
      <c r="Z422" s="8">
        <f>MAX('Model inputs'!Z446-'Model inputs'!Y446,0)</f>
        <v>0.5</v>
      </c>
      <c r="AA422" s="8">
        <f>MAX('Model inputs'!AA446-'Model inputs'!Z446,0)</f>
        <v>0</v>
      </c>
      <c r="AB422" s="8">
        <f>MAX('Model inputs'!AB446-'Model inputs'!AA446,0)</f>
        <v>0</v>
      </c>
      <c r="AC422" s="8">
        <f>MAX('Model inputs'!AC446-'Model inputs'!AB446,0)</f>
        <v>0.5</v>
      </c>
      <c r="AD422" s="8">
        <f>MAX('Model inputs'!AD446-'Model inputs'!AC446,0)</f>
        <v>0</v>
      </c>
      <c r="AE422" s="8">
        <f>MAX('Model inputs'!AE446-'Model inputs'!AD446,0)</f>
        <v>0</v>
      </c>
      <c r="AF422" s="8">
        <f>MAX('Model inputs'!AF446-'Model inputs'!AE446,0)</f>
        <v>0.5</v>
      </c>
      <c r="AG422" s="8">
        <f>MAX('Model inputs'!AG446-'Model inputs'!AF446,0)</f>
        <v>0</v>
      </c>
      <c r="AH422" s="8">
        <f>MAX('Model inputs'!AH446-'Model inputs'!AG446,0)</f>
        <v>0.5</v>
      </c>
      <c r="AI422" s="8">
        <f>MAX('Model inputs'!AI446-'Model inputs'!AH446,0)</f>
        <v>0.5</v>
      </c>
    </row>
    <row r="423">
      <c r="A423" t="inlineStr" s="13">
        <is>
          <t xml:space="preserve">Haq CSR revenue · Haq Operating profit · Haq Future minimum profit · Main Scenario · Main Scenario · Main Scenario</t>
        </is>
      </c>
      <c r="B423" s="9">
        <f>'Model inputs'!B444*'Model inputs'!AJ30/12</f>
        <v>0</v>
      </c>
      <c r="C423" s="9">
        <f>'Model inputs'!C444*'Model inputs'!AJ30/12</f>
        <v>0</v>
      </c>
      <c r="D423" s="9">
        <f>'Model inputs'!D444*'Model inputs'!AJ30/12</f>
        <v>0</v>
      </c>
      <c r="E423" s="9">
        <f>'Model inputs'!E444*'Model inputs'!AJ30/12</f>
        <v>0</v>
      </c>
      <c r="F423" s="9">
        <f>'Model inputs'!F444*'Model inputs'!AJ30/12</f>
        <v>0</v>
      </c>
      <c r="G423" s="9">
        <f>'Model inputs'!G444*'Model inputs'!AJ30/12</f>
        <v>0</v>
      </c>
      <c r="H423" s="9">
        <f>'Model inputs'!H444*'Model inputs'!AJ30/12</f>
        <v>0</v>
      </c>
      <c r="I423" s="9">
        <f>'Model inputs'!I444*'Model inputs'!AJ30/12</f>
        <v>0</v>
      </c>
      <c r="J423" s="9">
        <f>'Model inputs'!J444*'Model inputs'!AJ30/12</f>
        <v>0</v>
      </c>
      <c r="K423" s="9">
        <f>'Model inputs'!K444*'Model inputs'!AJ30/12</f>
        <v>0</v>
      </c>
      <c r="L423" s="9">
        <f>'Model inputs'!L444*'Model inputs'!AJ30/12</f>
        <v>0</v>
      </c>
      <c r="M423" s="9">
        <f>'Model inputs'!M444*'Model inputs'!AJ30/12</f>
        <v>0</v>
      </c>
      <c r="N423" s="9">
        <f>'Model inputs'!N444*'Model inputs'!AJ30/12</f>
        <v>0</v>
      </c>
      <c r="O423" s="9">
        <f>'Model inputs'!O444*'Model inputs'!AJ30/12</f>
        <v>0</v>
      </c>
      <c r="P423" s="9">
        <f>'Model inputs'!P444*'Model inputs'!AJ30/12</f>
        <v>0</v>
      </c>
      <c r="Q423" s="9">
        <f>'Model inputs'!Q444*'Model inputs'!AJ30/12</f>
        <v>41666.666666666664</v>
      </c>
      <c r="R423" s="9">
        <f>'Model inputs'!R444*'Model inputs'!AJ30/12</f>
        <v>41666.666666666664</v>
      </c>
      <c r="S423" s="9">
        <f>'Model inputs'!S444*'Model inputs'!AJ30/12</f>
        <v>41666.666666666664</v>
      </c>
      <c r="T423" s="9">
        <f>'Model inputs'!T444*'Model inputs'!AJ30/12</f>
        <v>83333.33333333333</v>
      </c>
      <c r="U423" s="9">
        <f>'Model inputs'!U444*'Model inputs'!AJ30/12</f>
        <v>83333.33333333333</v>
      </c>
      <c r="V423" s="9">
        <f>'Model inputs'!V444*'Model inputs'!AJ30/12</f>
        <v>83333.33333333333</v>
      </c>
      <c r="W423" s="9">
        <f>'Model inputs'!W444*'Model inputs'!AJ30/12</f>
        <v>125000</v>
      </c>
      <c r="X423" s="9">
        <f>'Model inputs'!X444*'Model inputs'!AJ30/12</f>
        <v>125000</v>
      </c>
      <c r="Y423" s="9">
        <f>'Model inputs'!Y444*'Model inputs'!AJ30/12</f>
        <v>125000</v>
      </c>
      <c r="Z423" s="9">
        <f>'Model inputs'!Z444*'Model inputs'!AJ30/12</f>
        <v>166666.66666666666</v>
      </c>
      <c r="AA423" s="9">
        <f>'Model inputs'!AA444*'Model inputs'!AJ30/12</f>
        <v>166666.66666666666</v>
      </c>
      <c r="AB423" s="9">
        <f>'Model inputs'!AB444*'Model inputs'!AJ30/12</f>
        <v>166666.66666666666</v>
      </c>
      <c r="AC423" s="9">
        <f>'Model inputs'!AC444*'Model inputs'!AJ30/12</f>
        <v>208333.3333333333</v>
      </c>
      <c r="AD423" s="9">
        <f>'Model inputs'!AD444*'Model inputs'!AJ30/12</f>
        <v>208333.3333333333</v>
      </c>
      <c r="AE423" s="9">
        <f>'Model inputs'!AE444*'Model inputs'!AJ30/12</f>
        <v>208333.3333333333</v>
      </c>
      <c r="AF423" s="9">
        <f>'Model inputs'!AF444*'Model inputs'!AJ30/12</f>
        <v>250000</v>
      </c>
      <c r="AG423" s="9">
        <f>'Model inputs'!AG444*'Model inputs'!AJ30/12</f>
        <v>250000</v>
      </c>
      <c r="AH423" s="9">
        <f>'Model inputs'!AH444*'Model inputs'!AJ30/12</f>
        <v>291666.6666666666</v>
      </c>
      <c r="AI423" s="9">
        <f>'Model inputs'!AI444*'Model inputs'!AJ30/12</f>
        <v>333333.3333333333</v>
      </c>
    </row>
    <row r="424">
      <c r="A424" t="inlineStr" s="13">
        <is>
          <t xml:space="preserve">Haq CSR revenue · Haq Operating profit · Haq Future minimum profit · Growth · Growth · Growth</t>
        </is>
      </c>
      <c r="B424" s="9">
        <f>'Model inputs'!B445*'Model inputs'!AJ86/12</f>
        <v>0</v>
      </c>
      <c r="C424" s="9">
        <f>'Model inputs'!C445*'Model inputs'!AJ86/12</f>
        <v>0</v>
      </c>
      <c r="D424" s="9">
        <f>'Model inputs'!D445*'Model inputs'!AJ86/12</f>
        <v>0</v>
      </c>
      <c r="E424" s="9">
        <f>'Model inputs'!E445*'Model inputs'!AJ86/12</f>
        <v>0</v>
      </c>
      <c r="F424" s="9">
        <f>'Model inputs'!F445*'Model inputs'!AJ86/12</f>
        <v>0</v>
      </c>
      <c r="G424" s="9">
        <f>'Model inputs'!G445*'Model inputs'!AJ86/12</f>
        <v>0</v>
      </c>
      <c r="H424" s="9">
        <f>'Model inputs'!H445*'Model inputs'!AJ86/12</f>
        <v>0</v>
      </c>
      <c r="I424" s="9">
        <f>'Model inputs'!I445*'Model inputs'!AJ86/12</f>
        <v>0</v>
      </c>
      <c r="J424" s="9">
        <f>'Model inputs'!J445*'Model inputs'!AJ86/12</f>
        <v>0</v>
      </c>
      <c r="K424" s="9">
        <f>'Model inputs'!K445*'Model inputs'!AJ86/12</f>
        <v>0</v>
      </c>
      <c r="L424" s="9">
        <f>'Model inputs'!L445*'Model inputs'!AJ86/12</f>
        <v>0</v>
      </c>
      <c r="M424" s="9">
        <f>'Model inputs'!M445*'Model inputs'!AJ86/12</f>
        <v>0</v>
      </c>
      <c r="N424" s="9">
        <f>'Model inputs'!N445*'Model inputs'!AJ86/12</f>
        <v>0</v>
      </c>
      <c r="O424" s="9">
        <f>'Model inputs'!O445*'Model inputs'!AJ86/12</f>
        <v>0</v>
      </c>
      <c r="P424" s="9">
        <f>'Model inputs'!P445*'Model inputs'!AJ86/12</f>
        <v>0</v>
      </c>
      <c r="Q424" s="9">
        <f>'Model inputs'!Q445*'Model inputs'!AJ86/12</f>
        <v>83333.33333333333</v>
      </c>
      <c r="R424" s="9">
        <f>'Model inputs'!R445*'Model inputs'!AJ86/12</f>
        <v>83333.33333333333</v>
      </c>
      <c r="S424" s="9">
        <f>'Model inputs'!S445*'Model inputs'!AJ86/12</f>
        <v>83333.33333333333</v>
      </c>
      <c r="T424" s="9">
        <f>'Model inputs'!T445*'Model inputs'!AJ86/12</f>
        <v>166666.66666666666</v>
      </c>
      <c r="U424" s="9">
        <f>'Model inputs'!U445*'Model inputs'!AJ86/12</f>
        <v>166666.66666666666</v>
      </c>
      <c r="V424" s="9">
        <f>'Model inputs'!V445*'Model inputs'!AJ86/12</f>
        <v>166666.66666666666</v>
      </c>
      <c r="W424" s="9">
        <f>'Model inputs'!W445*'Model inputs'!AJ86/12</f>
        <v>250000</v>
      </c>
      <c r="X424" s="9">
        <f>'Model inputs'!X445*'Model inputs'!AJ86/12</f>
        <v>250000</v>
      </c>
      <c r="Y424" s="9">
        <f>'Model inputs'!Y445*'Model inputs'!AJ86/12</f>
        <v>250000</v>
      </c>
      <c r="Z424" s="9">
        <f>'Model inputs'!Z445*'Model inputs'!AJ86/12</f>
        <v>333333.3333333333</v>
      </c>
      <c r="AA424" s="9">
        <f>'Model inputs'!AA445*'Model inputs'!AJ86/12</f>
        <v>333333.3333333333</v>
      </c>
      <c r="AB424" s="9">
        <f>'Model inputs'!AB445*'Model inputs'!AJ86/12</f>
        <v>333333.3333333333</v>
      </c>
      <c r="AC424" s="9">
        <f>'Model inputs'!AC445*'Model inputs'!AJ86/12</f>
        <v>416666.6666666666</v>
      </c>
      <c r="AD424" s="9">
        <f>'Model inputs'!AD445*'Model inputs'!AJ86/12</f>
        <v>416666.6666666666</v>
      </c>
      <c r="AE424" s="9">
        <f>'Model inputs'!AE445*'Model inputs'!AJ86/12</f>
        <v>416666.6666666666</v>
      </c>
      <c r="AF424" s="9">
        <f>'Model inputs'!AF445*'Model inputs'!AJ86/12</f>
        <v>500000</v>
      </c>
      <c r="AG424" s="9">
        <f>'Model inputs'!AG445*'Model inputs'!AJ86/12</f>
        <v>500000</v>
      </c>
      <c r="AH424" s="9">
        <f>'Model inputs'!AH445*'Model inputs'!AJ86/12</f>
        <v>583333.3333333333</v>
      </c>
      <c r="AI424" s="9">
        <f>'Model inputs'!AI445*'Model inputs'!AJ86/12</f>
        <v>666666.6666666666</v>
      </c>
    </row>
    <row r="425">
      <c r="A425" t="inlineStr" s="13">
        <is>
          <t xml:space="preserve">Haq CSR revenue · Haq Operating profit · Haq Future minimum profit · Conservative · Conservative · Conservative</t>
        </is>
      </c>
      <c r="B425" s="9">
        <f>'Model inputs'!B446*'Model inputs'!AJ142/12</f>
        <v>0</v>
      </c>
      <c r="C425" s="9">
        <f>'Model inputs'!C446*'Model inputs'!AJ142/12</f>
        <v>0</v>
      </c>
      <c r="D425" s="9">
        <f>'Model inputs'!D446*'Model inputs'!AJ142/12</f>
        <v>0</v>
      </c>
      <c r="E425" s="9">
        <f>'Model inputs'!E446*'Model inputs'!AJ142/12</f>
        <v>0</v>
      </c>
      <c r="F425" s="9">
        <f>'Model inputs'!F446*'Model inputs'!AJ142/12</f>
        <v>0</v>
      </c>
      <c r="G425" s="9">
        <f>'Model inputs'!G446*'Model inputs'!AJ142/12</f>
        <v>0</v>
      </c>
      <c r="H425" s="9">
        <f>'Model inputs'!H446*'Model inputs'!AJ142/12</f>
        <v>0</v>
      </c>
      <c r="I425" s="9">
        <f>'Model inputs'!I446*'Model inputs'!AJ142/12</f>
        <v>0</v>
      </c>
      <c r="J425" s="9">
        <f>'Model inputs'!J446*'Model inputs'!AJ142/12</f>
        <v>0</v>
      </c>
      <c r="K425" s="9">
        <f>'Model inputs'!K446*'Model inputs'!AJ142/12</f>
        <v>0</v>
      </c>
      <c r="L425" s="9">
        <f>'Model inputs'!L446*'Model inputs'!AJ142/12</f>
        <v>0</v>
      </c>
      <c r="M425" s="9">
        <f>'Model inputs'!M446*'Model inputs'!AJ142/12</f>
        <v>0</v>
      </c>
      <c r="N425" s="9">
        <f>'Model inputs'!N446*'Model inputs'!AJ142/12</f>
        <v>0</v>
      </c>
      <c r="O425" s="9">
        <f>'Model inputs'!O446*'Model inputs'!AJ142/12</f>
        <v>0</v>
      </c>
      <c r="P425" s="9">
        <f>'Model inputs'!P446*'Model inputs'!AJ142/12</f>
        <v>0</v>
      </c>
      <c r="Q425" s="9">
        <f>'Model inputs'!Q446*'Model inputs'!AJ142/12</f>
        <v>20833.333333333332</v>
      </c>
      <c r="R425" s="9">
        <f>'Model inputs'!R446*'Model inputs'!AJ142/12</f>
        <v>20833.333333333332</v>
      </c>
      <c r="S425" s="9">
        <f>'Model inputs'!S446*'Model inputs'!AJ142/12</f>
        <v>20833.333333333332</v>
      </c>
      <c r="T425" s="9">
        <f>'Model inputs'!T446*'Model inputs'!AJ142/12</f>
        <v>41666.666666666664</v>
      </c>
      <c r="U425" s="9">
        <f>'Model inputs'!U446*'Model inputs'!AJ142/12</f>
        <v>41666.666666666664</v>
      </c>
      <c r="V425" s="9">
        <f>'Model inputs'!V446*'Model inputs'!AJ142/12</f>
        <v>41666.666666666664</v>
      </c>
      <c r="W425" s="9">
        <f>'Model inputs'!W446*'Model inputs'!AJ142/12</f>
        <v>62500</v>
      </c>
      <c r="X425" s="9">
        <f>'Model inputs'!X446*'Model inputs'!AJ142/12</f>
        <v>62500</v>
      </c>
      <c r="Y425" s="9">
        <f>'Model inputs'!Y446*'Model inputs'!AJ142/12</f>
        <v>62500</v>
      </c>
      <c r="Z425" s="9">
        <f>'Model inputs'!Z446*'Model inputs'!AJ142/12</f>
        <v>83333.33333333333</v>
      </c>
      <c r="AA425" s="9">
        <f>'Model inputs'!AA446*'Model inputs'!AJ142/12</f>
        <v>83333.33333333333</v>
      </c>
      <c r="AB425" s="9">
        <f>'Model inputs'!AB446*'Model inputs'!AJ142/12</f>
        <v>83333.33333333333</v>
      </c>
      <c r="AC425" s="9">
        <f>'Model inputs'!AC446*'Model inputs'!AJ142/12</f>
        <v>104166.66666666666</v>
      </c>
      <c r="AD425" s="9">
        <f>'Model inputs'!AD446*'Model inputs'!AJ142/12</f>
        <v>104166.66666666666</v>
      </c>
      <c r="AE425" s="9">
        <f>'Model inputs'!AE446*'Model inputs'!AJ142/12</f>
        <v>104166.66666666666</v>
      </c>
      <c r="AF425" s="9">
        <f>'Model inputs'!AF446*'Model inputs'!AJ142/12</f>
        <v>125000</v>
      </c>
      <c r="AG425" s="9">
        <f>'Model inputs'!AG446*'Model inputs'!AJ142/12</f>
        <v>125000</v>
      </c>
      <c r="AH425" s="9">
        <f>'Model inputs'!AH446*'Model inputs'!AJ142/12</f>
        <v>145833.3333333333</v>
      </c>
      <c r="AI425" s="9">
        <f>'Model inputs'!AI446*'Model inputs'!AJ142/12</f>
        <v>166666.66666666666</v>
      </c>
    </row>
    <row r="426">
      <c r="A426" t="inlineStr" s="13">
        <is>
          <t xml:space="preserve">Haq Developer payroll · Haq Ending cash · Main Scenario · Main Scenario</t>
        </is>
      </c>
      <c r="B426" s="9">
        <f>IF(IF(IF(ISERROR('Model inputs'!B186&gt;='Model inputs'!AJ49),'Model inputs'!B186&gt;='Model inputs'!AJ49,IF(OR('Model inputs'!B186="",'Model inputs'!AJ49=""),"",'Model inputs'!B186&gt;='Model inputs'!AJ49))="",FALSE,IF(ISERROR('Model inputs'!B186&gt;='Model inputs'!AJ49),'Model inputs'!B186&gt;='Model inputs'!AJ49,IF(OR('Model inputs'!B186="",'Model inputs'!AJ49=""),"",'Model inputs'!B186&gt;='Model inputs'!AJ49))),'Model inputs'!AJ48*'Model inputs'!AJ47,0)</f>
        <v>0</v>
      </c>
      <c r="C426" s="9">
        <f>IF(IF(IF(ISERROR('Model inputs'!C186&gt;='Model inputs'!AJ49),'Model inputs'!C186&gt;='Model inputs'!AJ49,IF(OR('Model inputs'!C186="",'Model inputs'!AJ49=""),"",'Model inputs'!C186&gt;='Model inputs'!AJ49))="",FALSE,IF(ISERROR('Model inputs'!C186&gt;='Model inputs'!AJ49),'Model inputs'!C186&gt;='Model inputs'!AJ49,IF(OR('Model inputs'!C186="",'Model inputs'!AJ49=""),"",'Model inputs'!C186&gt;='Model inputs'!AJ49))),'Model inputs'!AJ48*'Model inputs'!AJ47,0)</f>
        <v>0</v>
      </c>
      <c r="D426" s="9">
        <f>IF(IF(IF(ISERROR('Model inputs'!D186&gt;='Model inputs'!AJ49),'Model inputs'!D186&gt;='Model inputs'!AJ49,IF(OR('Model inputs'!D186="",'Model inputs'!AJ49=""),"",'Model inputs'!D186&gt;='Model inputs'!AJ49))="",FALSE,IF(ISERROR('Model inputs'!D186&gt;='Model inputs'!AJ49),'Model inputs'!D186&gt;='Model inputs'!AJ49,IF(OR('Model inputs'!D186="",'Model inputs'!AJ49=""),"",'Model inputs'!D186&gt;='Model inputs'!AJ49))),'Model inputs'!AJ48*'Model inputs'!AJ47,0)</f>
        <v>0</v>
      </c>
      <c r="E426" s="9">
        <f>IF(IF(IF(ISERROR('Model inputs'!E186&gt;='Model inputs'!AJ49),'Model inputs'!E186&gt;='Model inputs'!AJ49,IF(OR('Model inputs'!E186="",'Model inputs'!AJ49=""),"",'Model inputs'!E186&gt;='Model inputs'!AJ49))="",FALSE,IF(ISERROR('Model inputs'!E186&gt;='Model inputs'!AJ49),'Model inputs'!E186&gt;='Model inputs'!AJ49,IF(OR('Model inputs'!E186="",'Model inputs'!AJ49=""),"",'Model inputs'!E186&gt;='Model inputs'!AJ49))),'Model inputs'!AJ48*'Model inputs'!AJ47,0)</f>
        <v>0</v>
      </c>
      <c r="F426" s="9">
        <f>IF(IF(IF(ISERROR('Model inputs'!F186&gt;='Model inputs'!AJ49),'Model inputs'!F186&gt;='Model inputs'!AJ49,IF(OR('Model inputs'!F186="",'Model inputs'!AJ49=""),"",'Model inputs'!F186&gt;='Model inputs'!AJ49))="",FALSE,IF(ISERROR('Model inputs'!F186&gt;='Model inputs'!AJ49),'Model inputs'!F186&gt;='Model inputs'!AJ49,IF(OR('Model inputs'!F186="",'Model inputs'!AJ49=""),"",'Model inputs'!F186&gt;='Model inputs'!AJ49))),'Model inputs'!AJ48*'Model inputs'!AJ47,0)</f>
        <v>0</v>
      </c>
      <c r="G426" s="9">
        <f>IF(IF(IF(ISERROR('Model inputs'!G186&gt;='Model inputs'!AJ49),'Model inputs'!G186&gt;='Model inputs'!AJ49,IF(OR('Model inputs'!G186="",'Model inputs'!AJ49=""),"",'Model inputs'!G186&gt;='Model inputs'!AJ49))="",FALSE,IF(ISERROR('Model inputs'!G186&gt;='Model inputs'!AJ49),'Model inputs'!G186&gt;='Model inputs'!AJ49,IF(OR('Model inputs'!G186="",'Model inputs'!AJ49=""),"",'Model inputs'!G186&gt;='Model inputs'!AJ49))),'Model inputs'!AJ48*'Model inputs'!AJ47,0)</f>
        <v>0</v>
      </c>
      <c r="H426" s="9">
        <f>IF(IF(IF(ISERROR('Model inputs'!H186&gt;='Model inputs'!AJ49),'Model inputs'!H186&gt;='Model inputs'!AJ49,IF(OR('Model inputs'!H186="",'Model inputs'!AJ49=""),"",'Model inputs'!H186&gt;='Model inputs'!AJ49))="",FALSE,IF(ISERROR('Model inputs'!H186&gt;='Model inputs'!AJ49),'Model inputs'!H186&gt;='Model inputs'!AJ49,IF(OR('Model inputs'!H186="",'Model inputs'!AJ49=""),"",'Model inputs'!H186&gt;='Model inputs'!AJ49))),'Model inputs'!AJ48*'Model inputs'!AJ47,0)</f>
        <v>0</v>
      </c>
      <c r="I426" s="9">
        <f>IF(IF(IF(ISERROR('Model inputs'!I186&gt;='Model inputs'!AJ49),'Model inputs'!I186&gt;='Model inputs'!AJ49,IF(OR('Model inputs'!I186="",'Model inputs'!AJ49=""),"",'Model inputs'!I186&gt;='Model inputs'!AJ49))="",FALSE,IF(ISERROR('Model inputs'!I186&gt;='Model inputs'!AJ49),'Model inputs'!I186&gt;='Model inputs'!AJ49,IF(OR('Model inputs'!I186="",'Model inputs'!AJ49=""),"",'Model inputs'!I186&gt;='Model inputs'!AJ49))),'Model inputs'!AJ48*'Model inputs'!AJ47,0)</f>
        <v>0</v>
      </c>
      <c r="J426" s="9">
        <f>IF(IF(IF(ISERROR('Model inputs'!J186&gt;='Model inputs'!AJ49),'Model inputs'!J186&gt;='Model inputs'!AJ49,IF(OR('Model inputs'!J186="",'Model inputs'!AJ49=""),"",'Model inputs'!J186&gt;='Model inputs'!AJ49))="",FALSE,IF(ISERROR('Model inputs'!J186&gt;='Model inputs'!AJ49),'Model inputs'!J186&gt;='Model inputs'!AJ49,IF(OR('Model inputs'!J186="",'Model inputs'!AJ49=""),"",'Model inputs'!J186&gt;='Model inputs'!AJ49))),'Model inputs'!AJ48*'Model inputs'!AJ47,0)</f>
        <v>0</v>
      </c>
      <c r="K426" s="9">
        <f>IF(IF(IF(ISERROR('Model inputs'!K186&gt;='Model inputs'!AJ49),'Model inputs'!K186&gt;='Model inputs'!AJ49,IF(OR('Model inputs'!K186="",'Model inputs'!AJ49=""),"",'Model inputs'!K186&gt;='Model inputs'!AJ49))="",FALSE,IF(ISERROR('Model inputs'!K186&gt;='Model inputs'!AJ49),'Model inputs'!K186&gt;='Model inputs'!AJ49,IF(OR('Model inputs'!K186="",'Model inputs'!AJ49=""),"",'Model inputs'!K186&gt;='Model inputs'!AJ49))),'Model inputs'!AJ48*'Model inputs'!AJ47,0)</f>
        <v>0</v>
      </c>
      <c r="L426" s="9">
        <f>IF(IF(IF(ISERROR('Model inputs'!L186&gt;='Model inputs'!AJ49),'Model inputs'!L186&gt;='Model inputs'!AJ49,IF(OR('Model inputs'!L186="",'Model inputs'!AJ49=""),"",'Model inputs'!L186&gt;='Model inputs'!AJ49))="",FALSE,IF(ISERROR('Model inputs'!L186&gt;='Model inputs'!AJ49),'Model inputs'!L186&gt;='Model inputs'!AJ49,IF(OR('Model inputs'!L186="",'Model inputs'!AJ49=""),"",'Model inputs'!L186&gt;='Model inputs'!AJ49))),'Model inputs'!AJ48*'Model inputs'!AJ47,0)</f>
        <v>150000</v>
      </c>
      <c r="M426" s="9">
        <f>IF(IF(IF(ISERROR('Model inputs'!M186&gt;='Model inputs'!AJ49),'Model inputs'!M186&gt;='Model inputs'!AJ49,IF(OR('Model inputs'!M186="",'Model inputs'!AJ49=""),"",'Model inputs'!M186&gt;='Model inputs'!AJ49))="",FALSE,IF(ISERROR('Model inputs'!M186&gt;='Model inputs'!AJ49),'Model inputs'!M186&gt;='Model inputs'!AJ49,IF(OR('Model inputs'!M186="",'Model inputs'!AJ49=""),"",'Model inputs'!M186&gt;='Model inputs'!AJ49))),'Model inputs'!AJ48*'Model inputs'!AJ47,0)</f>
        <v>150000</v>
      </c>
      <c r="N426" s="9">
        <f>IF(IF(IF(ISERROR('Model inputs'!N186&gt;='Model inputs'!AJ49),'Model inputs'!N186&gt;='Model inputs'!AJ49,IF(OR('Model inputs'!N186="",'Model inputs'!AJ49=""),"",'Model inputs'!N186&gt;='Model inputs'!AJ49))="",FALSE,IF(ISERROR('Model inputs'!N186&gt;='Model inputs'!AJ49),'Model inputs'!N186&gt;='Model inputs'!AJ49,IF(OR('Model inputs'!N186="",'Model inputs'!AJ49=""),"",'Model inputs'!N186&gt;='Model inputs'!AJ49))),'Model inputs'!AJ48*'Model inputs'!AJ47,0)</f>
        <v>150000</v>
      </c>
      <c r="O426" s="9">
        <f>IF(IF(IF(ISERROR('Model inputs'!O186&gt;='Model inputs'!AJ49),'Model inputs'!O186&gt;='Model inputs'!AJ49,IF(OR('Model inputs'!O186="",'Model inputs'!AJ49=""),"",'Model inputs'!O186&gt;='Model inputs'!AJ49))="",FALSE,IF(ISERROR('Model inputs'!O186&gt;='Model inputs'!AJ49),'Model inputs'!O186&gt;='Model inputs'!AJ49,IF(OR('Model inputs'!O186="",'Model inputs'!AJ49=""),"",'Model inputs'!O186&gt;='Model inputs'!AJ49))),'Model inputs'!AJ48*'Model inputs'!AJ47,0)</f>
        <v>150000</v>
      </c>
      <c r="P426" s="9">
        <f>IF(IF(IF(ISERROR('Model inputs'!P186&gt;='Model inputs'!AJ49),'Model inputs'!P186&gt;='Model inputs'!AJ49,IF(OR('Model inputs'!P186="",'Model inputs'!AJ49=""),"",'Model inputs'!P186&gt;='Model inputs'!AJ49))="",FALSE,IF(ISERROR('Model inputs'!P186&gt;='Model inputs'!AJ49),'Model inputs'!P186&gt;='Model inputs'!AJ49,IF(OR('Model inputs'!P186="",'Model inputs'!AJ49=""),"",'Model inputs'!P186&gt;='Model inputs'!AJ49))),'Model inputs'!AJ48*'Model inputs'!AJ47,0)</f>
        <v>150000</v>
      </c>
      <c r="Q426" s="9">
        <f>IF(IF(IF(ISERROR('Model inputs'!Q186&gt;='Model inputs'!AJ49),'Model inputs'!Q186&gt;='Model inputs'!AJ49,IF(OR('Model inputs'!Q186="",'Model inputs'!AJ49=""),"",'Model inputs'!Q186&gt;='Model inputs'!AJ49))="",FALSE,IF(ISERROR('Model inputs'!Q186&gt;='Model inputs'!AJ49),'Model inputs'!Q186&gt;='Model inputs'!AJ49,IF(OR('Model inputs'!Q186="",'Model inputs'!AJ49=""),"",'Model inputs'!Q186&gt;='Model inputs'!AJ49))),'Model inputs'!AJ48*'Model inputs'!AJ47,0)</f>
        <v>150000</v>
      </c>
      <c r="R426" s="9">
        <f>IF(IF(IF(ISERROR('Model inputs'!R186&gt;='Model inputs'!AJ49),'Model inputs'!R186&gt;='Model inputs'!AJ49,IF(OR('Model inputs'!R186="",'Model inputs'!AJ49=""),"",'Model inputs'!R186&gt;='Model inputs'!AJ49))="",FALSE,IF(ISERROR('Model inputs'!R186&gt;='Model inputs'!AJ49),'Model inputs'!R186&gt;='Model inputs'!AJ49,IF(OR('Model inputs'!R186="",'Model inputs'!AJ49=""),"",'Model inputs'!R186&gt;='Model inputs'!AJ49))),'Model inputs'!AJ48*'Model inputs'!AJ47,0)</f>
        <v>150000</v>
      </c>
      <c r="S426" s="9">
        <f>IF(IF(IF(ISERROR('Model inputs'!S186&gt;='Model inputs'!AJ49),'Model inputs'!S186&gt;='Model inputs'!AJ49,IF(OR('Model inputs'!S186="",'Model inputs'!AJ49=""),"",'Model inputs'!S186&gt;='Model inputs'!AJ49))="",FALSE,IF(ISERROR('Model inputs'!S186&gt;='Model inputs'!AJ49),'Model inputs'!S186&gt;='Model inputs'!AJ49,IF(OR('Model inputs'!S186="",'Model inputs'!AJ49=""),"",'Model inputs'!S186&gt;='Model inputs'!AJ49))),'Model inputs'!AJ48*'Model inputs'!AJ47,0)</f>
        <v>150000</v>
      </c>
      <c r="T426" s="9">
        <f>IF(IF(IF(ISERROR('Model inputs'!T186&gt;='Model inputs'!AJ49),'Model inputs'!T186&gt;='Model inputs'!AJ49,IF(OR('Model inputs'!T186="",'Model inputs'!AJ49=""),"",'Model inputs'!T186&gt;='Model inputs'!AJ49))="",FALSE,IF(ISERROR('Model inputs'!T186&gt;='Model inputs'!AJ49),'Model inputs'!T186&gt;='Model inputs'!AJ49,IF(OR('Model inputs'!T186="",'Model inputs'!AJ49=""),"",'Model inputs'!T186&gt;='Model inputs'!AJ49))),'Model inputs'!AJ48*'Model inputs'!AJ47,0)</f>
        <v>150000</v>
      </c>
      <c r="U426" s="9">
        <f>IF(IF(IF(ISERROR('Model inputs'!U186&gt;='Model inputs'!AJ49),'Model inputs'!U186&gt;='Model inputs'!AJ49,IF(OR('Model inputs'!U186="",'Model inputs'!AJ49=""),"",'Model inputs'!U186&gt;='Model inputs'!AJ49))="",FALSE,IF(ISERROR('Model inputs'!U186&gt;='Model inputs'!AJ49),'Model inputs'!U186&gt;='Model inputs'!AJ49,IF(OR('Model inputs'!U186="",'Model inputs'!AJ49=""),"",'Model inputs'!U186&gt;='Model inputs'!AJ49))),'Model inputs'!AJ48*'Model inputs'!AJ47,0)</f>
        <v>150000</v>
      </c>
      <c r="V426" s="9">
        <f>IF(IF(IF(ISERROR('Model inputs'!V186&gt;='Model inputs'!AJ49),'Model inputs'!V186&gt;='Model inputs'!AJ49,IF(OR('Model inputs'!V186="",'Model inputs'!AJ49=""),"",'Model inputs'!V186&gt;='Model inputs'!AJ49))="",FALSE,IF(ISERROR('Model inputs'!V186&gt;='Model inputs'!AJ49),'Model inputs'!V186&gt;='Model inputs'!AJ49,IF(OR('Model inputs'!V186="",'Model inputs'!AJ49=""),"",'Model inputs'!V186&gt;='Model inputs'!AJ49))),'Model inputs'!AJ48*'Model inputs'!AJ47,0)</f>
        <v>150000</v>
      </c>
      <c r="W426" s="9">
        <f>IF(IF(IF(ISERROR('Model inputs'!W186&gt;='Model inputs'!AJ49),'Model inputs'!W186&gt;='Model inputs'!AJ49,IF(OR('Model inputs'!W186="",'Model inputs'!AJ49=""),"",'Model inputs'!W186&gt;='Model inputs'!AJ49))="",FALSE,IF(ISERROR('Model inputs'!W186&gt;='Model inputs'!AJ49),'Model inputs'!W186&gt;='Model inputs'!AJ49,IF(OR('Model inputs'!W186="",'Model inputs'!AJ49=""),"",'Model inputs'!W186&gt;='Model inputs'!AJ49))),'Model inputs'!AJ48*'Model inputs'!AJ47,0)</f>
        <v>150000</v>
      </c>
      <c r="X426" s="9">
        <f>IF(IF(IF(ISERROR('Model inputs'!X186&gt;='Model inputs'!AJ49),'Model inputs'!X186&gt;='Model inputs'!AJ49,IF(OR('Model inputs'!X186="",'Model inputs'!AJ49=""),"",'Model inputs'!X186&gt;='Model inputs'!AJ49))="",FALSE,IF(ISERROR('Model inputs'!X186&gt;='Model inputs'!AJ49),'Model inputs'!X186&gt;='Model inputs'!AJ49,IF(OR('Model inputs'!X186="",'Model inputs'!AJ49=""),"",'Model inputs'!X186&gt;='Model inputs'!AJ49))),'Model inputs'!AJ48*'Model inputs'!AJ47,0)</f>
        <v>150000</v>
      </c>
      <c r="Y426" s="9">
        <f>IF(IF(IF(ISERROR('Model inputs'!Y186&gt;='Model inputs'!AJ49),'Model inputs'!Y186&gt;='Model inputs'!AJ49,IF(OR('Model inputs'!Y186="",'Model inputs'!AJ49=""),"",'Model inputs'!Y186&gt;='Model inputs'!AJ49))="",FALSE,IF(ISERROR('Model inputs'!Y186&gt;='Model inputs'!AJ49),'Model inputs'!Y186&gt;='Model inputs'!AJ49,IF(OR('Model inputs'!Y186="",'Model inputs'!AJ49=""),"",'Model inputs'!Y186&gt;='Model inputs'!AJ49))),'Model inputs'!AJ48*'Model inputs'!AJ47,0)</f>
        <v>150000</v>
      </c>
      <c r="Z426" s="9">
        <f>IF(IF(IF(ISERROR('Model inputs'!Z186&gt;='Model inputs'!AJ49),'Model inputs'!Z186&gt;='Model inputs'!AJ49,IF(OR('Model inputs'!Z186="",'Model inputs'!AJ49=""),"",'Model inputs'!Z186&gt;='Model inputs'!AJ49))="",FALSE,IF(ISERROR('Model inputs'!Z186&gt;='Model inputs'!AJ49),'Model inputs'!Z186&gt;='Model inputs'!AJ49,IF(OR('Model inputs'!Z186="",'Model inputs'!AJ49=""),"",'Model inputs'!Z186&gt;='Model inputs'!AJ49))),'Model inputs'!AJ48*'Model inputs'!AJ47,0)</f>
        <v>150000</v>
      </c>
      <c r="AA426" s="9">
        <f>IF(IF(IF(ISERROR('Model inputs'!AA186&gt;='Model inputs'!AJ49),'Model inputs'!AA186&gt;='Model inputs'!AJ49,IF(OR('Model inputs'!AA186="",'Model inputs'!AJ49=""),"",'Model inputs'!AA186&gt;='Model inputs'!AJ49))="",FALSE,IF(ISERROR('Model inputs'!AA186&gt;='Model inputs'!AJ49),'Model inputs'!AA186&gt;='Model inputs'!AJ49,IF(OR('Model inputs'!AA186="",'Model inputs'!AJ49=""),"",'Model inputs'!AA186&gt;='Model inputs'!AJ49))),'Model inputs'!AJ48*'Model inputs'!AJ47,0)</f>
        <v>150000</v>
      </c>
      <c r="AB426" s="9">
        <f>IF(IF(IF(ISERROR('Model inputs'!AB186&gt;='Model inputs'!AJ49),'Model inputs'!AB186&gt;='Model inputs'!AJ49,IF(OR('Model inputs'!AB186="",'Model inputs'!AJ49=""),"",'Model inputs'!AB186&gt;='Model inputs'!AJ49))="",FALSE,IF(ISERROR('Model inputs'!AB186&gt;='Model inputs'!AJ49),'Model inputs'!AB186&gt;='Model inputs'!AJ49,IF(OR('Model inputs'!AB186="",'Model inputs'!AJ49=""),"",'Model inputs'!AB186&gt;='Model inputs'!AJ49))),'Model inputs'!AJ48*'Model inputs'!AJ47,0)</f>
        <v>150000</v>
      </c>
      <c r="AC426" s="9">
        <f>IF(IF(IF(ISERROR('Model inputs'!AC186&gt;='Model inputs'!AJ49),'Model inputs'!AC186&gt;='Model inputs'!AJ49,IF(OR('Model inputs'!AC186="",'Model inputs'!AJ49=""),"",'Model inputs'!AC186&gt;='Model inputs'!AJ49))="",FALSE,IF(ISERROR('Model inputs'!AC186&gt;='Model inputs'!AJ49),'Model inputs'!AC186&gt;='Model inputs'!AJ49,IF(OR('Model inputs'!AC186="",'Model inputs'!AJ49=""),"",'Model inputs'!AC186&gt;='Model inputs'!AJ49))),'Model inputs'!AJ48*'Model inputs'!AJ47,0)</f>
        <v>150000</v>
      </c>
      <c r="AD426" s="9">
        <f>IF(IF(IF(ISERROR('Model inputs'!AD186&gt;='Model inputs'!AJ49),'Model inputs'!AD186&gt;='Model inputs'!AJ49,IF(OR('Model inputs'!AD186="",'Model inputs'!AJ49=""),"",'Model inputs'!AD186&gt;='Model inputs'!AJ49))="",FALSE,IF(ISERROR('Model inputs'!AD186&gt;='Model inputs'!AJ49),'Model inputs'!AD186&gt;='Model inputs'!AJ49,IF(OR('Model inputs'!AD186="",'Model inputs'!AJ49=""),"",'Model inputs'!AD186&gt;='Model inputs'!AJ49))),'Model inputs'!AJ48*'Model inputs'!AJ47,0)</f>
        <v>150000</v>
      </c>
      <c r="AE426" s="9">
        <f>IF(IF(IF(ISERROR('Model inputs'!AE186&gt;='Model inputs'!AJ49),'Model inputs'!AE186&gt;='Model inputs'!AJ49,IF(OR('Model inputs'!AE186="",'Model inputs'!AJ49=""),"",'Model inputs'!AE186&gt;='Model inputs'!AJ49))="",FALSE,IF(ISERROR('Model inputs'!AE186&gt;='Model inputs'!AJ49),'Model inputs'!AE186&gt;='Model inputs'!AJ49,IF(OR('Model inputs'!AE186="",'Model inputs'!AJ49=""),"",'Model inputs'!AE186&gt;='Model inputs'!AJ49))),'Model inputs'!AJ48*'Model inputs'!AJ47,0)</f>
        <v>150000</v>
      </c>
      <c r="AF426" s="9">
        <f>IF(IF(IF(ISERROR('Model inputs'!AF186&gt;='Model inputs'!AJ49),'Model inputs'!AF186&gt;='Model inputs'!AJ49,IF(OR('Model inputs'!AF186="",'Model inputs'!AJ49=""),"",'Model inputs'!AF186&gt;='Model inputs'!AJ49))="",FALSE,IF(ISERROR('Model inputs'!AF186&gt;='Model inputs'!AJ49),'Model inputs'!AF186&gt;='Model inputs'!AJ49,IF(OR('Model inputs'!AF186="",'Model inputs'!AJ49=""),"",'Model inputs'!AF186&gt;='Model inputs'!AJ49))),'Model inputs'!AJ48*'Model inputs'!AJ47,0)</f>
        <v>150000</v>
      </c>
      <c r="AG426" s="9">
        <f>IF(IF(IF(ISERROR('Model inputs'!AG186&gt;='Model inputs'!AJ49),'Model inputs'!AG186&gt;='Model inputs'!AJ49,IF(OR('Model inputs'!AG186="",'Model inputs'!AJ49=""),"",'Model inputs'!AG186&gt;='Model inputs'!AJ49))="",FALSE,IF(ISERROR('Model inputs'!AG186&gt;='Model inputs'!AJ49),'Model inputs'!AG186&gt;='Model inputs'!AJ49,IF(OR('Model inputs'!AG186="",'Model inputs'!AJ49=""),"",'Model inputs'!AG186&gt;='Model inputs'!AJ49))),'Model inputs'!AJ48*'Model inputs'!AJ47,0)</f>
        <v>150000</v>
      </c>
      <c r="AH426" s="9">
        <f>IF(IF(IF(ISERROR('Model inputs'!AH186&gt;='Model inputs'!AJ49),'Model inputs'!AH186&gt;='Model inputs'!AJ49,IF(OR('Model inputs'!AH186="",'Model inputs'!AJ49=""),"",'Model inputs'!AH186&gt;='Model inputs'!AJ49))="",FALSE,IF(ISERROR('Model inputs'!AH186&gt;='Model inputs'!AJ49),'Model inputs'!AH186&gt;='Model inputs'!AJ49,IF(OR('Model inputs'!AH186="",'Model inputs'!AJ49=""),"",'Model inputs'!AH186&gt;='Model inputs'!AJ49))),'Model inputs'!AJ48*'Model inputs'!AJ47,0)</f>
        <v>150000</v>
      </c>
      <c r="AI426" s="9">
        <f>IF(IF(IF(ISERROR('Model inputs'!AI186&gt;='Model inputs'!AJ49),'Model inputs'!AI186&gt;='Model inputs'!AJ49,IF(OR('Model inputs'!AI186="",'Model inputs'!AJ49=""),"",'Model inputs'!AI186&gt;='Model inputs'!AJ49))="",FALSE,IF(ISERROR('Model inputs'!AI186&gt;='Model inputs'!AJ49),'Model inputs'!AI186&gt;='Model inputs'!AJ49,IF(OR('Model inputs'!AI186="",'Model inputs'!AJ49=""),"",'Model inputs'!AI186&gt;='Model inputs'!AJ49))),'Model inputs'!AJ48*'Model inputs'!AJ47,0)</f>
        <v>150000</v>
      </c>
    </row>
    <row r="427">
      <c r="A427" t="inlineStr" s="13">
        <is>
          <t xml:space="preserve">Haq Developer payroll · Haq Ending cash · Growth · Growth</t>
        </is>
      </c>
      <c r="B427" s="9">
        <f>IF(IF(IF(ISERROR('Model inputs'!B187&gt;='Model inputs'!AJ105),'Model inputs'!B187&gt;='Model inputs'!AJ105,IF(OR('Model inputs'!B187="",'Model inputs'!AJ105=""),"",'Model inputs'!B187&gt;='Model inputs'!AJ105))="",FALSE,IF(ISERROR('Model inputs'!B187&gt;='Model inputs'!AJ105),'Model inputs'!B187&gt;='Model inputs'!AJ105,IF(OR('Model inputs'!B187="",'Model inputs'!AJ105=""),"",'Model inputs'!B187&gt;='Model inputs'!AJ105))),'Model inputs'!AJ104*'Model inputs'!AJ103,0)</f>
        <v>0</v>
      </c>
      <c r="C427" s="9">
        <f>IF(IF(IF(ISERROR('Model inputs'!C187&gt;='Model inputs'!AJ105),'Model inputs'!C187&gt;='Model inputs'!AJ105,IF(OR('Model inputs'!C187="",'Model inputs'!AJ105=""),"",'Model inputs'!C187&gt;='Model inputs'!AJ105))="",FALSE,IF(ISERROR('Model inputs'!C187&gt;='Model inputs'!AJ105),'Model inputs'!C187&gt;='Model inputs'!AJ105,IF(OR('Model inputs'!C187="",'Model inputs'!AJ105=""),"",'Model inputs'!C187&gt;='Model inputs'!AJ105))),'Model inputs'!AJ104*'Model inputs'!AJ103,0)</f>
        <v>0</v>
      </c>
      <c r="D427" s="9">
        <f>IF(IF(IF(ISERROR('Model inputs'!D187&gt;='Model inputs'!AJ105),'Model inputs'!D187&gt;='Model inputs'!AJ105,IF(OR('Model inputs'!D187="",'Model inputs'!AJ105=""),"",'Model inputs'!D187&gt;='Model inputs'!AJ105))="",FALSE,IF(ISERROR('Model inputs'!D187&gt;='Model inputs'!AJ105),'Model inputs'!D187&gt;='Model inputs'!AJ105,IF(OR('Model inputs'!D187="",'Model inputs'!AJ105=""),"",'Model inputs'!D187&gt;='Model inputs'!AJ105))),'Model inputs'!AJ104*'Model inputs'!AJ103,0)</f>
        <v>0</v>
      </c>
      <c r="E427" s="9">
        <f>IF(IF(IF(ISERROR('Model inputs'!E187&gt;='Model inputs'!AJ105),'Model inputs'!E187&gt;='Model inputs'!AJ105,IF(OR('Model inputs'!E187="",'Model inputs'!AJ105=""),"",'Model inputs'!E187&gt;='Model inputs'!AJ105))="",FALSE,IF(ISERROR('Model inputs'!E187&gt;='Model inputs'!AJ105),'Model inputs'!E187&gt;='Model inputs'!AJ105,IF(OR('Model inputs'!E187="",'Model inputs'!AJ105=""),"",'Model inputs'!E187&gt;='Model inputs'!AJ105))),'Model inputs'!AJ104*'Model inputs'!AJ103,0)</f>
        <v>0</v>
      </c>
      <c r="F427" s="9">
        <f>IF(IF(IF(ISERROR('Model inputs'!F187&gt;='Model inputs'!AJ105),'Model inputs'!F187&gt;='Model inputs'!AJ105,IF(OR('Model inputs'!F187="",'Model inputs'!AJ105=""),"",'Model inputs'!F187&gt;='Model inputs'!AJ105))="",FALSE,IF(ISERROR('Model inputs'!F187&gt;='Model inputs'!AJ105),'Model inputs'!F187&gt;='Model inputs'!AJ105,IF(OR('Model inputs'!F187="",'Model inputs'!AJ105=""),"",'Model inputs'!F187&gt;='Model inputs'!AJ105))),'Model inputs'!AJ104*'Model inputs'!AJ103,0)</f>
        <v>0</v>
      </c>
      <c r="G427" s="9">
        <f>IF(IF(IF(ISERROR('Model inputs'!G187&gt;='Model inputs'!AJ105),'Model inputs'!G187&gt;='Model inputs'!AJ105,IF(OR('Model inputs'!G187="",'Model inputs'!AJ105=""),"",'Model inputs'!G187&gt;='Model inputs'!AJ105))="",FALSE,IF(ISERROR('Model inputs'!G187&gt;='Model inputs'!AJ105),'Model inputs'!G187&gt;='Model inputs'!AJ105,IF(OR('Model inputs'!G187="",'Model inputs'!AJ105=""),"",'Model inputs'!G187&gt;='Model inputs'!AJ105))),'Model inputs'!AJ104*'Model inputs'!AJ103,0)</f>
        <v>0</v>
      </c>
      <c r="H427" s="9">
        <f>IF(IF(IF(ISERROR('Model inputs'!H187&gt;='Model inputs'!AJ105),'Model inputs'!H187&gt;='Model inputs'!AJ105,IF(OR('Model inputs'!H187="",'Model inputs'!AJ105=""),"",'Model inputs'!H187&gt;='Model inputs'!AJ105))="",FALSE,IF(ISERROR('Model inputs'!H187&gt;='Model inputs'!AJ105),'Model inputs'!H187&gt;='Model inputs'!AJ105,IF(OR('Model inputs'!H187="",'Model inputs'!AJ105=""),"",'Model inputs'!H187&gt;='Model inputs'!AJ105))),'Model inputs'!AJ104*'Model inputs'!AJ103,0)</f>
        <v>0</v>
      </c>
      <c r="I427" s="9">
        <f>IF(IF(IF(ISERROR('Model inputs'!I187&gt;='Model inputs'!AJ105),'Model inputs'!I187&gt;='Model inputs'!AJ105,IF(OR('Model inputs'!I187="",'Model inputs'!AJ105=""),"",'Model inputs'!I187&gt;='Model inputs'!AJ105))="",FALSE,IF(ISERROR('Model inputs'!I187&gt;='Model inputs'!AJ105),'Model inputs'!I187&gt;='Model inputs'!AJ105,IF(OR('Model inputs'!I187="",'Model inputs'!AJ105=""),"",'Model inputs'!I187&gt;='Model inputs'!AJ105))),'Model inputs'!AJ104*'Model inputs'!AJ103,0)</f>
        <v>0</v>
      </c>
      <c r="J427" s="9">
        <f>IF(IF(IF(ISERROR('Model inputs'!J187&gt;='Model inputs'!AJ105),'Model inputs'!J187&gt;='Model inputs'!AJ105,IF(OR('Model inputs'!J187="",'Model inputs'!AJ105=""),"",'Model inputs'!J187&gt;='Model inputs'!AJ105))="",FALSE,IF(ISERROR('Model inputs'!J187&gt;='Model inputs'!AJ105),'Model inputs'!J187&gt;='Model inputs'!AJ105,IF(OR('Model inputs'!J187="",'Model inputs'!AJ105=""),"",'Model inputs'!J187&gt;='Model inputs'!AJ105))),'Model inputs'!AJ104*'Model inputs'!AJ103,0)</f>
        <v>0</v>
      </c>
      <c r="K427" s="9">
        <f>IF(IF(IF(ISERROR('Model inputs'!K187&gt;='Model inputs'!AJ105),'Model inputs'!K187&gt;='Model inputs'!AJ105,IF(OR('Model inputs'!K187="",'Model inputs'!AJ105=""),"",'Model inputs'!K187&gt;='Model inputs'!AJ105))="",FALSE,IF(ISERROR('Model inputs'!K187&gt;='Model inputs'!AJ105),'Model inputs'!K187&gt;='Model inputs'!AJ105,IF(OR('Model inputs'!K187="",'Model inputs'!AJ105=""),"",'Model inputs'!K187&gt;='Model inputs'!AJ105))),'Model inputs'!AJ104*'Model inputs'!AJ103,0)</f>
        <v>0</v>
      </c>
      <c r="L427" s="9">
        <f>IF(IF(IF(ISERROR('Model inputs'!L187&gt;='Model inputs'!AJ105),'Model inputs'!L187&gt;='Model inputs'!AJ105,IF(OR('Model inputs'!L187="",'Model inputs'!AJ105=""),"",'Model inputs'!L187&gt;='Model inputs'!AJ105))="",FALSE,IF(ISERROR('Model inputs'!L187&gt;='Model inputs'!AJ105),'Model inputs'!L187&gt;='Model inputs'!AJ105,IF(OR('Model inputs'!L187="",'Model inputs'!AJ105=""),"",'Model inputs'!L187&gt;='Model inputs'!AJ105))),'Model inputs'!AJ104*'Model inputs'!AJ103,0)</f>
        <v>150000</v>
      </c>
      <c r="M427" s="9">
        <f>IF(IF(IF(ISERROR('Model inputs'!M187&gt;='Model inputs'!AJ105),'Model inputs'!M187&gt;='Model inputs'!AJ105,IF(OR('Model inputs'!M187="",'Model inputs'!AJ105=""),"",'Model inputs'!M187&gt;='Model inputs'!AJ105))="",FALSE,IF(ISERROR('Model inputs'!M187&gt;='Model inputs'!AJ105),'Model inputs'!M187&gt;='Model inputs'!AJ105,IF(OR('Model inputs'!M187="",'Model inputs'!AJ105=""),"",'Model inputs'!M187&gt;='Model inputs'!AJ105))),'Model inputs'!AJ104*'Model inputs'!AJ103,0)</f>
        <v>150000</v>
      </c>
      <c r="N427" s="9">
        <f>IF(IF(IF(ISERROR('Model inputs'!N187&gt;='Model inputs'!AJ105),'Model inputs'!N187&gt;='Model inputs'!AJ105,IF(OR('Model inputs'!N187="",'Model inputs'!AJ105=""),"",'Model inputs'!N187&gt;='Model inputs'!AJ105))="",FALSE,IF(ISERROR('Model inputs'!N187&gt;='Model inputs'!AJ105),'Model inputs'!N187&gt;='Model inputs'!AJ105,IF(OR('Model inputs'!N187="",'Model inputs'!AJ105=""),"",'Model inputs'!N187&gt;='Model inputs'!AJ105))),'Model inputs'!AJ104*'Model inputs'!AJ103,0)</f>
        <v>150000</v>
      </c>
      <c r="O427" s="9">
        <f>IF(IF(IF(ISERROR('Model inputs'!O187&gt;='Model inputs'!AJ105),'Model inputs'!O187&gt;='Model inputs'!AJ105,IF(OR('Model inputs'!O187="",'Model inputs'!AJ105=""),"",'Model inputs'!O187&gt;='Model inputs'!AJ105))="",FALSE,IF(ISERROR('Model inputs'!O187&gt;='Model inputs'!AJ105),'Model inputs'!O187&gt;='Model inputs'!AJ105,IF(OR('Model inputs'!O187="",'Model inputs'!AJ105=""),"",'Model inputs'!O187&gt;='Model inputs'!AJ105))),'Model inputs'!AJ104*'Model inputs'!AJ103,0)</f>
        <v>150000</v>
      </c>
      <c r="P427" s="9">
        <f>IF(IF(IF(ISERROR('Model inputs'!P187&gt;='Model inputs'!AJ105),'Model inputs'!P187&gt;='Model inputs'!AJ105,IF(OR('Model inputs'!P187="",'Model inputs'!AJ105=""),"",'Model inputs'!P187&gt;='Model inputs'!AJ105))="",FALSE,IF(ISERROR('Model inputs'!P187&gt;='Model inputs'!AJ105),'Model inputs'!P187&gt;='Model inputs'!AJ105,IF(OR('Model inputs'!P187="",'Model inputs'!AJ105=""),"",'Model inputs'!P187&gt;='Model inputs'!AJ105))),'Model inputs'!AJ104*'Model inputs'!AJ103,0)</f>
        <v>150000</v>
      </c>
      <c r="Q427" s="9">
        <f>IF(IF(IF(ISERROR('Model inputs'!Q187&gt;='Model inputs'!AJ105),'Model inputs'!Q187&gt;='Model inputs'!AJ105,IF(OR('Model inputs'!Q187="",'Model inputs'!AJ105=""),"",'Model inputs'!Q187&gt;='Model inputs'!AJ105))="",FALSE,IF(ISERROR('Model inputs'!Q187&gt;='Model inputs'!AJ105),'Model inputs'!Q187&gt;='Model inputs'!AJ105,IF(OR('Model inputs'!Q187="",'Model inputs'!AJ105=""),"",'Model inputs'!Q187&gt;='Model inputs'!AJ105))),'Model inputs'!AJ104*'Model inputs'!AJ103,0)</f>
        <v>150000</v>
      </c>
      <c r="R427" s="9">
        <f>IF(IF(IF(ISERROR('Model inputs'!R187&gt;='Model inputs'!AJ105),'Model inputs'!R187&gt;='Model inputs'!AJ105,IF(OR('Model inputs'!R187="",'Model inputs'!AJ105=""),"",'Model inputs'!R187&gt;='Model inputs'!AJ105))="",FALSE,IF(ISERROR('Model inputs'!R187&gt;='Model inputs'!AJ105),'Model inputs'!R187&gt;='Model inputs'!AJ105,IF(OR('Model inputs'!R187="",'Model inputs'!AJ105=""),"",'Model inputs'!R187&gt;='Model inputs'!AJ105))),'Model inputs'!AJ104*'Model inputs'!AJ103,0)</f>
        <v>150000</v>
      </c>
      <c r="S427" s="9">
        <f>IF(IF(IF(ISERROR('Model inputs'!S187&gt;='Model inputs'!AJ105),'Model inputs'!S187&gt;='Model inputs'!AJ105,IF(OR('Model inputs'!S187="",'Model inputs'!AJ105=""),"",'Model inputs'!S187&gt;='Model inputs'!AJ105))="",FALSE,IF(ISERROR('Model inputs'!S187&gt;='Model inputs'!AJ105),'Model inputs'!S187&gt;='Model inputs'!AJ105,IF(OR('Model inputs'!S187="",'Model inputs'!AJ105=""),"",'Model inputs'!S187&gt;='Model inputs'!AJ105))),'Model inputs'!AJ104*'Model inputs'!AJ103,0)</f>
        <v>150000</v>
      </c>
      <c r="T427" s="9">
        <f>IF(IF(IF(ISERROR('Model inputs'!T187&gt;='Model inputs'!AJ105),'Model inputs'!T187&gt;='Model inputs'!AJ105,IF(OR('Model inputs'!T187="",'Model inputs'!AJ105=""),"",'Model inputs'!T187&gt;='Model inputs'!AJ105))="",FALSE,IF(ISERROR('Model inputs'!T187&gt;='Model inputs'!AJ105),'Model inputs'!T187&gt;='Model inputs'!AJ105,IF(OR('Model inputs'!T187="",'Model inputs'!AJ105=""),"",'Model inputs'!T187&gt;='Model inputs'!AJ105))),'Model inputs'!AJ104*'Model inputs'!AJ103,0)</f>
        <v>150000</v>
      </c>
      <c r="U427" s="9">
        <f>IF(IF(IF(ISERROR('Model inputs'!U187&gt;='Model inputs'!AJ105),'Model inputs'!U187&gt;='Model inputs'!AJ105,IF(OR('Model inputs'!U187="",'Model inputs'!AJ105=""),"",'Model inputs'!U187&gt;='Model inputs'!AJ105))="",FALSE,IF(ISERROR('Model inputs'!U187&gt;='Model inputs'!AJ105),'Model inputs'!U187&gt;='Model inputs'!AJ105,IF(OR('Model inputs'!U187="",'Model inputs'!AJ105=""),"",'Model inputs'!U187&gt;='Model inputs'!AJ105))),'Model inputs'!AJ104*'Model inputs'!AJ103,0)</f>
        <v>150000</v>
      </c>
      <c r="V427" s="9">
        <f>IF(IF(IF(ISERROR('Model inputs'!V187&gt;='Model inputs'!AJ105),'Model inputs'!V187&gt;='Model inputs'!AJ105,IF(OR('Model inputs'!V187="",'Model inputs'!AJ105=""),"",'Model inputs'!V187&gt;='Model inputs'!AJ105))="",FALSE,IF(ISERROR('Model inputs'!V187&gt;='Model inputs'!AJ105),'Model inputs'!V187&gt;='Model inputs'!AJ105,IF(OR('Model inputs'!V187="",'Model inputs'!AJ105=""),"",'Model inputs'!V187&gt;='Model inputs'!AJ105))),'Model inputs'!AJ104*'Model inputs'!AJ103,0)</f>
        <v>150000</v>
      </c>
      <c r="W427" s="9">
        <f>IF(IF(IF(ISERROR('Model inputs'!W187&gt;='Model inputs'!AJ105),'Model inputs'!W187&gt;='Model inputs'!AJ105,IF(OR('Model inputs'!W187="",'Model inputs'!AJ105=""),"",'Model inputs'!W187&gt;='Model inputs'!AJ105))="",FALSE,IF(ISERROR('Model inputs'!W187&gt;='Model inputs'!AJ105),'Model inputs'!W187&gt;='Model inputs'!AJ105,IF(OR('Model inputs'!W187="",'Model inputs'!AJ105=""),"",'Model inputs'!W187&gt;='Model inputs'!AJ105))),'Model inputs'!AJ104*'Model inputs'!AJ103,0)</f>
        <v>150000</v>
      </c>
      <c r="X427" s="9">
        <f>IF(IF(IF(ISERROR('Model inputs'!X187&gt;='Model inputs'!AJ105),'Model inputs'!X187&gt;='Model inputs'!AJ105,IF(OR('Model inputs'!X187="",'Model inputs'!AJ105=""),"",'Model inputs'!X187&gt;='Model inputs'!AJ105))="",FALSE,IF(ISERROR('Model inputs'!X187&gt;='Model inputs'!AJ105),'Model inputs'!X187&gt;='Model inputs'!AJ105,IF(OR('Model inputs'!X187="",'Model inputs'!AJ105=""),"",'Model inputs'!X187&gt;='Model inputs'!AJ105))),'Model inputs'!AJ104*'Model inputs'!AJ103,0)</f>
        <v>150000</v>
      </c>
      <c r="Y427" s="9">
        <f>IF(IF(IF(ISERROR('Model inputs'!Y187&gt;='Model inputs'!AJ105),'Model inputs'!Y187&gt;='Model inputs'!AJ105,IF(OR('Model inputs'!Y187="",'Model inputs'!AJ105=""),"",'Model inputs'!Y187&gt;='Model inputs'!AJ105))="",FALSE,IF(ISERROR('Model inputs'!Y187&gt;='Model inputs'!AJ105),'Model inputs'!Y187&gt;='Model inputs'!AJ105,IF(OR('Model inputs'!Y187="",'Model inputs'!AJ105=""),"",'Model inputs'!Y187&gt;='Model inputs'!AJ105))),'Model inputs'!AJ104*'Model inputs'!AJ103,0)</f>
        <v>150000</v>
      </c>
      <c r="Z427" s="9">
        <f>IF(IF(IF(ISERROR('Model inputs'!Z187&gt;='Model inputs'!AJ105),'Model inputs'!Z187&gt;='Model inputs'!AJ105,IF(OR('Model inputs'!Z187="",'Model inputs'!AJ105=""),"",'Model inputs'!Z187&gt;='Model inputs'!AJ105))="",FALSE,IF(ISERROR('Model inputs'!Z187&gt;='Model inputs'!AJ105),'Model inputs'!Z187&gt;='Model inputs'!AJ105,IF(OR('Model inputs'!Z187="",'Model inputs'!AJ105=""),"",'Model inputs'!Z187&gt;='Model inputs'!AJ105))),'Model inputs'!AJ104*'Model inputs'!AJ103,0)</f>
        <v>150000</v>
      </c>
      <c r="AA427" s="9">
        <f>IF(IF(IF(ISERROR('Model inputs'!AA187&gt;='Model inputs'!AJ105),'Model inputs'!AA187&gt;='Model inputs'!AJ105,IF(OR('Model inputs'!AA187="",'Model inputs'!AJ105=""),"",'Model inputs'!AA187&gt;='Model inputs'!AJ105))="",FALSE,IF(ISERROR('Model inputs'!AA187&gt;='Model inputs'!AJ105),'Model inputs'!AA187&gt;='Model inputs'!AJ105,IF(OR('Model inputs'!AA187="",'Model inputs'!AJ105=""),"",'Model inputs'!AA187&gt;='Model inputs'!AJ105))),'Model inputs'!AJ104*'Model inputs'!AJ103,0)</f>
        <v>150000</v>
      </c>
      <c r="AB427" s="9">
        <f>IF(IF(IF(ISERROR('Model inputs'!AB187&gt;='Model inputs'!AJ105),'Model inputs'!AB187&gt;='Model inputs'!AJ105,IF(OR('Model inputs'!AB187="",'Model inputs'!AJ105=""),"",'Model inputs'!AB187&gt;='Model inputs'!AJ105))="",FALSE,IF(ISERROR('Model inputs'!AB187&gt;='Model inputs'!AJ105),'Model inputs'!AB187&gt;='Model inputs'!AJ105,IF(OR('Model inputs'!AB187="",'Model inputs'!AJ105=""),"",'Model inputs'!AB187&gt;='Model inputs'!AJ105))),'Model inputs'!AJ104*'Model inputs'!AJ103,0)</f>
        <v>150000</v>
      </c>
      <c r="AC427" s="9">
        <f>IF(IF(IF(ISERROR('Model inputs'!AC187&gt;='Model inputs'!AJ105),'Model inputs'!AC187&gt;='Model inputs'!AJ105,IF(OR('Model inputs'!AC187="",'Model inputs'!AJ105=""),"",'Model inputs'!AC187&gt;='Model inputs'!AJ105))="",FALSE,IF(ISERROR('Model inputs'!AC187&gt;='Model inputs'!AJ105),'Model inputs'!AC187&gt;='Model inputs'!AJ105,IF(OR('Model inputs'!AC187="",'Model inputs'!AJ105=""),"",'Model inputs'!AC187&gt;='Model inputs'!AJ105))),'Model inputs'!AJ104*'Model inputs'!AJ103,0)</f>
        <v>150000</v>
      </c>
      <c r="AD427" s="9">
        <f>IF(IF(IF(ISERROR('Model inputs'!AD187&gt;='Model inputs'!AJ105),'Model inputs'!AD187&gt;='Model inputs'!AJ105,IF(OR('Model inputs'!AD187="",'Model inputs'!AJ105=""),"",'Model inputs'!AD187&gt;='Model inputs'!AJ105))="",FALSE,IF(ISERROR('Model inputs'!AD187&gt;='Model inputs'!AJ105),'Model inputs'!AD187&gt;='Model inputs'!AJ105,IF(OR('Model inputs'!AD187="",'Model inputs'!AJ105=""),"",'Model inputs'!AD187&gt;='Model inputs'!AJ105))),'Model inputs'!AJ104*'Model inputs'!AJ103,0)</f>
        <v>150000</v>
      </c>
      <c r="AE427" s="9">
        <f>IF(IF(IF(ISERROR('Model inputs'!AE187&gt;='Model inputs'!AJ105),'Model inputs'!AE187&gt;='Model inputs'!AJ105,IF(OR('Model inputs'!AE187="",'Model inputs'!AJ105=""),"",'Model inputs'!AE187&gt;='Model inputs'!AJ105))="",FALSE,IF(ISERROR('Model inputs'!AE187&gt;='Model inputs'!AJ105),'Model inputs'!AE187&gt;='Model inputs'!AJ105,IF(OR('Model inputs'!AE187="",'Model inputs'!AJ105=""),"",'Model inputs'!AE187&gt;='Model inputs'!AJ105))),'Model inputs'!AJ104*'Model inputs'!AJ103,0)</f>
        <v>150000</v>
      </c>
      <c r="AF427" s="9">
        <f>IF(IF(IF(ISERROR('Model inputs'!AF187&gt;='Model inputs'!AJ105),'Model inputs'!AF187&gt;='Model inputs'!AJ105,IF(OR('Model inputs'!AF187="",'Model inputs'!AJ105=""),"",'Model inputs'!AF187&gt;='Model inputs'!AJ105))="",FALSE,IF(ISERROR('Model inputs'!AF187&gt;='Model inputs'!AJ105),'Model inputs'!AF187&gt;='Model inputs'!AJ105,IF(OR('Model inputs'!AF187="",'Model inputs'!AJ105=""),"",'Model inputs'!AF187&gt;='Model inputs'!AJ105))),'Model inputs'!AJ104*'Model inputs'!AJ103,0)</f>
        <v>150000</v>
      </c>
      <c r="AG427" s="9">
        <f>IF(IF(IF(ISERROR('Model inputs'!AG187&gt;='Model inputs'!AJ105),'Model inputs'!AG187&gt;='Model inputs'!AJ105,IF(OR('Model inputs'!AG187="",'Model inputs'!AJ105=""),"",'Model inputs'!AG187&gt;='Model inputs'!AJ105))="",FALSE,IF(ISERROR('Model inputs'!AG187&gt;='Model inputs'!AJ105),'Model inputs'!AG187&gt;='Model inputs'!AJ105,IF(OR('Model inputs'!AG187="",'Model inputs'!AJ105=""),"",'Model inputs'!AG187&gt;='Model inputs'!AJ105))),'Model inputs'!AJ104*'Model inputs'!AJ103,0)</f>
        <v>150000</v>
      </c>
      <c r="AH427" s="9">
        <f>IF(IF(IF(ISERROR('Model inputs'!AH187&gt;='Model inputs'!AJ105),'Model inputs'!AH187&gt;='Model inputs'!AJ105,IF(OR('Model inputs'!AH187="",'Model inputs'!AJ105=""),"",'Model inputs'!AH187&gt;='Model inputs'!AJ105))="",FALSE,IF(ISERROR('Model inputs'!AH187&gt;='Model inputs'!AJ105),'Model inputs'!AH187&gt;='Model inputs'!AJ105,IF(OR('Model inputs'!AH187="",'Model inputs'!AJ105=""),"",'Model inputs'!AH187&gt;='Model inputs'!AJ105))),'Model inputs'!AJ104*'Model inputs'!AJ103,0)</f>
        <v>150000</v>
      </c>
      <c r="AI427" s="9">
        <f>IF(IF(IF(ISERROR('Model inputs'!AI187&gt;='Model inputs'!AJ105),'Model inputs'!AI187&gt;='Model inputs'!AJ105,IF(OR('Model inputs'!AI187="",'Model inputs'!AJ105=""),"",'Model inputs'!AI187&gt;='Model inputs'!AJ105))="",FALSE,IF(ISERROR('Model inputs'!AI187&gt;='Model inputs'!AJ105),'Model inputs'!AI187&gt;='Model inputs'!AJ105,IF(OR('Model inputs'!AI187="",'Model inputs'!AJ105=""),"",'Model inputs'!AI187&gt;='Model inputs'!AJ105))),'Model inputs'!AJ104*'Model inputs'!AJ103,0)</f>
        <v>150000</v>
      </c>
    </row>
    <row r="428">
      <c r="A428" t="inlineStr" s="13">
        <is>
          <t xml:space="preserve">Haq Developer payroll · Haq Ending cash · Conservative · Conservative</t>
        </is>
      </c>
      <c r="B428" s="9">
        <f>IF(IF(IF(ISERROR('Model inputs'!B188&gt;='Model inputs'!AJ161),'Model inputs'!B188&gt;='Model inputs'!AJ161,IF(OR('Model inputs'!B188="",'Model inputs'!AJ161=""),"",'Model inputs'!B188&gt;='Model inputs'!AJ161))="",FALSE,IF(ISERROR('Model inputs'!B188&gt;='Model inputs'!AJ161),'Model inputs'!B188&gt;='Model inputs'!AJ161,IF(OR('Model inputs'!B188="",'Model inputs'!AJ161=""),"",'Model inputs'!B188&gt;='Model inputs'!AJ161))),'Model inputs'!AJ160*'Model inputs'!AJ159,0)</f>
        <v>0</v>
      </c>
      <c r="C428" s="9">
        <f>IF(IF(IF(ISERROR('Model inputs'!C188&gt;='Model inputs'!AJ161),'Model inputs'!C188&gt;='Model inputs'!AJ161,IF(OR('Model inputs'!C188="",'Model inputs'!AJ161=""),"",'Model inputs'!C188&gt;='Model inputs'!AJ161))="",FALSE,IF(ISERROR('Model inputs'!C188&gt;='Model inputs'!AJ161),'Model inputs'!C188&gt;='Model inputs'!AJ161,IF(OR('Model inputs'!C188="",'Model inputs'!AJ161=""),"",'Model inputs'!C188&gt;='Model inputs'!AJ161))),'Model inputs'!AJ160*'Model inputs'!AJ159,0)</f>
        <v>0</v>
      </c>
      <c r="D428" s="9">
        <f>IF(IF(IF(ISERROR('Model inputs'!D188&gt;='Model inputs'!AJ161),'Model inputs'!D188&gt;='Model inputs'!AJ161,IF(OR('Model inputs'!D188="",'Model inputs'!AJ161=""),"",'Model inputs'!D188&gt;='Model inputs'!AJ161))="",FALSE,IF(ISERROR('Model inputs'!D188&gt;='Model inputs'!AJ161),'Model inputs'!D188&gt;='Model inputs'!AJ161,IF(OR('Model inputs'!D188="",'Model inputs'!AJ161=""),"",'Model inputs'!D188&gt;='Model inputs'!AJ161))),'Model inputs'!AJ160*'Model inputs'!AJ159,0)</f>
        <v>0</v>
      </c>
      <c r="E428" s="9">
        <f>IF(IF(IF(ISERROR('Model inputs'!E188&gt;='Model inputs'!AJ161),'Model inputs'!E188&gt;='Model inputs'!AJ161,IF(OR('Model inputs'!E188="",'Model inputs'!AJ161=""),"",'Model inputs'!E188&gt;='Model inputs'!AJ161))="",FALSE,IF(ISERROR('Model inputs'!E188&gt;='Model inputs'!AJ161),'Model inputs'!E188&gt;='Model inputs'!AJ161,IF(OR('Model inputs'!E188="",'Model inputs'!AJ161=""),"",'Model inputs'!E188&gt;='Model inputs'!AJ161))),'Model inputs'!AJ160*'Model inputs'!AJ159,0)</f>
        <v>0</v>
      </c>
      <c r="F428" s="9">
        <f>IF(IF(IF(ISERROR('Model inputs'!F188&gt;='Model inputs'!AJ161),'Model inputs'!F188&gt;='Model inputs'!AJ161,IF(OR('Model inputs'!F188="",'Model inputs'!AJ161=""),"",'Model inputs'!F188&gt;='Model inputs'!AJ161))="",FALSE,IF(ISERROR('Model inputs'!F188&gt;='Model inputs'!AJ161),'Model inputs'!F188&gt;='Model inputs'!AJ161,IF(OR('Model inputs'!F188="",'Model inputs'!AJ161=""),"",'Model inputs'!F188&gt;='Model inputs'!AJ161))),'Model inputs'!AJ160*'Model inputs'!AJ159,0)</f>
        <v>0</v>
      </c>
      <c r="G428" s="9">
        <f>IF(IF(IF(ISERROR('Model inputs'!G188&gt;='Model inputs'!AJ161),'Model inputs'!G188&gt;='Model inputs'!AJ161,IF(OR('Model inputs'!G188="",'Model inputs'!AJ161=""),"",'Model inputs'!G188&gt;='Model inputs'!AJ161))="",FALSE,IF(ISERROR('Model inputs'!G188&gt;='Model inputs'!AJ161),'Model inputs'!G188&gt;='Model inputs'!AJ161,IF(OR('Model inputs'!G188="",'Model inputs'!AJ161=""),"",'Model inputs'!G188&gt;='Model inputs'!AJ161))),'Model inputs'!AJ160*'Model inputs'!AJ159,0)</f>
        <v>0</v>
      </c>
      <c r="H428" s="9">
        <f>IF(IF(IF(ISERROR('Model inputs'!H188&gt;='Model inputs'!AJ161),'Model inputs'!H188&gt;='Model inputs'!AJ161,IF(OR('Model inputs'!H188="",'Model inputs'!AJ161=""),"",'Model inputs'!H188&gt;='Model inputs'!AJ161))="",FALSE,IF(ISERROR('Model inputs'!H188&gt;='Model inputs'!AJ161),'Model inputs'!H188&gt;='Model inputs'!AJ161,IF(OR('Model inputs'!H188="",'Model inputs'!AJ161=""),"",'Model inputs'!H188&gt;='Model inputs'!AJ161))),'Model inputs'!AJ160*'Model inputs'!AJ159,0)</f>
        <v>0</v>
      </c>
      <c r="I428" s="9">
        <f>IF(IF(IF(ISERROR('Model inputs'!I188&gt;='Model inputs'!AJ161),'Model inputs'!I188&gt;='Model inputs'!AJ161,IF(OR('Model inputs'!I188="",'Model inputs'!AJ161=""),"",'Model inputs'!I188&gt;='Model inputs'!AJ161))="",FALSE,IF(ISERROR('Model inputs'!I188&gt;='Model inputs'!AJ161),'Model inputs'!I188&gt;='Model inputs'!AJ161,IF(OR('Model inputs'!I188="",'Model inputs'!AJ161=""),"",'Model inputs'!I188&gt;='Model inputs'!AJ161))),'Model inputs'!AJ160*'Model inputs'!AJ159,0)</f>
        <v>0</v>
      </c>
      <c r="J428" s="9">
        <f>IF(IF(IF(ISERROR('Model inputs'!J188&gt;='Model inputs'!AJ161),'Model inputs'!J188&gt;='Model inputs'!AJ161,IF(OR('Model inputs'!J188="",'Model inputs'!AJ161=""),"",'Model inputs'!J188&gt;='Model inputs'!AJ161))="",FALSE,IF(ISERROR('Model inputs'!J188&gt;='Model inputs'!AJ161),'Model inputs'!J188&gt;='Model inputs'!AJ161,IF(OR('Model inputs'!J188="",'Model inputs'!AJ161=""),"",'Model inputs'!J188&gt;='Model inputs'!AJ161))),'Model inputs'!AJ160*'Model inputs'!AJ159,0)</f>
        <v>0</v>
      </c>
      <c r="K428" s="9">
        <f>IF(IF(IF(ISERROR('Model inputs'!K188&gt;='Model inputs'!AJ161),'Model inputs'!K188&gt;='Model inputs'!AJ161,IF(OR('Model inputs'!K188="",'Model inputs'!AJ161=""),"",'Model inputs'!K188&gt;='Model inputs'!AJ161))="",FALSE,IF(ISERROR('Model inputs'!K188&gt;='Model inputs'!AJ161),'Model inputs'!K188&gt;='Model inputs'!AJ161,IF(OR('Model inputs'!K188="",'Model inputs'!AJ161=""),"",'Model inputs'!K188&gt;='Model inputs'!AJ161))),'Model inputs'!AJ160*'Model inputs'!AJ159,0)</f>
        <v>0</v>
      </c>
      <c r="L428" s="9">
        <f>IF(IF(IF(ISERROR('Model inputs'!L188&gt;='Model inputs'!AJ161),'Model inputs'!L188&gt;='Model inputs'!AJ161,IF(OR('Model inputs'!L188="",'Model inputs'!AJ161=""),"",'Model inputs'!L188&gt;='Model inputs'!AJ161))="",FALSE,IF(ISERROR('Model inputs'!L188&gt;='Model inputs'!AJ161),'Model inputs'!L188&gt;='Model inputs'!AJ161,IF(OR('Model inputs'!L188="",'Model inputs'!AJ161=""),"",'Model inputs'!L188&gt;='Model inputs'!AJ161))),'Model inputs'!AJ160*'Model inputs'!AJ159,0)</f>
        <v>150000</v>
      </c>
      <c r="M428" s="9">
        <f>IF(IF(IF(ISERROR('Model inputs'!M188&gt;='Model inputs'!AJ161),'Model inputs'!M188&gt;='Model inputs'!AJ161,IF(OR('Model inputs'!M188="",'Model inputs'!AJ161=""),"",'Model inputs'!M188&gt;='Model inputs'!AJ161))="",FALSE,IF(ISERROR('Model inputs'!M188&gt;='Model inputs'!AJ161),'Model inputs'!M188&gt;='Model inputs'!AJ161,IF(OR('Model inputs'!M188="",'Model inputs'!AJ161=""),"",'Model inputs'!M188&gt;='Model inputs'!AJ161))),'Model inputs'!AJ160*'Model inputs'!AJ159,0)</f>
        <v>150000</v>
      </c>
      <c r="N428" s="9">
        <f>IF(IF(IF(ISERROR('Model inputs'!N188&gt;='Model inputs'!AJ161),'Model inputs'!N188&gt;='Model inputs'!AJ161,IF(OR('Model inputs'!N188="",'Model inputs'!AJ161=""),"",'Model inputs'!N188&gt;='Model inputs'!AJ161))="",FALSE,IF(ISERROR('Model inputs'!N188&gt;='Model inputs'!AJ161),'Model inputs'!N188&gt;='Model inputs'!AJ161,IF(OR('Model inputs'!N188="",'Model inputs'!AJ161=""),"",'Model inputs'!N188&gt;='Model inputs'!AJ161))),'Model inputs'!AJ160*'Model inputs'!AJ159,0)</f>
        <v>150000</v>
      </c>
      <c r="O428" s="9">
        <f>IF(IF(IF(ISERROR('Model inputs'!O188&gt;='Model inputs'!AJ161),'Model inputs'!O188&gt;='Model inputs'!AJ161,IF(OR('Model inputs'!O188="",'Model inputs'!AJ161=""),"",'Model inputs'!O188&gt;='Model inputs'!AJ161))="",FALSE,IF(ISERROR('Model inputs'!O188&gt;='Model inputs'!AJ161),'Model inputs'!O188&gt;='Model inputs'!AJ161,IF(OR('Model inputs'!O188="",'Model inputs'!AJ161=""),"",'Model inputs'!O188&gt;='Model inputs'!AJ161))),'Model inputs'!AJ160*'Model inputs'!AJ159,0)</f>
        <v>150000</v>
      </c>
      <c r="P428" s="9">
        <f>IF(IF(IF(ISERROR('Model inputs'!P188&gt;='Model inputs'!AJ161),'Model inputs'!P188&gt;='Model inputs'!AJ161,IF(OR('Model inputs'!P188="",'Model inputs'!AJ161=""),"",'Model inputs'!P188&gt;='Model inputs'!AJ161))="",FALSE,IF(ISERROR('Model inputs'!P188&gt;='Model inputs'!AJ161),'Model inputs'!P188&gt;='Model inputs'!AJ161,IF(OR('Model inputs'!P188="",'Model inputs'!AJ161=""),"",'Model inputs'!P188&gt;='Model inputs'!AJ161))),'Model inputs'!AJ160*'Model inputs'!AJ159,0)</f>
        <v>150000</v>
      </c>
      <c r="Q428" s="9">
        <f>IF(IF(IF(ISERROR('Model inputs'!Q188&gt;='Model inputs'!AJ161),'Model inputs'!Q188&gt;='Model inputs'!AJ161,IF(OR('Model inputs'!Q188="",'Model inputs'!AJ161=""),"",'Model inputs'!Q188&gt;='Model inputs'!AJ161))="",FALSE,IF(ISERROR('Model inputs'!Q188&gt;='Model inputs'!AJ161),'Model inputs'!Q188&gt;='Model inputs'!AJ161,IF(OR('Model inputs'!Q188="",'Model inputs'!AJ161=""),"",'Model inputs'!Q188&gt;='Model inputs'!AJ161))),'Model inputs'!AJ160*'Model inputs'!AJ159,0)</f>
        <v>150000</v>
      </c>
      <c r="R428" s="9">
        <f>IF(IF(IF(ISERROR('Model inputs'!R188&gt;='Model inputs'!AJ161),'Model inputs'!R188&gt;='Model inputs'!AJ161,IF(OR('Model inputs'!R188="",'Model inputs'!AJ161=""),"",'Model inputs'!R188&gt;='Model inputs'!AJ161))="",FALSE,IF(ISERROR('Model inputs'!R188&gt;='Model inputs'!AJ161),'Model inputs'!R188&gt;='Model inputs'!AJ161,IF(OR('Model inputs'!R188="",'Model inputs'!AJ161=""),"",'Model inputs'!R188&gt;='Model inputs'!AJ161))),'Model inputs'!AJ160*'Model inputs'!AJ159,0)</f>
        <v>150000</v>
      </c>
      <c r="S428" s="9">
        <f>IF(IF(IF(ISERROR('Model inputs'!S188&gt;='Model inputs'!AJ161),'Model inputs'!S188&gt;='Model inputs'!AJ161,IF(OR('Model inputs'!S188="",'Model inputs'!AJ161=""),"",'Model inputs'!S188&gt;='Model inputs'!AJ161))="",FALSE,IF(ISERROR('Model inputs'!S188&gt;='Model inputs'!AJ161),'Model inputs'!S188&gt;='Model inputs'!AJ161,IF(OR('Model inputs'!S188="",'Model inputs'!AJ161=""),"",'Model inputs'!S188&gt;='Model inputs'!AJ161))),'Model inputs'!AJ160*'Model inputs'!AJ159,0)</f>
        <v>150000</v>
      </c>
      <c r="T428" s="9">
        <f>IF(IF(IF(ISERROR('Model inputs'!T188&gt;='Model inputs'!AJ161),'Model inputs'!T188&gt;='Model inputs'!AJ161,IF(OR('Model inputs'!T188="",'Model inputs'!AJ161=""),"",'Model inputs'!T188&gt;='Model inputs'!AJ161))="",FALSE,IF(ISERROR('Model inputs'!T188&gt;='Model inputs'!AJ161),'Model inputs'!T188&gt;='Model inputs'!AJ161,IF(OR('Model inputs'!T188="",'Model inputs'!AJ161=""),"",'Model inputs'!T188&gt;='Model inputs'!AJ161))),'Model inputs'!AJ160*'Model inputs'!AJ159,0)</f>
        <v>150000</v>
      </c>
      <c r="U428" s="9">
        <f>IF(IF(IF(ISERROR('Model inputs'!U188&gt;='Model inputs'!AJ161),'Model inputs'!U188&gt;='Model inputs'!AJ161,IF(OR('Model inputs'!U188="",'Model inputs'!AJ161=""),"",'Model inputs'!U188&gt;='Model inputs'!AJ161))="",FALSE,IF(ISERROR('Model inputs'!U188&gt;='Model inputs'!AJ161),'Model inputs'!U188&gt;='Model inputs'!AJ161,IF(OR('Model inputs'!U188="",'Model inputs'!AJ161=""),"",'Model inputs'!U188&gt;='Model inputs'!AJ161))),'Model inputs'!AJ160*'Model inputs'!AJ159,0)</f>
        <v>150000</v>
      </c>
      <c r="V428" s="9">
        <f>IF(IF(IF(ISERROR('Model inputs'!V188&gt;='Model inputs'!AJ161),'Model inputs'!V188&gt;='Model inputs'!AJ161,IF(OR('Model inputs'!V188="",'Model inputs'!AJ161=""),"",'Model inputs'!V188&gt;='Model inputs'!AJ161))="",FALSE,IF(ISERROR('Model inputs'!V188&gt;='Model inputs'!AJ161),'Model inputs'!V188&gt;='Model inputs'!AJ161,IF(OR('Model inputs'!V188="",'Model inputs'!AJ161=""),"",'Model inputs'!V188&gt;='Model inputs'!AJ161))),'Model inputs'!AJ160*'Model inputs'!AJ159,0)</f>
        <v>150000</v>
      </c>
      <c r="W428" s="9">
        <f>IF(IF(IF(ISERROR('Model inputs'!W188&gt;='Model inputs'!AJ161),'Model inputs'!W188&gt;='Model inputs'!AJ161,IF(OR('Model inputs'!W188="",'Model inputs'!AJ161=""),"",'Model inputs'!W188&gt;='Model inputs'!AJ161))="",FALSE,IF(ISERROR('Model inputs'!W188&gt;='Model inputs'!AJ161),'Model inputs'!W188&gt;='Model inputs'!AJ161,IF(OR('Model inputs'!W188="",'Model inputs'!AJ161=""),"",'Model inputs'!W188&gt;='Model inputs'!AJ161))),'Model inputs'!AJ160*'Model inputs'!AJ159,0)</f>
        <v>150000</v>
      </c>
      <c r="X428" s="9">
        <f>IF(IF(IF(ISERROR('Model inputs'!X188&gt;='Model inputs'!AJ161),'Model inputs'!X188&gt;='Model inputs'!AJ161,IF(OR('Model inputs'!X188="",'Model inputs'!AJ161=""),"",'Model inputs'!X188&gt;='Model inputs'!AJ161))="",FALSE,IF(ISERROR('Model inputs'!X188&gt;='Model inputs'!AJ161),'Model inputs'!X188&gt;='Model inputs'!AJ161,IF(OR('Model inputs'!X188="",'Model inputs'!AJ161=""),"",'Model inputs'!X188&gt;='Model inputs'!AJ161))),'Model inputs'!AJ160*'Model inputs'!AJ159,0)</f>
        <v>150000</v>
      </c>
      <c r="Y428" s="9">
        <f>IF(IF(IF(ISERROR('Model inputs'!Y188&gt;='Model inputs'!AJ161),'Model inputs'!Y188&gt;='Model inputs'!AJ161,IF(OR('Model inputs'!Y188="",'Model inputs'!AJ161=""),"",'Model inputs'!Y188&gt;='Model inputs'!AJ161))="",FALSE,IF(ISERROR('Model inputs'!Y188&gt;='Model inputs'!AJ161),'Model inputs'!Y188&gt;='Model inputs'!AJ161,IF(OR('Model inputs'!Y188="",'Model inputs'!AJ161=""),"",'Model inputs'!Y188&gt;='Model inputs'!AJ161))),'Model inputs'!AJ160*'Model inputs'!AJ159,0)</f>
        <v>150000</v>
      </c>
      <c r="Z428" s="9">
        <f>IF(IF(IF(ISERROR('Model inputs'!Z188&gt;='Model inputs'!AJ161),'Model inputs'!Z188&gt;='Model inputs'!AJ161,IF(OR('Model inputs'!Z188="",'Model inputs'!AJ161=""),"",'Model inputs'!Z188&gt;='Model inputs'!AJ161))="",FALSE,IF(ISERROR('Model inputs'!Z188&gt;='Model inputs'!AJ161),'Model inputs'!Z188&gt;='Model inputs'!AJ161,IF(OR('Model inputs'!Z188="",'Model inputs'!AJ161=""),"",'Model inputs'!Z188&gt;='Model inputs'!AJ161))),'Model inputs'!AJ160*'Model inputs'!AJ159,0)</f>
        <v>150000</v>
      </c>
      <c r="AA428" s="9">
        <f>IF(IF(IF(ISERROR('Model inputs'!AA188&gt;='Model inputs'!AJ161),'Model inputs'!AA188&gt;='Model inputs'!AJ161,IF(OR('Model inputs'!AA188="",'Model inputs'!AJ161=""),"",'Model inputs'!AA188&gt;='Model inputs'!AJ161))="",FALSE,IF(ISERROR('Model inputs'!AA188&gt;='Model inputs'!AJ161),'Model inputs'!AA188&gt;='Model inputs'!AJ161,IF(OR('Model inputs'!AA188="",'Model inputs'!AJ161=""),"",'Model inputs'!AA188&gt;='Model inputs'!AJ161))),'Model inputs'!AJ160*'Model inputs'!AJ159,0)</f>
        <v>150000</v>
      </c>
      <c r="AB428" s="9">
        <f>IF(IF(IF(ISERROR('Model inputs'!AB188&gt;='Model inputs'!AJ161),'Model inputs'!AB188&gt;='Model inputs'!AJ161,IF(OR('Model inputs'!AB188="",'Model inputs'!AJ161=""),"",'Model inputs'!AB188&gt;='Model inputs'!AJ161))="",FALSE,IF(ISERROR('Model inputs'!AB188&gt;='Model inputs'!AJ161),'Model inputs'!AB188&gt;='Model inputs'!AJ161,IF(OR('Model inputs'!AB188="",'Model inputs'!AJ161=""),"",'Model inputs'!AB188&gt;='Model inputs'!AJ161))),'Model inputs'!AJ160*'Model inputs'!AJ159,0)</f>
        <v>150000</v>
      </c>
      <c r="AC428" s="9">
        <f>IF(IF(IF(ISERROR('Model inputs'!AC188&gt;='Model inputs'!AJ161),'Model inputs'!AC188&gt;='Model inputs'!AJ161,IF(OR('Model inputs'!AC188="",'Model inputs'!AJ161=""),"",'Model inputs'!AC188&gt;='Model inputs'!AJ161))="",FALSE,IF(ISERROR('Model inputs'!AC188&gt;='Model inputs'!AJ161),'Model inputs'!AC188&gt;='Model inputs'!AJ161,IF(OR('Model inputs'!AC188="",'Model inputs'!AJ161=""),"",'Model inputs'!AC188&gt;='Model inputs'!AJ161))),'Model inputs'!AJ160*'Model inputs'!AJ159,0)</f>
        <v>150000</v>
      </c>
      <c r="AD428" s="9">
        <f>IF(IF(IF(ISERROR('Model inputs'!AD188&gt;='Model inputs'!AJ161),'Model inputs'!AD188&gt;='Model inputs'!AJ161,IF(OR('Model inputs'!AD188="",'Model inputs'!AJ161=""),"",'Model inputs'!AD188&gt;='Model inputs'!AJ161))="",FALSE,IF(ISERROR('Model inputs'!AD188&gt;='Model inputs'!AJ161),'Model inputs'!AD188&gt;='Model inputs'!AJ161,IF(OR('Model inputs'!AD188="",'Model inputs'!AJ161=""),"",'Model inputs'!AD188&gt;='Model inputs'!AJ161))),'Model inputs'!AJ160*'Model inputs'!AJ159,0)</f>
        <v>150000</v>
      </c>
      <c r="AE428" s="9">
        <f>IF(IF(IF(ISERROR('Model inputs'!AE188&gt;='Model inputs'!AJ161),'Model inputs'!AE188&gt;='Model inputs'!AJ161,IF(OR('Model inputs'!AE188="",'Model inputs'!AJ161=""),"",'Model inputs'!AE188&gt;='Model inputs'!AJ161))="",FALSE,IF(ISERROR('Model inputs'!AE188&gt;='Model inputs'!AJ161),'Model inputs'!AE188&gt;='Model inputs'!AJ161,IF(OR('Model inputs'!AE188="",'Model inputs'!AJ161=""),"",'Model inputs'!AE188&gt;='Model inputs'!AJ161))),'Model inputs'!AJ160*'Model inputs'!AJ159,0)</f>
        <v>150000</v>
      </c>
      <c r="AF428" s="9">
        <f>IF(IF(IF(ISERROR('Model inputs'!AF188&gt;='Model inputs'!AJ161),'Model inputs'!AF188&gt;='Model inputs'!AJ161,IF(OR('Model inputs'!AF188="",'Model inputs'!AJ161=""),"",'Model inputs'!AF188&gt;='Model inputs'!AJ161))="",FALSE,IF(ISERROR('Model inputs'!AF188&gt;='Model inputs'!AJ161),'Model inputs'!AF188&gt;='Model inputs'!AJ161,IF(OR('Model inputs'!AF188="",'Model inputs'!AJ161=""),"",'Model inputs'!AF188&gt;='Model inputs'!AJ161))),'Model inputs'!AJ160*'Model inputs'!AJ159,0)</f>
        <v>150000</v>
      </c>
      <c r="AG428" s="9">
        <f>IF(IF(IF(ISERROR('Model inputs'!AG188&gt;='Model inputs'!AJ161),'Model inputs'!AG188&gt;='Model inputs'!AJ161,IF(OR('Model inputs'!AG188="",'Model inputs'!AJ161=""),"",'Model inputs'!AG188&gt;='Model inputs'!AJ161))="",FALSE,IF(ISERROR('Model inputs'!AG188&gt;='Model inputs'!AJ161),'Model inputs'!AG188&gt;='Model inputs'!AJ161,IF(OR('Model inputs'!AG188="",'Model inputs'!AJ161=""),"",'Model inputs'!AG188&gt;='Model inputs'!AJ161))),'Model inputs'!AJ160*'Model inputs'!AJ159,0)</f>
        <v>150000</v>
      </c>
      <c r="AH428" s="9">
        <f>IF(IF(IF(ISERROR('Model inputs'!AH188&gt;='Model inputs'!AJ161),'Model inputs'!AH188&gt;='Model inputs'!AJ161,IF(OR('Model inputs'!AH188="",'Model inputs'!AJ161=""),"",'Model inputs'!AH188&gt;='Model inputs'!AJ161))="",FALSE,IF(ISERROR('Model inputs'!AH188&gt;='Model inputs'!AJ161),'Model inputs'!AH188&gt;='Model inputs'!AJ161,IF(OR('Model inputs'!AH188="",'Model inputs'!AJ161=""),"",'Model inputs'!AH188&gt;='Model inputs'!AJ161))),'Model inputs'!AJ160*'Model inputs'!AJ159,0)</f>
        <v>150000</v>
      </c>
      <c r="AI428" s="9">
        <f>IF(IF(IF(ISERROR('Model inputs'!AI188&gt;='Model inputs'!AJ161),'Model inputs'!AI188&gt;='Model inputs'!AJ161,IF(OR('Model inputs'!AI188="",'Model inputs'!AJ161=""),"",'Model inputs'!AI188&gt;='Model inputs'!AJ161))="",FALSE,IF(ISERROR('Model inputs'!AI188&gt;='Model inputs'!AJ161),'Model inputs'!AI188&gt;='Model inputs'!AJ161,IF(OR('Model inputs'!AI188="",'Model inputs'!AJ161=""),"",'Model inputs'!AI188&gt;='Model inputs'!AJ161))),'Model inputs'!AJ160*'Model inputs'!AJ159,0)</f>
        <v>150000</v>
      </c>
    </row>
    <row r="429">
      <c r="A429" t="inlineStr" s="13">
        <is>
          <t xml:space="preserve">Haq Employer checks · Haq Ending cash · Main Scenario · Main Scenario</t>
        </is>
      </c>
      <c r="B429" s="8">
        <f>'Model inputs'!B447*'Model inputs'!AJ52/12</f>
        <v>0</v>
      </c>
      <c r="C429" s="8">
        <f>'Model inputs'!C447*'Model inputs'!AJ52/12</f>
        <v>0</v>
      </c>
      <c r="D429" s="8">
        <f>'Model inputs'!D447*'Model inputs'!AJ52/12</f>
        <v>0</v>
      </c>
      <c r="E429" s="8">
        <f>'Model inputs'!E447*'Model inputs'!AJ52/12</f>
        <v>0</v>
      </c>
      <c r="F429" s="8">
        <f>'Model inputs'!F447*'Model inputs'!AJ52/12</f>
        <v>0</v>
      </c>
      <c r="G429" s="8">
        <f>'Model inputs'!G447*'Model inputs'!AJ52/12</f>
        <v>0</v>
      </c>
      <c r="H429" s="8">
        <f>'Model inputs'!H447*'Model inputs'!AJ52/12</f>
        <v>0</v>
      </c>
      <c r="I429" s="8">
        <f>'Model inputs'!I447*'Model inputs'!AJ52/12</f>
        <v>0</v>
      </c>
      <c r="J429" s="8">
        <f>'Model inputs'!J447*'Model inputs'!AJ52/12</f>
        <v>0</v>
      </c>
      <c r="K429" s="8">
        <f>'Model inputs'!K447*'Model inputs'!AJ52/12</f>
        <v>0</v>
      </c>
      <c r="L429" s="8">
        <f>'Model inputs'!L447*'Model inputs'!AJ52/12</f>
        <v>0</v>
      </c>
      <c r="M429" s="8">
        <f>'Model inputs'!M447*'Model inputs'!AJ52/12</f>
        <v>0</v>
      </c>
      <c r="N429" s="8">
        <f>'Model inputs'!N447*'Model inputs'!AJ52/12</f>
        <v>0</v>
      </c>
      <c r="O429" s="8">
        <f>'Model inputs'!O447*'Model inputs'!AJ52/12</f>
        <v>0</v>
      </c>
      <c r="P429" s="8">
        <f>'Model inputs'!P447*'Model inputs'!AJ52/12</f>
        <v>0</v>
      </c>
      <c r="Q429" s="8">
        <f>'Model inputs'!Q447*'Model inputs'!AJ52/12</f>
        <v>0</v>
      </c>
      <c r="R429" s="8">
        <f>'Model inputs'!R447*'Model inputs'!AJ52/12</f>
        <v>0</v>
      </c>
      <c r="S429" s="8">
        <f>'Model inputs'!S447*'Model inputs'!AJ52/12</f>
        <v>0</v>
      </c>
      <c r="T429" s="8">
        <f>'Model inputs'!T447*'Model inputs'!AJ52/12</f>
        <v>833.3333333333333</v>
      </c>
      <c r="U429" s="8">
        <f>'Model inputs'!U447*'Model inputs'!AJ52/12</f>
        <v>833.3333333333333</v>
      </c>
      <c r="V429" s="8">
        <f>'Model inputs'!V447*'Model inputs'!AJ52/12</f>
        <v>833.3333333333333</v>
      </c>
      <c r="W429" s="8">
        <f>'Model inputs'!W447*'Model inputs'!AJ52/12</f>
        <v>1666.6666666666665</v>
      </c>
      <c r="X429" s="8">
        <f>'Model inputs'!X447*'Model inputs'!AJ52/12</f>
        <v>1666.6666666666665</v>
      </c>
      <c r="Y429" s="8">
        <f>'Model inputs'!Y447*'Model inputs'!AJ52/12</f>
        <v>1666.6666666666665</v>
      </c>
      <c r="Z429" s="8">
        <f>'Model inputs'!Z447*'Model inputs'!AJ52/12</f>
        <v>1666.6666666666665</v>
      </c>
      <c r="AA429" s="8">
        <f>'Model inputs'!AA447*'Model inputs'!AJ52/12</f>
        <v>1666.6666666666665</v>
      </c>
      <c r="AB429" s="8">
        <f>'Model inputs'!AB447*'Model inputs'!AJ52/12</f>
        <v>1666.6666666666665</v>
      </c>
      <c r="AC429" s="8">
        <f>'Model inputs'!AC447*'Model inputs'!AJ52/12</f>
        <v>2916.6666666666665</v>
      </c>
      <c r="AD429" s="8">
        <f>'Model inputs'!AD447*'Model inputs'!AJ52/12</f>
        <v>2916.6666666666665</v>
      </c>
      <c r="AE429" s="8">
        <f>'Model inputs'!AE447*'Model inputs'!AJ52/12</f>
        <v>2916.6666666666665</v>
      </c>
      <c r="AF429" s="8">
        <f>'Model inputs'!AF447*'Model inputs'!AJ52/12</f>
        <v>2916.6666666666665</v>
      </c>
      <c r="AG429" s="8">
        <f>'Model inputs'!AG447*'Model inputs'!AJ52/12</f>
        <v>2916.6666666666665</v>
      </c>
      <c r="AH429" s="8">
        <f>'Model inputs'!AH447*'Model inputs'!AJ52/12</f>
        <v>2916.6666666666665</v>
      </c>
      <c r="AI429" s="8">
        <f>'Model inputs'!AI447*'Model inputs'!AJ52/12</f>
        <v>4166.666666666666</v>
      </c>
    </row>
    <row r="430">
      <c r="A430" t="inlineStr" s="13">
        <is>
          <t xml:space="preserve">Haq Employer checks · Haq Ending cash · Growth · Growth</t>
        </is>
      </c>
      <c r="B430" s="8">
        <f>'Model inputs'!B448*'Model inputs'!AJ108/12</f>
        <v>0</v>
      </c>
      <c r="C430" s="8">
        <f>'Model inputs'!C448*'Model inputs'!AJ108/12</f>
        <v>0</v>
      </c>
      <c r="D430" s="8">
        <f>'Model inputs'!D448*'Model inputs'!AJ108/12</f>
        <v>0</v>
      </c>
      <c r="E430" s="8">
        <f>'Model inputs'!E448*'Model inputs'!AJ108/12</f>
        <v>0</v>
      </c>
      <c r="F430" s="8">
        <f>'Model inputs'!F448*'Model inputs'!AJ108/12</f>
        <v>0</v>
      </c>
      <c r="G430" s="8">
        <f>'Model inputs'!G448*'Model inputs'!AJ108/12</f>
        <v>0</v>
      </c>
      <c r="H430" s="8">
        <f>'Model inputs'!H448*'Model inputs'!AJ108/12</f>
        <v>0</v>
      </c>
      <c r="I430" s="8">
        <f>'Model inputs'!I448*'Model inputs'!AJ108/12</f>
        <v>0</v>
      </c>
      <c r="J430" s="8">
        <f>'Model inputs'!J448*'Model inputs'!AJ108/12</f>
        <v>0</v>
      </c>
      <c r="K430" s="8">
        <f>'Model inputs'!K448*'Model inputs'!AJ108/12</f>
        <v>0</v>
      </c>
      <c r="L430" s="8">
        <f>'Model inputs'!L448*'Model inputs'!AJ108/12</f>
        <v>0</v>
      </c>
      <c r="M430" s="8">
        <f>'Model inputs'!M448*'Model inputs'!AJ108/12</f>
        <v>0</v>
      </c>
      <c r="N430" s="8">
        <f>'Model inputs'!N448*'Model inputs'!AJ108/12</f>
        <v>0</v>
      </c>
      <c r="O430" s="8">
        <f>'Model inputs'!O448*'Model inputs'!AJ108/12</f>
        <v>0</v>
      </c>
      <c r="P430" s="8">
        <f>'Model inputs'!P448*'Model inputs'!AJ108/12</f>
        <v>0</v>
      </c>
      <c r="Q430" s="8">
        <f>'Model inputs'!Q448*'Model inputs'!AJ108/12</f>
        <v>0</v>
      </c>
      <c r="R430" s="8">
        <f>'Model inputs'!R448*'Model inputs'!AJ108/12</f>
        <v>0</v>
      </c>
      <c r="S430" s="8">
        <f>'Model inputs'!S448*'Model inputs'!AJ108/12</f>
        <v>0</v>
      </c>
      <c r="T430" s="8">
        <f>'Model inputs'!T448*'Model inputs'!AJ108/12</f>
        <v>1666.6666666666665</v>
      </c>
      <c r="U430" s="8">
        <f>'Model inputs'!U448*'Model inputs'!AJ108/12</f>
        <v>1666.6666666666665</v>
      </c>
      <c r="V430" s="8">
        <f>'Model inputs'!V448*'Model inputs'!AJ108/12</f>
        <v>1666.6666666666665</v>
      </c>
      <c r="W430" s="8">
        <f>'Model inputs'!W448*'Model inputs'!AJ108/12</f>
        <v>3333.333333333333</v>
      </c>
      <c r="X430" s="8">
        <f>'Model inputs'!X448*'Model inputs'!AJ108/12</f>
        <v>3333.333333333333</v>
      </c>
      <c r="Y430" s="8">
        <f>'Model inputs'!Y448*'Model inputs'!AJ108/12</f>
        <v>3333.333333333333</v>
      </c>
      <c r="Z430" s="8">
        <f>'Model inputs'!Z448*'Model inputs'!AJ108/12</f>
        <v>3333.333333333333</v>
      </c>
      <c r="AA430" s="8">
        <f>'Model inputs'!AA448*'Model inputs'!AJ108/12</f>
        <v>3333.333333333333</v>
      </c>
      <c r="AB430" s="8">
        <f>'Model inputs'!AB448*'Model inputs'!AJ108/12</f>
        <v>3333.333333333333</v>
      </c>
      <c r="AC430" s="8">
        <f>'Model inputs'!AC448*'Model inputs'!AJ108/12</f>
        <v>5833.333333333333</v>
      </c>
      <c r="AD430" s="8">
        <f>'Model inputs'!AD448*'Model inputs'!AJ108/12</f>
        <v>5833.333333333333</v>
      </c>
      <c r="AE430" s="8">
        <f>'Model inputs'!AE448*'Model inputs'!AJ108/12</f>
        <v>5833.333333333333</v>
      </c>
      <c r="AF430" s="8">
        <f>'Model inputs'!AF448*'Model inputs'!AJ108/12</f>
        <v>5833.333333333333</v>
      </c>
      <c r="AG430" s="8">
        <f>'Model inputs'!AG448*'Model inputs'!AJ108/12</f>
        <v>5833.333333333333</v>
      </c>
      <c r="AH430" s="8">
        <f>'Model inputs'!AH448*'Model inputs'!AJ108/12</f>
        <v>5833.333333333333</v>
      </c>
      <c r="AI430" s="8">
        <f>'Model inputs'!AI448*'Model inputs'!AJ108/12</f>
        <v>8333.333333333332</v>
      </c>
    </row>
    <row r="431">
      <c r="A431" t="inlineStr" s="13">
        <is>
          <t xml:space="preserve">Haq Employer checks · Haq Ending cash · Conservative · Conservative</t>
        </is>
      </c>
      <c r="B431" s="8">
        <f>'Model inputs'!B449*'Model inputs'!AJ164/12</f>
        <v>0</v>
      </c>
      <c r="C431" s="8">
        <f>'Model inputs'!C449*'Model inputs'!AJ164/12</f>
        <v>0</v>
      </c>
      <c r="D431" s="8">
        <f>'Model inputs'!D449*'Model inputs'!AJ164/12</f>
        <v>0</v>
      </c>
      <c r="E431" s="8">
        <f>'Model inputs'!E449*'Model inputs'!AJ164/12</f>
        <v>0</v>
      </c>
      <c r="F431" s="8">
        <f>'Model inputs'!F449*'Model inputs'!AJ164/12</f>
        <v>0</v>
      </c>
      <c r="G431" s="8">
        <f>'Model inputs'!G449*'Model inputs'!AJ164/12</f>
        <v>0</v>
      </c>
      <c r="H431" s="8">
        <f>'Model inputs'!H449*'Model inputs'!AJ164/12</f>
        <v>0</v>
      </c>
      <c r="I431" s="8">
        <f>'Model inputs'!I449*'Model inputs'!AJ164/12</f>
        <v>0</v>
      </c>
      <c r="J431" s="8">
        <f>'Model inputs'!J449*'Model inputs'!AJ164/12</f>
        <v>0</v>
      </c>
      <c r="K431" s="8">
        <f>'Model inputs'!K449*'Model inputs'!AJ164/12</f>
        <v>0</v>
      </c>
      <c r="L431" s="8">
        <f>'Model inputs'!L449*'Model inputs'!AJ164/12</f>
        <v>0</v>
      </c>
      <c r="M431" s="8">
        <f>'Model inputs'!M449*'Model inputs'!AJ164/12</f>
        <v>0</v>
      </c>
      <c r="N431" s="8">
        <f>'Model inputs'!N449*'Model inputs'!AJ164/12</f>
        <v>0</v>
      </c>
      <c r="O431" s="8">
        <f>'Model inputs'!O449*'Model inputs'!AJ164/12</f>
        <v>0</v>
      </c>
      <c r="P431" s="8">
        <f>'Model inputs'!P449*'Model inputs'!AJ164/12</f>
        <v>0</v>
      </c>
      <c r="Q431" s="8">
        <f>'Model inputs'!Q449*'Model inputs'!AJ164/12</f>
        <v>0</v>
      </c>
      <c r="R431" s="8">
        <f>'Model inputs'!R449*'Model inputs'!AJ164/12</f>
        <v>0</v>
      </c>
      <c r="S431" s="8">
        <f>'Model inputs'!S449*'Model inputs'!AJ164/12</f>
        <v>0</v>
      </c>
      <c r="T431" s="8">
        <f>'Model inputs'!T449*'Model inputs'!AJ164/12</f>
        <v>416.66666666666663</v>
      </c>
      <c r="U431" s="8">
        <f>'Model inputs'!U449*'Model inputs'!AJ164/12</f>
        <v>416.66666666666663</v>
      </c>
      <c r="V431" s="8">
        <f>'Model inputs'!V449*'Model inputs'!AJ164/12</f>
        <v>416.66666666666663</v>
      </c>
      <c r="W431" s="8">
        <f>'Model inputs'!W449*'Model inputs'!AJ164/12</f>
        <v>833.3333333333333</v>
      </c>
      <c r="X431" s="8">
        <f>'Model inputs'!X449*'Model inputs'!AJ164/12</f>
        <v>833.3333333333333</v>
      </c>
      <c r="Y431" s="8">
        <f>'Model inputs'!Y449*'Model inputs'!AJ164/12</f>
        <v>833.3333333333333</v>
      </c>
      <c r="Z431" s="8">
        <f>'Model inputs'!Z449*'Model inputs'!AJ164/12</f>
        <v>833.3333333333333</v>
      </c>
      <c r="AA431" s="8">
        <f>'Model inputs'!AA449*'Model inputs'!AJ164/12</f>
        <v>833.3333333333333</v>
      </c>
      <c r="AB431" s="8">
        <f>'Model inputs'!AB449*'Model inputs'!AJ164/12</f>
        <v>833.3333333333333</v>
      </c>
      <c r="AC431" s="8">
        <f>'Model inputs'!AC449*'Model inputs'!AJ164/12</f>
        <v>1458.3333333333333</v>
      </c>
      <c r="AD431" s="8">
        <f>'Model inputs'!AD449*'Model inputs'!AJ164/12</f>
        <v>1458.3333333333333</v>
      </c>
      <c r="AE431" s="8">
        <f>'Model inputs'!AE449*'Model inputs'!AJ164/12</f>
        <v>1458.3333333333333</v>
      </c>
      <c r="AF431" s="8">
        <f>'Model inputs'!AF449*'Model inputs'!AJ164/12</f>
        <v>1458.3333333333333</v>
      </c>
      <c r="AG431" s="8">
        <f>'Model inputs'!AG449*'Model inputs'!AJ164/12</f>
        <v>1458.3333333333333</v>
      </c>
      <c r="AH431" s="8">
        <f>'Model inputs'!AH449*'Model inputs'!AJ164/12</f>
        <v>1458.3333333333333</v>
      </c>
      <c r="AI431" s="8">
        <f>'Model inputs'!AI449*'Model inputs'!AJ164/12</f>
        <v>2083.333333333333</v>
      </c>
    </row>
    <row r="432">
      <c r="A432" t="inlineStr" s="13">
        <is>
          <t xml:space="preserve">Haq Employer new workers · Haq Ending cash · Main Scenario · Main Scenario</t>
        </is>
      </c>
      <c r="B432" s="8">
        <f>MAX('Model inputs'!B447-0,0)</f>
        <v>0</v>
      </c>
      <c r="C432" s="8">
        <f>MAX('Model inputs'!C447-'Model inputs'!B447,0)</f>
        <v>0</v>
      </c>
      <c r="D432" s="8">
        <f>MAX('Model inputs'!D447-'Model inputs'!C447,0)</f>
        <v>0</v>
      </c>
      <c r="E432" s="8">
        <f>MAX('Model inputs'!E447-'Model inputs'!D447,0)</f>
        <v>0</v>
      </c>
      <c r="F432" s="8">
        <f>MAX('Model inputs'!F447-'Model inputs'!E447,0)</f>
        <v>0</v>
      </c>
      <c r="G432" s="8">
        <f>MAX('Model inputs'!G447-'Model inputs'!F447,0)</f>
        <v>0</v>
      </c>
      <c r="H432" s="8">
        <f>MAX('Model inputs'!H447-'Model inputs'!G447,0)</f>
        <v>0</v>
      </c>
      <c r="I432" s="8">
        <f>MAX('Model inputs'!I447-'Model inputs'!H447,0)</f>
        <v>0</v>
      </c>
      <c r="J432" s="8">
        <f>MAX('Model inputs'!J447-'Model inputs'!I447,0)</f>
        <v>0</v>
      </c>
      <c r="K432" s="8">
        <f>MAX('Model inputs'!K447-'Model inputs'!J447,0)</f>
        <v>0</v>
      </c>
      <c r="L432" s="8">
        <f>MAX('Model inputs'!L447-'Model inputs'!K447,0)</f>
        <v>0</v>
      </c>
      <c r="M432" s="8">
        <f>MAX('Model inputs'!M447-'Model inputs'!L447,0)</f>
        <v>0</v>
      </c>
      <c r="N432" s="8">
        <f>MAX('Model inputs'!N447-'Model inputs'!M447,0)</f>
        <v>0</v>
      </c>
      <c r="O432" s="8">
        <f>MAX('Model inputs'!O447-'Model inputs'!N447,0)</f>
        <v>0</v>
      </c>
      <c r="P432" s="8">
        <f>MAX('Model inputs'!P447-'Model inputs'!O447,0)</f>
        <v>0</v>
      </c>
      <c r="Q432" s="8">
        <f>MAX('Model inputs'!Q447-'Model inputs'!P447,0)</f>
        <v>0</v>
      </c>
      <c r="R432" s="8">
        <f>MAX('Model inputs'!R447-'Model inputs'!Q447,0)</f>
        <v>0</v>
      </c>
      <c r="S432" s="8">
        <f>MAX('Model inputs'!S447-'Model inputs'!R447,0)</f>
        <v>0</v>
      </c>
      <c r="T432" s="8">
        <f>MAX('Model inputs'!T447-'Model inputs'!S447,0)</f>
        <v>10000</v>
      </c>
      <c r="U432" s="8">
        <f>MAX('Model inputs'!U447-'Model inputs'!T447,0)</f>
        <v>0</v>
      </c>
      <c r="V432" s="8">
        <f>MAX('Model inputs'!V447-'Model inputs'!U447,0)</f>
        <v>0</v>
      </c>
      <c r="W432" s="8">
        <f>MAX('Model inputs'!W447-'Model inputs'!V447,0)</f>
        <v>10000</v>
      </c>
      <c r="X432" s="8">
        <f>MAX('Model inputs'!X447-'Model inputs'!W447,0)</f>
        <v>0</v>
      </c>
      <c r="Y432" s="8">
        <f>MAX('Model inputs'!Y447-'Model inputs'!X447,0)</f>
        <v>0</v>
      </c>
      <c r="Z432" s="8">
        <f>MAX('Model inputs'!Z447-'Model inputs'!Y447,0)</f>
        <v>0</v>
      </c>
      <c r="AA432" s="8">
        <f>MAX('Model inputs'!AA447-'Model inputs'!Z447,0)</f>
        <v>0</v>
      </c>
      <c r="AB432" s="8">
        <f>MAX('Model inputs'!AB447-'Model inputs'!AA447,0)</f>
        <v>0</v>
      </c>
      <c r="AC432" s="8">
        <f>MAX('Model inputs'!AC447-'Model inputs'!AB447,0)</f>
        <v>15000</v>
      </c>
      <c r="AD432" s="8">
        <f>MAX('Model inputs'!AD447-'Model inputs'!AC447,0)</f>
        <v>0</v>
      </c>
      <c r="AE432" s="8">
        <f>MAX('Model inputs'!AE447-'Model inputs'!AD447,0)</f>
        <v>0</v>
      </c>
      <c r="AF432" s="8">
        <f>MAX('Model inputs'!AF447-'Model inputs'!AE447,0)</f>
        <v>0</v>
      </c>
      <c r="AG432" s="8">
        <f>MAX('Model inputs'!AG447-'Model inputs'!AF447,0)</f>
        <v>0</v>
      </c>
      <c r="AH432" s="8">
        <f>MAX('Model inputs'!AH447-'Model inputs'!AG447,0)</f>
        <v>0</v>
      </c>
      <c r="AI432" s="8">
        <f>MAX('Model inputs'!AI447-'Model inputs'!AH447,0)</f>
        <v>15000</v>
      </c>
    </row>
    <row r="433">
      <c r="A433" t="inlineStr" s="13">
        <is>
          <t xml:space="preserve">Haq Employer new workers · Haq Ending cash · Growth · Growth</t>
        </is>
      </c>
      <c r="B433" s="8">
        <f>MAX('Model inputs'!B448-0,0)</f>
        <v>0</v>
      </c>
      <c r="C433" s="8">
        <f>MAX('Model inputs'!C448-'Model inputs'!B448,0)</f>
        <v>0</v>
      </c>
      <c r="D433" s="8">
        <f>MAX('Model inputs'!D448-'Model inputs'!C448,0)</f>
        <v>0</v>
      </c>
      <c r="E433" s="8">
        <f>MAX('Model inputs'!E448-'Model inputs'!D448,0)</f>
        <v>0</v>
      </c>
      <c r="F433" s="8">
        <f>MAX('Model inputs'!F448-'Model inputs'!E448,0)</f>
        <v>0</v>
      </c>
      <c r="G433" s="8">
        <f>MAX('Model inputs'!G448-'Model inputs'!F448,0)</f>
        <v>0</v>
      </c>
      <c r="H433" s="8">
        <f>MAX('Model inputs'!H448-'Model inputs'!G448,0)</f>
        <v>0</v>
      </c>
      <c r="I433" s="8">
        <f>MAX('Model inputs'!I448-'Model inputs'!H448,0)</f>
        <v>0</v>
      </c>
      <c r="J433" s="8">
        <f>MAX('Model inputs'!J448-'Model inputs'!I448,0)</f>
        <v>0</v>
      </c>
      <c r="K433" s="8">
        <f>MAX('Model inputs'!K448-'Model inputs'!J448,0)</f>
        <v>0</v>
      </c>
      <c r="L433" s="8">
        <f>MAX('Model inputs'!L448-'Model inputs'!K448,0)</f>
        <v>0</v>
      </c>
      <c r="M433" s="8">
        <f>MAX('Model inputs'!M448-'Model inputs'!L448,0)</f>
        <v>0</v>
      </c>
      <c r="N433" s="8">
        <f>MAX('Model inputs'!N448-'Model inputs'!M448,0)</f>
        <v>0</v>
      </c>
      <c r="O433" s="8">
        <f>MAX('Model inputs'!O448-'Model inputs'!N448,0)</f>
        <v>0</v>
      </c>
      <c r="P433" s="8">
        <f>MAX('Model inputs'!P448-'Model inputs'!O448,0)</f>
        <v>0</v>
      </c>
      <c r="Q433" s="8">
        <f>MAX('Model inputs'!Q448-'Model inputs'!P448,0)</f>
        <v>0</v>
      </c>
      <c r="R433" s="8">
        <f>MAX('Model inputs'!R448-'Model inputs'!Q448,0)</f>
        <v>0</v>
      </c>
      <c r="S433" s="8">
        <f>MAX('Model inputs'!S448-'Model inputs'!R448,0)</f>
        <v>0</v>
      </c>
      <c r="T433" s="8">
        <f>MAX('Model inputs'!T448-'Model inputs'!S448,0)</f>
        <v>20000</v>
      </c>
      <c r="U433" s="8">
        <f>MAX('Model inputs'!U448-'Model inputs'!T448,0)</f>
        <v>0</v>
      </c>
      <c r="V433" s="8">
        <f>MAX('Model inputs'!V448-'Model inputs'!U448,0)</f>
        <v>0</v>
      </c>
      <c r="W433" s="8">
        <f>MAX('Model inputs'!W448-'Model inputs'!V448,0)</f>
        <v>20000</v>
      </c>
      <c r="X433" s="8">
        <f>MAX('Model inputs'!X448-'Model inputs'!W448,0)</f>
        <v>0</v>
      </c>
      <c r="Y433" s="8">
        <f>MAX('Model inputs'!Y448-'Model inputs'!X448,0)</f>
        <v>0</v>
      </c>
      <c r="Z433" s="8">
        <f>MAX('Model inputs'!Z448-'Model inputs'!Y448,0)</f>
        <v>0</v>
      </c>
      <c r="AA433" s="8">
        <f>MAX('Model inputs'!AA448-'Model inputs'!Z448,0)</f>
        <v>0</v>
      </c>
      <c r="AB433" s="8">
        <f>MAX('Model inputs'!AB448-'Model inputs'!AA448,0)</f>
        <v>0</v>
      </c>
      <c r="AC433" s="8">
        <f>MAX('Model inputs'!AC448-'Model inputs'!AB448,0)</f>
        <v>30000</v>
      </c>
      <c r="AD433" s="8">
        <f>MAX('Model inputs'!AD448-'Model inputs'!AC448,0)</f>
        <v>0</v>
      </c>
      <c r="AE433" s="8">
        <f>MAX('Model inputs'!AE448-'Model inputs'!AD448,0)</f>
        <v>0</v>
      </c>
      <c r="AF433" s="8">
        <f>MAX('Model inputs'!AF448-'Model inputs'!AE448,0)</f>
        <v>0</v>
      </c>
      <c r="AG433" s="8">
        <f>MAX('Model inputs'!AG448-'Model inputs'!AF448,0)</f>
        <v>0</v>
      </c>
      <c r="AH433" s="8">
        <f>MAX('Model inputs'!AH448-'Model inputs'!AG448,0)</f>
        <v>0</v>
      </c>
      <c r="AI433" s="8">
        <f>MAX('Model inputs'!AI448-'Model inputs'!AH448,0)</f>
        <v>30000</v>
      </c>
    </row>
    <row r="434">
      <c r="A434" t="inlineStr" s="13">
        <is>
          <t xml:space="preserve">Haq Employer new workers · Haq Ending cash · Conservative · Conservative</t>
        </is>
      </c>
      <c r="B434" s="8">
        <f>MAX('Model inputs'!B449-0,0)</f>
        <v>0</v>
      </c>
      <c r="C434" s="8">
        <f>MAX('Model inputs'!C449-'Model inputs'!B449,0)</f>
        <v>0</v>
      </c>
      <c r="D434" s="8">
        <f>MAX('Model inputs'!D449-'Model inputs'!C449,0)</f>
        <v>0</v>
      </c>
      <c r="E434" s="8">
        <f>MAX('Model inputs'!E449-'Model inputs'!D449,0)</f>
        <v>0</v>
      </c>
      <c r="F434" s="8">
        <f>MAX('Model inputs'!F449-'Model inputs'!E449,0)</f>
        <v>0</v>
      </c>
      <c r="G434" s="8">
        <f>MAX('Model inputs'!G449-'Model inputs'!F449,0)</f>
        <v>0</v>
      </c>
      <c r="H434" s="8">
        <f>MAX('Model inputs'!H449-'Model inputs'!G449,0)</f>
        <v>0</v>
      </c>
      <c r="I434" s="8">
        <f>MAX('Model inputs'!I449-'Model inputs'!H449,0)</f>
        <v>0</v>
      </c>
      <c r="J434" s="8">
        <f>MAX('Model inputs'!J449-'Model inputs'!I449,0)</f>
        <v>0</v>
      </c>
      <c r="K434" s="8">
        <f>MAX('Model inputs'!K449-'Model inputs'!J449,0)</f>
        <v>0</v>
      </c>
      <c r="L434" s="8">
        <f>MAX('Model inputs'!L449-'Model inputs'!K449,0)</f>
        <v>0</v>
      </c>
      <c r="M434" s="8">
        <f>MAX('Model inputs'!M449-'Model inputs'!L449,0)</f>
        <v>0</v>
      </c>
      <c r="N434" s="8">
        <f>MAX('Model inputs'!N449-'Model inputs'!M449,0)</f>
        <v>0</v>
      </c>
      <c r="O434" s="8">
        <f>MAX('Model inputs'!O449-'Model inputs'!N449,0)</f>
        <v>0</v>
      </c>
      <c r="P434" s="8">
        <f>MAX('Model inputs'!P449-'Model inputs'!O449,0)</f>
        <v>0</v>
      </c>
      <c r="Q434" s="8">
        <f>MAX('Model inputs'!Q449-'Model inputs'!P449,0)</f>
        <v>0</v>
      </c>
      <c r="R434" s="8">
        <f>MAX('Model inputs'!R449-'Model inputs'!Q449,0)</f>
        <v>0</v>
      </c>
      <c r="S434" s="8">
        <f>MAX('Model inputs'!S449-'Model inputs'!R449,0)</f>
        <v>0</v>
      </c>
      <c r="T434" s="8">
        <f>MAX('Model inputs'!T449-'Model inputs'!S449,0)</f>
        <v>5000</v>
      </c>
      <c r="U434" s="8">
        <f>MAX('Model inputs'!U449-'Model inputs'!T449,0)</f>
        <v>0</v>
      </c>
      <c r="V434" s="8">
        <f>MAX('Model inputs'!V449-'Model inputs'!U449,0)</f>
        <v>0</v>
      </c>
      <c r="W434" s="8">
        <f>MAX('Model inputs'!W449-'Model inputs'!V449,0)</f>
        <v>5000</v>
      </c>
      <c r="X434" s="8">
        <f>MAX('Model inputs'!X449-'Model inputs'!W449,0)</f>
        <v>0</v>
      </c>
      <c r="Y434" s="8">
        <f>MAX('Model inputs'!Y449-'Model inputs'!X449,0)</f>
        <v>0</v>
      </c>
      <c r="Z434" s="8">
        <f>MAX('Model inputs'!Z449-'Model inputs'!Y449,0)</f>
        <v>0</v>
      </c>
      <c r="AA434" s="8">
        <f>MAX('Model inputs'!AA449-'Model inputs'!Z449,0)</f>
        <v>0</v>
      </c>
      <c r="AB434" s="8">
        <f>MAX('Model inputs'!AB449-'Model inputs'!AA449,0)</f>
        <v>0</v>
      </c>
      <c r="AC434" s="8">
        <f>MAX('Model inputs'!AC449-'Model inputs'!AB449,0)</f>
        <v>7500</v>
      </c>
      <c r="AD434" s="8">
        <f>MAX('Model inputs'!AD449-'Model inputs'!AC449,0)</f>
        <v>0</v>
      </c>
      <c r="AE434" s="8">
        <f>MAX('Model inputs'!AE449-'Model inputs'!AD449,0)</f>
        <v>0</v>
      </c>
      <c r="AF434" s="8">
        <f>MAX('Model inputs'!AF449-'Model inputs'!AE449,0)</f>
        <v>0</v>
      </c>
      <c r="AG434" s="8">
        <f>MAX('Model inputs'!AG449-'Model inputs'!AF449,0)</f>
        <v>0</v>
      </c>
      <c r="AH434" s="8">
        <f>MAX('Model inputs'!AH449-'Model inputs'!AG449,0)</f>
        <v>0</v>
      </c>
      <c r="AI434" s="8">
        <f>MAX('Model inputs'!AI449-'Model inputs'!AH449,0)</f>
        <v>7500</v>
      </c>
    </row>
    <row r="435">
      <c r="A435" t="inlineStr" s="13">
        <is>
          <t xml:space="preserve">Haq Employer revenue · Haq Operating profit · Haq Future minimum profit · Main Scenario · Main Scenario · Main Scenario</t>
        </is>
      </c>
      <c r="B435" s="9">
        <f>'Model inputs'!B447*'Model inputs'!AJ51/12</f>
        <v>0</v>
      </c>
      <c r="C435" s="9">
        <f>'Model inputs'!C447*'Model inputs'!AJ51/12</f>
        <v>0</v>
      </c>
      <c r="D435" s="9">
        <f>'Model inputs'!D447*'Model inputs'!AJ51/12</f>
        <v>0</v>
      </c>
      <c r="E435" s="9">
        <f>'Model inputs'!E447*'Model inputs'!AJ51/12</f>
        <v>0</v>
      </c>
      <c r="F435" s="9">
        <f>'Model inputs'!F447*'Model inputs'!AJ51/12</f>
        <v>0</v>
      </c>
      <c r="G435" s="9">
        <f>'Model inputs'!G447*'Model inputs'!AJ51/12</f>
        <v>0</v>
      </c>
      <c r="H435" s="9">
        <f>'Model inputs'!H447*'Model inputs'!AJ51/12</f>
        <v>0</v>
      </c>
      <c r="I435" s="9">
        <f>'Model inputs'!I447*'Model inputs'!AJ51/12</f>
        <v>0</v>
      </c>
      <c r="J435" s="9">
        <f>'Model inputs'!J447*'Model inputs'!AJ51/12</f>
        <v>0</v>
      </c>
      <c r="K435" s="9">
        <f>'Model inputs'!K447*'Model inputs'!AJ51/12</f>
        <v>0</v>
      </c>
      <c r="L435" s="9">
        <f>'Model inputs'!L447*'Model inputs'!AJ51/12</f>
        <v>0</v>
      </c>
      <c r="M435" s="9">
        <f>'Model inputs'!M447*'Model inputs'!AJ51/12</f>
        <v>0</v>
      </c>
      <c r="N435" s="9">
        <f>'Model inputs'!N447*'Model inputs'!AJ51/12</f>
        <v>0</v>
      </c>
      <c r="O435" s="9">
        <f>'Model inputs'!O447*'Model inputs'!AJ51/12</f>
        <v>0</v>
      </c>
      <c r="P435" s="9">
        <f>'Model inputs'!P447*'Model inputs'!AJ51/12</f>
        <v>0</v>
      </c>
      <c r="Q435" s="9">
        <f>'Model inputs'!Q447*'Model inputs'!AJ51/12</f>
        <v>0</v>
      </c>
      <c r="R435" s="9">
        <f>'Model inputs'!R447*'Model inputs'!AJ51/12</f>
        <v>0</v>
      </c>
      <c r="S435" s="9">
        <f>'Model inputs'!S447*'Model inputs'!AJ51/12</f>
        <v>0</v>
      </c>
      <c r="T435" s="9">
        <f>'Model inputs'!T447*'Model inputs'!AJ51/12</f>
        <v>41666.666666666664</v>
      </c>
      <c r="U435" s="9">
        <f>'Model inputs'!U447*'Model inputs'!AJ51/12</f>
        <v>41666.666666666664</v>
      </c>
      <c r="V435" s="9">
        <f>'Model inputs'!V447*'Model inputs'!AJ51/12</f>
        <v>41666.666666666664</v>
      </c>
      <c r="W435" s="9">
        <f>'Model inputs'!W447*'Model inputs'!AJ51/12</f>
        <v>83333.33333333333</v>
      </c>
      <c r="X435" s="9">
        <f>'Model inputs'!X447*'Model inputs'!AJ51/12</f>
        <v>83333.33333333333</v>
      </c>
      <c r="Y435" s="9">
        <f>'Model inputs'!Y447*'Model inputs'!AJ51/12</f>
        <v>83333.33333333333</v>
      </c>
      <c r="Z435" s="9">
        <f>'Model inputs'!Z447*'Model inputs'!AJ51/12</f>
        <v>83333.33333333333</v>
      </c>
      <c r="AA435" s="9">
        <f>'Model inputs'!AA447*'Model inputs'!AJ51/12</f>
        <v>83333.33333333333</v>
      </c>
      <c r="AB435" s="9">
        <f>'Model inputs'!AB447*'Model inputs'!AJ51/12</f>
        <v>83333.33333333333</v>
      </c>
      <c r="AC435" s="9">
        <f>'Model inputs'!AC447*'Model inputs'!AJ51/12</f>
        <v>145833.3333333333</v>
      </c>
      <c r="AD435" s="9">
        <f>'Model inputs'!AD447*'Model inputs'!AJ51/12</f>
        <v>145833.3333333333</v>
      </c>
      <c r="AE435" s="9">
        <f>'Model inputs'!AE447*'Model inputs'!AJ51/12</f>
        <v>145833.3333333333</v>
      </c>
      <c r="AF435" s="9">
        <f>'Model inputs'!AF447*'Model inputs'!AJ51/12</f>
        <v>145833.3333333333</v>
      </c>
      <c r="AG435" s="9">
        <f>'Model inputs'!AG447*'Model inputs'!AJ51/12</f>
        <v>145833.3333333333</v>
      </c>
      <c r="AH435" s="9">
        <f>'Model inputs'!AH447*'Model inputs'!AJ51/12</f>
        <v>145833.3333333333</v>
      </c>
      <c r="AI435" s="9">
        <f>'Model inputs'!AI447*'Model inputs'!AJ51/12</f>
        <v>208333.3333333333</v>
      </c>
    </row>
    <row r="436">
      <c r="A436" t="inlineStr" s="13">
        <is>
          <t xml:space="preserve">Haq Employer revenue · Haq Operating profit · Haq Future minimum profit · Growth · Growth · Growth</t>
        </is>
      </c>
      <c r="B436" s="9">
        <f>'Model inputs'!B448*'Model inputs'!AJ107/12</f>
        <v>0</v>
      </c>
      <c r="C436" s="9">
        <f>'Model inputs'!C448*'Model inputs'!AJ107/12</f>
        <v>0</v>
      </c>
      <c r="D436" s="9">
        <f>'Model inputs'!D448*'Model inputs'!AJ107/12</f>
        <v>0</v>
      </c>
      <c r="E436" s="9">
        <f>'Model inputs'!E448*'Model inputs'!AJ107/12</f>
        <v>0</v>
      </c>
      <c r="F436" s="9">
        <f>'Model inputs'!F448*'Model inputs'!AJ107/12</f>
        <v>0</v>
      </c>
      <c r="G436" s="9">
        <f>'Model inputs'!G448*'Model inputs'!AJ107/12</f>
        <v>0</v>
      </c>
      <c r="H436" s="9">
        <f>'Model inputs'!H448*'Model inputs'!AJ107/12</f>
        <v>0</v>
      </c>
      <c r="I436" s="9">
        <f>'Model inputs'!I448*'Model inputs'!AJ107/12</f>
        <v>0</v>
      </c>
      <c r="J436" s="9">
        <f>'Model inputs'!J448*'Model inputs'!AJ107/12</f>
        <v>0</v>
      </c>
      <c r="K436" s="9">
        <f>'Model inputs'!K448*'Model inputs'!AJ107/12</f>
        <v>0</v>
      </c>
      <c r="L436" s="9">
        <f>'Model inputs'!L448*'Model inputs'!AJ107/12</f>
        <v>0</v>
      </c>
      <c r="M436" s="9">
        <f>'Model inputs'!M448*'Model inputs'!AJ107/12</f>
        <v>0</v>
      </c>
      <c r="N436" s="9">
        <f>'Model inputs'!N448*'Model inputs'!AJ107/12</f>
        <v>0</v>
      </c>
      <c r="O436" s="9">
        <f>'Model inputs'!O448*'Model inputs'!AJ107/12</f>
        <v>0</v>
      </c>
      <c r="P436" s="9">
        <f>'Model inputs'!P448*'Model inputs'!AJ107/12</f>
        <v>0</v>
      </c>
      <c r="Q436" s="9">
        <f>'Model inputs'!Q448*'Model inputs'!AJ107/12</f>
        <v>0</v>
      </c>
      <c r="R436" s="9">
        <f>'Model inputs'!R448*'Model inputs'!AJ107/12</f>
        <v>0</v>
      </c>
      <c r="S436" s="9">
        <f>'Model inputs'!S448*'Model inputs'!AJ107/12</f>
        <v>0</v>
      </c>
      <c r="T436" s="9">
        <f>'Model inputs'!T448*'Model inputs'!AJ107/12</f>
        <v>83333.33333333333</v>
      </c>
      <c r="U436" s="9">
        <f>'Model inputs'!U448*'Model inputs'!AJ107/12</f>
        <v>83333.33333333333</v>
      </c>
      <c r="V436" s="9">
        <f>'Model inputs'!V448*'Model inputs'!AJ107/12</f>
        <v>83333.33333333333</v>
      </c>
      <c r="W436" s="9">
        <f>'Model inputs'!W448*'Model inputs'!AJ107/12</f>
        <v>166666.66666666666</v>
      </c>
      <c r="X436" s="9">
        <f>'Model inputs'!X448*'Model inputs'!AJ107/12</f>
        <v>166666.66666666666</v>
      </c>
      <c r="Y436" s="9">
        <f>'Model inputs'!Y448*'Model inputs'!AJ107/12</f>
        <v>166666.66666666666</v>
      </c>
      <c r="Z436" s="9">
        <f>'Model inputs'!Z448*'Model inputs'!AJ107/12</f>
        <v>166666.66666666666</v>
      </c>
      <c r="AA436" s="9">
        <f>'Model inputs'!AA448*'Model inputs'!AJ107/12</f>
        <v>166666.66666666666</v>
      </c>
      <c r="AB436" s="9">
        <f>'Model inputs'!AB448*'Model inputs'!AJ107/12</f>
        <v>166666.66666666666</v>
      </c>
      <c r="AC436" s="9">
        <f>'Model inputs'!AC448*'Model inputs'!AJ107/12</f>
        <v>291666.6666666666</v>
      </c>
      <c r="AD436" s="9">
        <f>'Model inputs'!AD448*'Model inputs'!AJ107/12</f>
        <v>291666.6666666666</v>
      </c>
      <c r="AE436" s="9">
        <f>'Model inputs'!AE448*'Model inputs'!AJ107/12</f>
        <v>291666.6666666666</v>
      </c>
      <c r="AF436" s="9">
        <f>'Model inputs'!AF448*'Model inputs'!AJ107/12</f>
        <v>291666.6666666666</v>
      </c>
      <c r="AG436" s="9">
        <f>'Model inputs'!AG448*'Model inputs'!AJ107/12</f>
        <v>291666.6666666666</v>
      </c>
      <c r="AH436" s="9">
        <f>'Model inputs'!AH448*'Model inputs'!AJ107/12</f>
        <v>291666.6666666666</v>
      </c>
      <c r="AI436" s="9">
        <f>'Model inputs'!AI448*'Model inputs'!AJ107/12</f>
        <v>416666.6666666666</v>
      </c>
    </row>
    <row r="437">
      <c r="A437" t="inlineStr" s="13">
        <is>
          <t xml:space="preserve">Haq Employer revenue · Haq Operating profit · Haq Future minimum profit · Conservative · Conservative · Conservative</t>
        </is>
      </c>
      <c r="B437" s="9">
        <f>'Model inputs'!B449*'Model inputs'!AJ163/12</f>
        <v>0</v>
      </c>
      <c r="C437" s="9">
        <f>'Model inputs'!C449*'Model inputs'!AJ163/12</f>
        <v>0</v>
      </c>
      <c r="D437" s="9">
        <f>'Model inputs'!D449*'Model inputs'!AJ163/12</f>
        <v>0</v>
      </c>
      <c r="E437" s="9">
        <f>'Model inputs'!E449*'Model inputs'!AJ163/12</f>
        <v>0</v>
      </c>
      <c r="F437" s="9">
        <f>'Model inputs'!F449*'Model inputs'!AJ163/12</f>
        <v>0</v>
      </c>
      <c r="G437" s="9">
        <f>'Model inputs'!G449*'Model inputs'!AJ163/12</f>
        <v>0</v>
      </c>
      <c r="H437" s="9">
        <f>'Model inputs'!H449*'Model inputs'!AJ163/12</f>
        <v>0</v>
      </c>
      <c r="I437" s="9">
        <f>'Model inputs'!I449*'Model inputs'!AJ163/12</f>
        <v>0</v>
      </c>
      <c r="J437" s="9">
        <f>'Model inputs'!J449*'Model inputs'!AJ163/12</f>
        <v>0</v>
      </c>
      <c r="K437" s="9">
        <f>'Model inputs'!K449*'Model inputs'!AJ163/12</f>
        <v>0</v>
      </c>
      <c r="L437" s="9">
        <f>'Model inputs'!L449*'Model inputs'!AJ163/12</f>
        <v>0</v>
      </c>
      <c r="M437" s="9">
        <f>'Model inputs'!M449*'Model inputs'!AJ163/12</f>
        <v>0</v>
      </c>
      <c r="N437" s="9">
        <f>'Model inputs'!N449*'Model inputs'!AJ163/12</f>
        <v>0</v>
      </c>
      <c r="O437" s="9">
        <f>'Model inputs'!O449*'Model inputs'!AJ163/12</f>
        <v>0</v>
      </c>
      <c r="P437" s="9">
        <f>'Model inputs'!P449*'Model inputs'!AJ163/12</f>
        <v>0</v>
      </c>
      <c r="Q437" s="9">
        <f>'Model inputs'!Q449*'Model inputs'!AJ163/12</f>
        <v>0</v>
      </c>
      <c r="R437" s="9">
        <f>'Model inputs'!R449*'Model inputs'!AJ163/12</f>
        <v>0</v>
      </c>
      <c r="S437" s="9">
        <f>'Model inputs'!S449*'Model inputs'!AJ163/12</f>
        <v>0</v>
      </c>
      <c r="T437" s="9">
        <f>'Model inputs'!T449*'Model inputs'!AJ163/12</f>
        <v>20833.333333333332</v>
      </c>
      <c r="U437" s="9">
        <f>'Model inputs'!U449*'Model inputs'!AJ163/12</f>
        <v>20833.333333333332</v>
      </c>
      <c r="V437" s="9">
        <f>'Model inputs'!V449*'Model inputs'!AJ163/12</f>
        <v>20833.333333333332</v>
      </c>
      <c r="W437" s="9">
        <f>'Model inputs'!W449*'Model inputs'!AJ163/12</f>
        <v>41666.666666666664</v>
      </c>
      <c r="X437" s="9">
        <f>'Model inputs'!X449*'Model inputs'!AJ163/12</f>
        <v>41666.666666666664</v>
      </c>
      <c r="Y437" s="9">
        <f>'Model inputs'!Y449*'Model inputs'!AJ163/12</f>
        <v>41666.666666666664</v>
      </c>
      <c r="Z437" s="9">
        <f>'Model inputs'!Z449*'Model inputs'!AJ163/12</f>
        <v>41666.666666666664</v>
      </c>
      <c r="AA437" s="9">
        <f>'Model inputs'!AA449*'Model inputs'!AJ163/12</f>
        <v>41666.666666666664</v>
      </c>
      <c r="AB437" s="9">
        <f>'Model inputs'!AB449*'Model inputs'!AJ163/12</f>
        <v>41666.666666666664</v>
      </c>
      <c r="AC437" s="9">
        <f>'Model inputs'!AC449*'Model inputs'!AJ163/12</f>
        <v>72916.66666666666</v>
      </c>
      <c r="AD437" s="9">
        <f>'Model inputs'!AD449*'Model inputs'!AJ163/12</f>
        <v>72916.66666666666</v>
      </c>
      <c r="AE437" s="9">
        <f>'Model inputs'!AE449*'Model inputs'!AJ163/12</f>
        <v>72916.66666666666</v>
      </c>
      <c r="AF437" s="9">
        <f>'Model inputs'!AF449*'Model inputs'!AJ163/12</f>
        <v>72916.66666666666</v>
      </c>
      <c r="AG437" s="9">
        <f>'Model inputs'!AG449*'Model inputs'!AJ163/12</f>
        <v>72916.66666666666</v>
      </c>
      <c r="AH437" s="9">
        <f>'Model inputs'!AH449*'Model inputs'!AJ163/12</f>
        <v>72916.66666666666</v>
      </c>
      <c r="AI437" s="9">
        <f>'Model inputs'!AI449*'Model inputs'!AJ163/12</f>
        <v>104166.66666666666</v>
      </c>
    </row>
    <row r="438">
      <c r="A438" t="inlineStr" s="13">
        <is>
          <t xml:space="preserve">Haq Field lead payroll · Haq Ending cash · Main Scenario · Main Scenario</t>
        </is>
      </c>
      <c r="B438" s="9">
        <f>IF(IF(IF(ISERROR('Model inputs'!B186&gt;='Model inputs'!AJ59),'Model inputs'!B186&gt;='Model inputs'!AJ59,IF(OR('Model inputs'!B186="",'Model inputs'!AJ59=""),"",'Model inputs'!B186&gt;='Model inputs'!AJ59))="",FALSE,IF(ISERROR('Model inputs'!B186&gt;='Model inputs'!AJ59),'Model inputs'!B186&gt;='Model inputs'!AJ59,IF(OR('Model inputs'!B186="",'Model inputs'!AJ59=""),"",'Model inputs'!B186&gt;='Model inputs'!AJ59))),'Model inputs'!AJ58*'Model inputs'!AJ57,0)</f>
        <v>0</v>
      </c>
      <c r="C438" s="9">
        <f>IF(IF(IF(ISERROR('Model inputs'!C186&gt;='Model inputs'!AJ59),'Model inputs'!C186&gt;='Model inputs'!AJ59,IF(OR('Model inputs'!C186="",'Model inputs'!AJ59=""),"",'Model inputs'!C186&gt;='Model inputs'!AJ59))="",FALSE,IF(ISERROR('Model inputs'!C186&gt;='Model inputs'!AJ59),'Model inputs'!C186&gt;='Model inputs'!AJ59,IF(OR('Model inputs'!C186="",'Model inputs'!AJ59=""),"",'Model inputs'!C186&gt;='Model inputs'!AJ59))),'Model inputs'!AJ58*'Model inputs'!AJ57,0)</f>
        <v>0</v>
      </c>
      <c r="D438" s="9">
        <f>IF(IF(IF(ISERROR('Model inputs'!D186&gt;='Model inputs'!AJ59),'Model inputs'!D186&gt;='Model inputs'!AJ59,IF(OR('Model inputs'!D186="",'Model inputs'!AJ59=""),"",'Model inputs'!D186&gt;='Model inputs'!AJ59))="",FALSE,IF(ISERROR('Model inputs'!D186&gt;='Model inputs'!AJ59),'Model inputs'!D186&gt;='Model inputs'!AJ59,IF(OR('Model inputs'!D186="",'Model inputs'!AJ59=""),"",'Model inputs'!D186&gt;='Model inputs'!AJ59))),'Model inputs'!AJ58*'Model inputs'!AJ57,0)</f>
        <v>0</v>
      </c>
      <c r="E438" s="9">
        <f>IF(IF(IF(ISERROR('Model inputs'!E186&gt;='Model inputs'!AJ59),'Model inputs'!E186&gt;='Model inputs'!AJ59,IF(OR('Model inputs'!E186="",'Model inputs'!AJ59=""),"",'Model inputs'!E186&gt;='Model inputs'!AJ59))="",FALSE,IF(ISERROR('Model inputs'!E186&gt;='Model inputs'!AJ59),'Model inputs'!E186&gt;='Model inputs'!AJ59,IF(OR('Model inputs'!E186="",'Model inputs'!AJ59=""),"",'Model inputs'!E186&gt;='Model inputs'!AJ59))),'Model inputs'!AJ58*'Model inputs'!AJ57,0)</f>
        <v>0</v>
      </c>
      <c r="F438" s="9">
        <f>IF(IF(IF(ISERROR('Model inputs'!F186&gt;='Model inputs'!AJ59),'Model inputs'!F186&gt;='Model inputs'!AJ59,IF(OR('Model inputs'!F186="",'Model inputs'!AJ59=""),"",'Model inputs'!F186&gt;='Model inputs'!AJ59))="",FALSE,IF(ISERROR('Model inputs'!F186&gt;='Model inputs'!AJ59),'Model inputs'!F186&gt;='Model inputs'!AJ59,IF(OR('Model inputs'!F186="",'Model inputs'!AJ59=""),"",'Model inputs'!F186&gt;='Model inputs'!AJ59))),'Model inputs'!AJ58*'Model inputs'!AJ57,0)</f>
        <v>0</v>
      </c>
      <c r="G438" s="9">
        <f>IF(IF(IF(ISERROR('Model inputs'!G186&gt;='Model inputs'!AJ59),'Model inputs'!G186&gt;='Model inputs'!AJ59,IF(OR('Model inputs'!G186="",'Model inputs'!AJ59=""),"",'Model inputs'!G186&gt;='Model inputs'!AJ59))="",FALSE,IF(ISERROR('Model inputs'!G186&gt;='Model inputs'!AJ59),'Model inputs'!G186&gt;='Model inputs'!AJ59,IF(OR('Model inputs'!G186="",'Model inputs'!AJ59=""),"",'Model inputs'!G186&gt;='Model inputs'!AJ59))),'Model inputs'!AJ58*'Model inputs'!AJ57,0)</f>
        <v>0</v>
      </c>
      <c r="H438" s="9">
        <f>IF(IF(IF(ISERROR('Model inputs'!H186&gt;='Model inputs'!AJ59),'Model inputs'!H186&gt;='Model inputs'!AJ59,IF(OR('Model inputs'!H186="",'Model inputs'!AJ59=""),"",'Model inputs'!H186&gt;='Model inputs'!AJ59))="",FALSE,IF(ISERROR('Model inputs'!H186&gt;='Model inputs'!AJ59),'Model inputs'!H186&gt;='Model inputs'!AJ59,IF(OR('Model inputs'!H186="",'Model inputs'!AJ59=""),"",'Model inputs'!H186&gt;='Model inputs'!AJ59))),'Model inputs'!AJ58*'Model inputs'!AJ57,0)</f>
        <v>0</v>
      </c>
      <c r="I438" s="9">
        <f>IF(IF(IF(ISERROR('Model inputs'!I186&gt;='Model inputs'!AJ59),'Model inputs'!I186&gt;='Model inputs'!AJ59,IF(OR('Model inputs'!I186="",'Model inputs'!AJ59=""),"",'Model inputs'!I186&gt;='Model inputs'!AJ59))="",FALSE,IF(ISERROR('Model inputs'!I186&gt;='Model inputs'!AJ59),'Model inputs'!I186&gt;='Model inputs'!AJ59,IF(OR('Model inputs'!I186="",'Model inputs'!AJ59=""),"",'Model inputs'!I186&gt;='Model inputs'!AJ59))),'Model inputs'!AJ58*'Model inputs'!AJ57,0)</f>
        <v>0</v>
      </c>
      <c r="J438" s="9">
        <f>IF(IF(IF(ISERROR('Model inputs'!J186&gt;='Model inputs'!AJ59),'Model inputs'!J186&gt;='Model inputs'!AJ59,IF(OR('Model inputs'!J186="",'Model inputs'!AJ59=""),"",'Model inputs'!J186&gt;='Model inputs'!AJ59))="",FALSE,IF(ISERROR('Model inputs'!J186&gt;='Model inputs'!AJ59),'Model inputs'!J186&gt;='Model inputs'!AJ59,IF(OR('Model inputs'!J186="",'Model inputs'!AJ59=""),"",'Model inputs'!J186&gt;='Model inputs'!AJ59))),'Model inputs'!AJ58*'Model inputs'!AJ57,0)</f>
        <v>0</v>
      </c>
      <c r="K438" s="9">
        <f>IF(IF(IF(ISERROR('Model inputs'!K186&gt;='Model inputs'!AJ59),'Model inputs'!K186&gt;='Model inputs'!AJ59,IF(OR('Model inputs'!K186="",'Model inputs'!AJ59=""),"",'Model inputs'!K186&gt;='Model inputs'!AJ59))="",FALSE,IF(ISERROR('Model inputs'!K186&gt;='Model inputs'!AJ59),'Model inputs'!K186&gt;='Model inputs'!AJ59,IF(OR('Model inputs'!K186="",'Model inputs'!AJ59=""),"",'Model inputs'!K186&gt;='Model inputs'!AJ59))),'Model inputs'!AJ58*'Model inputs'!AJ57,0)</f>
        <v>0</v>
      </c>
      <c r="L438" s="9">
        <f>IF(IF(IF(ISERROR('Model inputs'!L186&gt;='Model inputs'!AJ59),'Model inputs'!L186&gt;='Model inputs'!AJ59,IF(OR('Model inputs'!L186="",'Model inputs'!AJ59=""),"",'Model inputs'!L186&gt;='Model inputs'!AJ59))="",FALSE,IF(ISERROR('Model inputs'!L186&gt;='Model inputs'!AJ59),'Model inputs'!L186&gt;='Model inputs'!AJ59,IF(OR('Model inputs'!L186="",'Model inputs'!AJ59=""),"",'Model inputs'!L186&gt;='Model inputs'!AJ59))),'Model inputs'!AJ58*'Model inputs'!AJ57,0)</f>
        <v>0</v>
      </c>
      <c r="M438" s="9">
        <f>IF(IF(IF(ISERROR('Model inputs'!M186&gt;='Model inputs'!AJ59),'Model inputs'!M186&gt;='Model inputs'!AJ59,IF(OR('Model inputs'!M186="",'Model inputs'!AJ59=""),"",'Model inputs'!M186&gt;='Model inputs'!AJ59))="",FALSE,IF(ISERROR('Model inputs'!M186&gt;='Model inputs'!AJ59),'Model inputs'!M186&gt;='Model inputs'!AJ59,IF(OR('Model inputs'!M186="",'Model inputs'!AJ59=""),"",'Model inputs'!M186&gt;='Model inputs'!AJ59))),'Model inputs'!AJ58*'Model inputs'!AJ57,0)</f>
        <v>0</v>
      </c>
      <c r="N438" s="9">
        <f>IF(IF(IF(ISERROR('Model inputs'!N186&gt;='Model inputs'!AJ59),'Model inputs'!N186&gt;='Model inputs'!AJ59,IF(OR('Model inputs'!N186="",'Model inputs'!AJ59=""),"",'Model inputs'!N186&gt;='Model inputs'!AJ59))="",FALSE,IF(ISERROR('Model inputs'!N186&gt;='Model inputs'!AJ59),'Model inputs'!N186&gt;='Model inputs'!AJ59,IF(OR('Model inputs'!N186="",'Model inputs'!AJ59=""),"",'Model inputs'!N186&gt;='Model inputs'!AJ59))),'Model inputs'!AJ58*'Model inputs'!AJ57,0)</f>
        <v>0</v>
      </c>
      <c r="O438" s="9">
        <f>IF(IF(IF(ISERROR('Model inputs'!O186&gt;='Model inputs'!AJ59),'Model inputs'!O186&gt;='Model inputs'!AJ59,IF(OR('Model inputs'!O186="",'Model inputs'!AJ59=""),"",'Model inputs'!O186&gt;='Model inputs'!AJ59))="",FALSE,IF(ISERROR('Model inputs'!O186&gt;='Model inputs'!AJ59),'Model inputs'!O186&gt;='Model inputs'!AJ59,IF(OR('Model inputs'!O186="",'Model inputs'!AJ59=""),"",'Model inputs'!O186&gt;='Model inputs'!AJ59))),'Model inputs'!AJ58*'Model inputs'!AJ57,0)</f>
        <v>0</v>
      </c>
      <c r="P438" s="9">
        <f>IF(IF(IF(ISERROR('Model inputs'!P186&gt;='Model inputs'!AJ59),'Model inputs'!P186&gt;='Model inputs'!AJ59,IF(OR('Model inputs'!P186="",'Model inputs'!AJ59=""),"",'Model inputs'!P186&gt;='Model inputs'!AJ59))="",FALSE,IF(ISERROR('Model inputs'!P186&gt;='Model inputs'!AJ59),'Model inputs'!P186&gt;='Model inputs'!AJ59,IF(OR('Model inputs'!P186="",'Model inputs'!AJ59=""),"",'Model inputs'!P186&gt;='Model inputs'!AJ59))),'Model inputs'!AJ58*'Model inputs'!AJ57,0)</f>
        <v>0</v>
      </c>
      <c r="Q438" s="9">
        <f>IF(IF(IF(ISERROR('Model inputs'!Q186&gt;='Model inputs'!AJ59),'Model inputs'!Q186&gt;='Model inputs'!AJ59,IF(OR('Model inputs'!Q186="",'Model inputs'!AJ59=""),"",'Model inputs'!Q186&gt;='Model inputs'!AJ59))="",FALSE,IF(ISERROR('Model inputs'!Q186&gt;='Model inputs'!AJ59),'Model inputs'!Q186&gt;='Model inputs'!AJ59,IF(OR('Model inputs'!Q186="",'Model inputs'!AJ59=""),"",'Model inputs'!Q186&gt;='Model inputs'!AJ59))),'Model inputs'!AJ58*'Model inputs'!AJ57,0)</f>
        <v>60000</v>
      </c>
      <c r="R438" s="9">
        <f>IF(IF(IF(ISERROR('Model inputs'!R186&gt;='Model inputs'!AJ59),'Model inputs'!R186&gt;='Model inputs'!AJ59,IF(OR('Model inputs'!R186="",'Model inputs'!AJ59=""),"",'Model inputs'!R186&gt;='Model inputs'!AJ59))="",FALSE,IF(ISERROR('Model inputs'!R186&gt;='Model inputs'!AJ59),'Model inputs'!R186&gt;='Model inputs'!AJ59,IF(OR('Model inputs'!R186="",'Model inputs'!AJ59=""),"",'Model inputs'!R186&gt;='Model inputs'!AJ59))),'Model inputs'!AJ58*'Model inputs'!AJ57,0)</f>
        <v>60000</v>
      </c>
      <c r="S438" s="9">
        <f>IF(IF(IF(ISERROR('Model inputs'!S186&gt;='Model inputs'!AJ59),'Model inputs'!S186&gt;='Model inputs'!AJ59,IF(OR('Model inputs'!S186="",'Model inputs'!AJ59=""),"",'Model inputs'!S186&gt;='Model inputs'!AJ59))="",FALSE,IF(ISERROR('Model inputs'!S186&gt;='Model inputs'!AJ59),'Model inputs'!S186&gt;='Model inputs'!AJ59,IF(OR('Model inputs'!S186="",'Model inputs'!AJ59=""),"",'Model inputs'!S186&gt;='Model inputs'!AJ59))),'Model inputs'!AJ58*'Model inputs'!AJ57,0)</f>
        <v>60000</v>
      </c>
      <c r="T438" s="9">
        <f>IF(IF(IF(ISERROR('Model inputs'!T186&gt;='Model inputs'!AJ59),'Model inputs'!T186&gt;='Model inputs'!AJ59,IF(OR('Model inputs'!T186="",'Model inputs'!AJ59=""),"",'Model inputs'!T186&gt;='Model inputs'!AJ59))="",FALSE,IF(ISERROR('Model inputs'!T186&gt;='Model inputs'!AJ59),'Model inputs'!T186&gt;='Model inputs'!AJ59,IF(OR('Model inputs'!T186="",'Model inputs'!AJ59=""),"",'Model inputs'!T186&gt;='Model inputs'!AJ59))),'Model inputs'!AJ58*'Model inputs'!AJ57,0)</f>
        <v>60000</v>
      </c>
      <c r="U438" s="9">
        <f>IF(IF(IF(ISERROR('Model inputs'!U186&gt;='Model inputs'!AJ59),'Model inputs'!U186&gt;='Model inputs'!AJ59,IF(OR('Model inputs'!U186="",'Model inputs'!AJ59=""),"",'Model inputs'!U186&gt;='Model inputs'!AJ59))="",FALSE,IF(ISERROR('Model inputs'!U186&gt;='Model inputs'!AJ59),'Model inputs'!U186&gt;='Model inputs'!AJ59,IF(OR('Model inputs'!U186="",'Model inputs'!AJ59=""),"",'Model inputs'!U186&gt;='Model inputs'!AJ59))),'Model inputs'!AJ58*'Model inputs'!AJ57,0)</f>
        <v>60000</v>
      </c>
      <c r="V438" s="9">
        <f>IF(IF(IF(ISERROR('Model inputs'!V186&gt;='Model inputs'!AJ59),'Model inputs'!V186&gt;='Model inputs'!AJ59,IF(OR('Model inputs'!V186="",'Model inputs'!AJ59=""),"",'Model inputs'!V186&gt;='Model inputs'!AJ59))="",FALSE,IF(ISERROR('Model inputs'!V186&gt;='Model inputs'!AJ59),'Model inputs'!V186&gt;='Model inputs'!AJ59,IF(OR('Model inputs'!V186="",'Model inputs'!AJ59=""),"",'Model inputs'!V186&gt;='Model inputs'!AJ59))),'Model inputs'!AJ58*'Model inputs'!AJ57,0)</f>
        <v>60000</v>
      </c>
      <c r="W438" s="9">
        <f>IF(IF(IF(ISERROR('Model inputs'!W186&gt;='Model inputs'!AJ59),'Model inputs'!W186&gt;='Model inputs'!AJ59,IF(OR('Model inputs'!W186="",'Model inputs'!AJ59=""),"",'Model inputs'!W186&gt;='Model inputs'!AJ59))="",FALSE,IF(ISERROR('Model inputs'!W186&gt;='Model inputs'!AJ59),'Model inputs'!W186&gt;='Model inputs'!AJ59,IF(OR('Model inputs'!W186="",'Model inputs'!AJ59=""),"",'Model inputs'!W186&gt;='Model inputs'!AJ59))),'Model inputs'!AJ58*'Model inputs'!AJ57,0)</f>
        <v>60000</v>
      </c>
      <c r="X438" s="9">
        <f>IF(IF(IF(ISERROR('Model inputs'!X186&gt;='Model inputs'!AJ59),'Model inputs'!X186&gt;='Model inputs'!AJ59,IF(OR('Model inputs'!X186="",'Model inputs'!AJ59=""),"",'Model inputs'!X186&gt;='Model inputs'!AJ59))="",FALSE,IF(ISERROR('Model inputs'!X186&gt;='Model inputs'!AJ59),'Model inputs'!X186&gt;='Model inputs'!AJ59,IF(OR('Model inputs'!X186="",'Model inputs'!AJ59=""),"",'Model inputs'!X186&gt;='Model inputs'!AJ59))),'Model inputs'!AJ58*'Model inputs'!AJ57,0)</f>
        <v>60000</v>
      </c>
      <c r="Y438" s="9">
        <f>IF(IF(IF(ISERROR('Model inputs'!Y186&gt;='Model inputs'!AJ59),'Model inputs'!Y186&gt;='Model inputs'!AJ59,IF(OR('Model inputs'!Y186="",'Model inputs'!AJ59=""),"",'Model inputs'!Y186&gt;='Model inputs'!AJ59))="",FALSE,IF(ISERROR('Model inputs'!Y186&gt;='Model inputs'!AJ59),'Model inputs'!Y186&gt;='Model inputs'!AJ59,IF(OR('Model inputs'!Y186="",'Model inputs'!AJ59=""),"",'Model inputs'!Y186&gt;='Model inputs'!AJ59))),'Model inputs'!AJ58*'Model inputs'!AJ57,0)</f>
        <v>60000</v>
      </c>
      <c r="Z438" s="9">
        <f>IF(IF(IF(ISERROR('Model inputs'!Z186&gt;='Model inputs'!AJ59),'Model inputs'!Z186&gt;='Model inputs'!AJ59,IF(OR('Model inputs'!Z186="",'Model inputs'!AJ59=""),"",'Model inputs'!Z186&gt;='Model inputs'!AJ59))="",FALSE,IF(ISERROR('Model inputs'!Z186&gt;='Model inputs'!AJ59),'Model inputs'!Z186&gt;='Model inputs'!AJ59,IF(OR('Model inputs'!Z186="",'Model inputs'!AJ59=""),"",'Model inputs'!Z186&gt;='Model inputs'!AJ59))),'Model inputs'!AJ58*'Model inputs'!AJ57,0)</f>
        <v>60000</v>
      </c>
      <c r="AA438" s="9">
        <f>IF(IF(IF(ISERROR('Model inputs'!AA186&gt;='Model inputs'!AJ59),'Model inputs'!AA186&gt;='Model inputs'!AJ59,IF(OR('Model inputs'!AA186="",'Model inputs'!AJ59=""),"",'Model inputs'!AA186&gt;='Model inputs'!AJ59))="",FALSE,IF(ISERROR('Model inputs'!AA186&gt;='Model inputs'!AJ59),'Model inputs'!AA186&gt;='Model inputs'!AJ59,IF(OR('Model inputs'!AA186="",'Model inputs'!AJ59=""),"",'Model inputs'!AA186&gt;='Model inputs'!AJ59))),'Model inputs'!AJ58*'Model inputs'!AJ57,0)</f>
        <v>60000</v>
      </c>
      <c r="AB438" s="9">
        <f>IF(IF(IF(ISERROR('Model inputs'!AB186&gt;='Model inputs'!AJ59),'Model inputs'!AB186&gt;='Model inputs'!AJ59,IF(OR('Model inputs'!AB186="",'Model inputs'!AJ59=""),"",'Model inputs'!AB186&gt;='Model inputs'!AJ59))="",FALSE,IF(ISERROR('Model inputs'!AB186&gt;='Model inputs'!AJ59),'Model inputs'!AB186&gt;='Model inputs'!AJ59,IF(OR('Model inputs'!AB186="",'Model inputs'!AJ59=""),"",'Model inputs'!AB186&gt;='Model inputs'!AJ59))),'Model inputs'!AJ58*'Model inputs'!AJ57,0)</f>
        <v>60000</v>
      </c>
      <c r="AC438" s="9">
        <f>IF(IF(IF(ISERROR('Model inputs'!AC186&gt;='Model inputs'!AJ59),'Model inputs'!AC186&gt;='Model inputs'!AJ59,IF(OR('Model inputs'!AC186="",'Model inputs'!AJ59=""),"",'Model inputs'!AC186&gt;='Model inputs'!AJ59))="",FALSE,IF(ISERROR('Model inputs'!AC186&gt;='Model inputs'!AJ59),'Model inputs'!AC186&gt;='Model inputs'!AJ59,IF(OR('Model inputs'!AC186="",'Model inputs'!AJ59=""),"",'Model inputs'!AC186&gt;='Model inputs'!AJ59))),'Model inputs'!AJ58*'Model inputs'!AJ57,0)</f>
        <v>60000</v>
      </c>
      <c r="AD438" s="9">
        <f>IF(IF(IF(ISERROR('Model inputs'!AD186&gt;='Model inputs'!AJ59),'Model inputs'!AD186&gt;='Model inputs'!AJ59,IF(OR('Model inputs'!AD186="",'Model inputs'!AJ59=""),"",'Model inputs'!AD186&gt;='Model inputs'!AJ59))="",FALSE,IF(ISERROR('Model inputs'!AD186&gt;='Model inputs'!AJ59),'Model inputs'!AD186&gt;='Model inputs'!AJ59,IF(OR('Model inputs'!AD186="",'Model inputs'!AJ59=""),"",'Model inputs'!AD186&gt;='Model inputs'!AJ59))),'Model inputs'!AJ58*'Model inputs'!AJ57,0)</f>
        <v>60000</v>
      </c>
      <c r="AE438" s="9">
        <f>IF(IF(IF(ISERROR('Model inputs'!AE186&gt;='Model inputs'!AJ59),'Model inputs'!AE186&gt;='Model inputs'!AJ59,IF(OR('Model inputs'!AE186="",'Model inputs'!AJ59=""),"",'Model inputs'!AE186&gt;='Model inputs'!AJ59))="",FALSE,IF(ISERROR('Model inputs'!AE186&gt;='Model inputs'!AJ59),'Model inputs'!AE186&gt;='Model inputs'!AJ59,IF(OR('Model inputs'!AE186="",'Model inputs'!AJ59=""),"",'Model inputs'!AE186&gt;='Model inputs'!AJ59))),'Model inputs'!AJ58*'Model inputs'!AJ57,0)</f>
        <v>60000</v>
      </c>
      <c r="AF438" s="9">
        <f>IF(IF(IF(ISERROR('Model inputs'!AF186&gt;='Model inputs'!AJ59),'Model inputs'!AF186&gt;='Model inputs'!AJ59,IF(OR('Model inputs'!AF186="",'Model inputs'!AJ59=""),"",'Model inputs'!AF186&gt;='Model inputs'!AJ59))="",FALSE,IF(ISERROR('Model inputs'!AF186&gt;='Model inputs'!AJ59),'Model inputs'!AF186&gt;='Model inputs'!AJ59,IF(OR('Model inputs'!AF186="",'Model inputs'!AJ59=""),"",'Model inputs'!AF186&gt;='Model inputs'!AJ59))),'Model inputs'!AJ58*'Model inputs'!AJ57,0)</f>
        <v>60000</v>
      </c>
      <c r="AG438" s="9">
        <f>IF(IF(IF(ISERROR('Model inputs'!AG186&gt;='Model inputs'!AJ59),'Model inputs'!AG186&gt;='Model inputs'!AJ59,IF(OR('Model inputs'!AG186="",'Model inputs'!AJ59=""),"",'Model inputs'!AG186&gt;='Model inputs'!AJ59))="",FALSE,IF(ISERROR('Model inputs'!AG186&gt;='Model inputs'!AJ59),'Model inputs'!AG186&gt;='Model inputs'!AJ59,IF(OR('Model inputs'!AG186="",'Model inputs'!AJ59=""),"",'Model inputs'!AG186&gt;='Model inputs'!AJ59))),'Model inputs'!AJ58*'Model inputs'!AJ57,0)</f>
        <v>60000</v>
      </c>
      <c r="AH438" s="9">
        <f>IF(IF(IF(ISERROR('Model inputs'!AH186&gt;='Model inputs'!AJ59),'Model inputs'!AH186&gt;='Model inputs'!AJ59,IF(OR('Model inputs'!AH186="",'Model inputs'!AJ59=""),"",'Model inputs'!AH186&gt;='Model inputs'!AJ59))="",FALSE,IF(ISERROR('Model inputs'!AH186&gt;='Model inputs'!AJ59),'Model inputs'!AH186&gt;='Model inputs'!AJ59,IF(OR('Model inputs'!AH186="",'Model inputs'!AJ59=""),"",'Model inputs'!AH186&gt;='Model inputs'!AJ59))),'Model inputs'!AJ58*'Model inputs'!AJ57,0)</f>
        <v>60000</v>
      </c>
      <c r="AI438" s="9">
        <f>IF(IF(IF(ISERROR('Model inputs'!AI186&gt;='Model inputs'!AJ59),'Model inputs'!AI186&gt;='Model inputs'!AJ59,IF(OR('Model inputs'!AI186="",'Model inputs'!AJ59=""),"",'Model inputs'!AI186&gt;='Model inputs'!AJ59))="",FALSE,IF(ISERROR('Model inputs'!AI186&gt;='Model inputs'!AJ59),'Model inputs'!AI186&gt;='Model inputs'!AJ59,IF(OR('Model inputs'!AI186="",'Model inputs'!AJ59=""),"",'Model inputs'!AI186&gt;='Model inputs'!AJ59))),'Model inputs'!AJ58*'Model inputs'!AJ57,0)</f>
        <v>60000</v>
      </c>
    </row>
    <row r="439">
      <c r="A439" t="inlineStr" s="13">
        <is>
          <t xml:space="preserve">Haq Field lead payroll · Haq Ending cash · Growth · Growth</t>
        </is>
      </c>
      <c r="B439" s="9">
        <f>IF(IF(IF(ISERROR('Model inputs'!B187&gt;='Model inputs'!AJ115),'Model inputs'!B187&gt;='Model inputs'!AJ115,IF(OR('Model inputs'!B187="",'Model inputs'!AJ115=""),"",'Model inputs'!B187&gt;='Model inputs'!AJ115))="",FALSE,IF(ISERROR('Model inputs'!B187&gt;='Model inputs'!AJ115),'Model inputs'!B187&gt;='Model inputs'!AJ115,IF(OR('Model inputs'!B187="",'Model inputs'!AJ115=""),"",'Model inputs'!B187&gt;='Model inputs'!AJ115))),'Model inputs'!AJ114*'Model inputs'!AJ113,0)</f>
        <v>0</v>
      </c>
      <c r="C439" s="9">
        <f>IF(IF(IF(ISERROR('Model inputs'!C187&gt;='Model inputs'!AJ115),'Model inputs'!C187&gt;='Model inputs'!AJ115,IF(OR('Model inputs'!C187="",'Model inputs'!AJ115=""),"",'Model inputs'!C187&gt;='Model inputs'!AJ115))="",FALSE,IF(ISERROR('Model inputs'!C187&gt;='Model inputs'!AJ115),'Model inputs'!C187&gt;='Model inputs'!AJ115,IF(OR('Model inputs'!C187="",'Model inputs'!AJ115=""),"",'Model inputs'!C187&gt;='Model inputs'!AJ115))),'Model inputs'!AJ114*'Model inputs'!AJ113,0)</f>
        <v>0</v>
      </c>
      <c r="D439" s="9">
        <f>IF(IF(IF(ISERROR('Model inputs'!D187&gt;='Model inputs'!AJ115),'Model inputs'!D187&gt;='Model inputs'!AJ115,IF(OR('Model inputs'!D187="",'Model inputs'!AJ115=""),"",'Model inputs'!D187&gt;='Model inputs'!AJ115))="",FALSE,IF(ISERROR('Model inputs'!D187&gt;='Model inputs'!AJ115),'Model inputs'!D187&gt;='Model inputs'!AJ115,IF(OR('Model inputs'!D187="",'Model inputs'!AJ115=""),"",'Model inputs'!D187&gt;='Model inputs'!AJ115))),'Model inputs'!AJ114*'Model inputs'!AJ113,0)</f>
        <v>0</v>
      </c>
      <c r="E439" s="9">
        <f>IF(IF(IF(ISERROR('Model inputs'!E187&gt;='Model inputs'!AJ115),'Model inputs'!E187&gt;='Model inputs'!AJ115,IF(OR('Model inputs'!E187="",'Model inputs'!AJ115=""),"",'Model inputs'!E187&gt;='Model inputs'!AJ115))="",FALSE,IF(ISERROR('Model inputs'!E187&gt;='Model inputs'!AJ115),'Model inputs'!E187&gt;='Model inputs'!AJ115,IF(OR('Model inputs'!E187="",'Model inputs'!AJ115=""),"",'Model inputs'!E187&gt;='Model inputs'!AJ115))),'Model inputs'!AJ114*'Model inputs'!AJ113,0)</f>
        <v>0</v>
      </c>
      <c r="F439" s="9">
        <f>IF(IF(IF(ISERROR('Model inputs'!F187&gt;='Model inputs'!AJ115),'Model inputs'!F187&gt;='Model inputs'!AJ115,IF(OR('Model inputs'!F187="",'Model inputs'!AJ115=""),"",'Model inputs'!F187&gt;='Model inputs'!AJ115))="",FALSE,IF(ISERROR('Model inputs'!F187&gt;='Model inputs'!AJ115),'Model inputs'!F187&gt;='Model inputs'!AJ115,IF(OR('Model inputs'!F187="",'Model inputs'!AJ115=""),"",'Model inputs'!F187&gt;='Model inputs'!AJ115))),'Model inputs'!AJ114*'Model inputs'!AJ113,0)</f>
        <v>0</v>
      </c>
      <c r="G439" s="9">
        <f>IF(IF(IF(ISERROR('Model inputs'!G187&gt;='Model inputs'!AJ115),'Model inputs'!G187&gt;='Model inputs'!AJ115,IF(OR('Model inputs'!G187="",'Model inputs'!AJ115=""),"",'Model inputs'!G187&gt;='Model inputs'!AJ115))="",FALSE,IF(ISERROR('Model inputs'!G187&gt;='Model inputs'!AJ115),'Model inputs'!G187&gt;='Model inputs'!AJ115,IF(OR('Model inputs'!G187="",'Model inputs'!AJ115=""),"",'Model inputs'!G187&gt;='Model inputs'!AJ115))),'Model inputs'!AJ114*'Model inputs'!AJ113,0)</f>
        <v>0</v>
      </c>
      <c r="H439" s="9">
        <f>IF(IF(IF(ISERROR('Model inputs'!H187&gt;='Model inputs'!AJ115),'Model inputs'!H187&gt;='Model inputs'!AJ115,IF(OR('Model inputs'!H187="",'Model inputs'!AJ115=""),"",'Model inputs'!H187&gt;='Model inputs'!AJ115))="",FALSE,IF(ISERROR('Model inputs'!H187&gt;='Model inputs'!AJ115),'Model inputs'!H187&gt;='Model inputs'!AJ115,IF(OR('Model inputs'!H187="",'Model inputs'!AJ115=""),"",'Model inputs'!H187&gt;='Model inputs'!AJ115))),'Model inputs'!AJ114*'Model inputs'!AJ113,0)</f>
        <v>0</v>
      </c>
      <c r="I439" s="9">
        <f>IF(IF(IF(ISERROR('Model inputs'!I187&gt;='Model inputs'!AJ115),'Model inputs'!I187&gt;='Model inputs'!AJ115,IF(OR('Model inputs'!I187="",'Model inputs'!AJ115=""),"",'Model inputs'!I187&gt;='Model inputs'!AJ115))="",FALSE,IF(ISERROR('Model inputs'!I187&gt;='Model inputs'!AJ115),'Model inputs'!I187&gt;='Model inputs'!AJ115,IF(OR('Model inputs'!I187="",'Model inputs'!AJ115=""),"",'Model inputs'!I187&gt;='Model inputs'!AJ115))),'Model inputs'!AJ114*'Model inputs'!AJ113,0)</f>
        <v>0</v>
      </c>
      <c r="J439" s="9">
        <f>IF(IF(IF(ISERROR('Model inputs'!J187&gt;='Model inputs'!AJ115),'Model inputs'!J187&gt;='Model inputs'!AJ115,IF(OR('Model inputs'!J187="",'Model inputs'!AJ115=""),"",'Model inputs'!J187&gt;='Model inputs'!AJ115))="",FALSE,IF(ISERROR('Model inputs'!J187&gt;='Model inputs'!AJ115),'Model inputs'!J187&gt;='Model inputs'!AJ115,IF(OR('Model inputs'!J187="",'Model inputs'!AJ115=""),"",'Model inputs'!J187&gt;='Model inputs'!AJ115))),'Model inputs'!AJ114*'Model inputs'!AJ113,0)</f>
        <v>0</v>
      </c>
      <c r="K439" s="9">
        <f>IF(IF(IF(ISERROR('Model inputs'!K187&gt;='Model inputs'!AJ115),'Model inputs'!K187&gt;='Model inputs'!AJ115,IF(OR('Model inputs'!K187="",'Model inputs'!AJ115=""),"",'Model inputs'!K187&gt;='Model inputs'!AJ115))="",FALSE,IF(ISERROR('Model inputs'!K187&gt;='Model inputs'!AJ115),'Model inputs'!K187&gt;='Model inputs'!AJ115,IF(OR('Model inputs'!K187="",'Model inputs'!AJ115=""),"",'Model inputs'!K187&gt;='Model inputs'!AJ115))),'Model inputs'!AJ114*'Model inputs'!AJ113,0)</f>
        <v>0</v>
      </c>
      <c r="L439" s="9">
        <f>IF(IF(IF(ISERROR('Model inputs'!L187&gt;='Model inputs'!AJ115),'Model inputs'!L187&gt;='Model inputs'!AJ115,IF(OR('Model inputs'!L187="",'Model inputs'!AJ115=""),"",'Model inputs'!L187&gt;='Model inputs'!AJ115))="",FALSE,IF(ISERROR('Model inputs'!L187&gt;='Model inputs'!AJ115),'Model inputs'!L187&gt;='Model inputs'!AJ115,IF(OR('Model inputs'!L187="",'Model inputs'!AJ115=""),"",'Model inputs'!L187&gt;='Model inputs'!AJ115))),'Model inputs'!AJ114*'Model inputs'!AJ113,0)</f>
        <v>0</v>
      </c>
      <c r="M439" s="9">
        <f>IF(IF(IF(ISERROR('Model inputs'!M187&gt;='Model inputs'!AJ115),'Model inputs'!M187&gt;='Model inputs'!AJ115,IF(OR('Model inputs'!M187="",'Model inputs'!AJ115=""),"",'Model inputs'!M187&gt;='Model inputs'!AJ115))="",FALSE,IF(ISERROR('Model inputs'!M187&gt;='Model inputs'!AJ115),'Model inputs'!M187&gt;='Model inputs'!AJ115,IF(OR('Model inputs'!M187="",'Model inputs'!AJ115=""),"",'Model inputs'!M187&gt;='Model inputs'!AJ115))),'Model inputs'!AJ114*'Model inputs'!AJ113,0)</f>
        <v>0</v>
      </c>
      <c r="N439" s="9">
        <f>IF(IF(IF(ISERROR('Model inputs'!N187&gt;='Model inputs'!AJ115),'Model inputs'!N187&gt;='Model inputs'!AJ115,IF(OR('Model inputs'!N187="",'Model inputs'!AJ115=""),"",'Model inputs'!N187&gt;='Model inputs'!AJ115))="",FALSE,IF(ISERROR('Model inputs'!N187&gt;='Model inputs'!AJ115),'Model inputs'!N187&gt;='Model inputs'!AJ115,IF(OR('Model inputs'!N187="",'Model inputs'!AJ115=""),"",'Model inputs'!N187&gt;='Model inputs'!AJ115))),'Model inputs'!AJ114*'Model inputs'!AJ113,0)</f>
        <v>0</v>
      </c>
      <c r="O439" s="9">
        <f>IF(IF(IF(ISERROR('Model inputs'!O187&gt;='Model inputs'!AJ115),'Model inputs'!O187&gt;='Model inputs'!AJ115,IF(OR('Model inputs'!O187="",'Model inputs'!AJ115=""),"",'Model inputs'!O187&gt;='Model inputs'!AJ115))="",FALSE,IF(ISERROR('Model inputs'!O187&gt;='Model inputs'!AJ115),'Model inputs'!O187&gt;='Model inputs'!AJ115,IF(OR('Model inputs'!O187="",'Model inputs'!AJ115=""),"",'Model inputs'!O187&gt;='Model inputs'!AJ115))),'Model inputs'!AJ114*'Model inputs'!AJ113,0)</f>
        <v>0</v>
      </c>
      <c r="P439" s="9">
        <f>IF(IF(IF(ISERROR('Model inputs'!P187&gt;='Model inputs'!AJ115),'Model inputs'!P187&gt;='Model inputs'!AJ115,IF(OR('Model inputs'!P187="",'Model inputs'!AJ115=""),"",'Model inputs'!P187&gt;='Model inputs'!AJ115))="",FALSE,IF(ISERROR('Model inputs'!P187&gt;='Model inputs'!AJ115),'Model inputs'!P187&gt;='Model inputs'!AJ115,IF(OR('Model inputs'!P187="",'Model inputs'!AJ115=""),"",'Model inputs'!P187&gt;='Model inputs'!AJ115))),'Model inputs'!AJ114*'Model inputs'!AJ113,0)</f>
        <v>0</v>
      </c>
      <c r="Q439" s="9">
        <f>IF(IF(IF(ISERROR('Model inputs'!Q187&gt;='Model inputs'!AJ115),'Model inputs'!Q187&gt;='Model inputs'!AJ115,IF(OR('Model inputs'!Q187="",'Model inputs'!AJ115=""),"",'Model inputs'!Q187&gt;='Model inputs'!AJ115))="",FALSE,IF(ISERROR('Model inputs'!Q187&gt;='Model inputs'!AJ115),'Model inputs'!Q187&gt;='Model inputs'!AJ115,IF(OR('Model inputs'!Q187="",'Model inputs'!AJ115=""),"",'Model inputs'!Q187&gt;='Model inputs'!AJ115))),'Model inputs'!AJ114*'Model inputs'!AJ113,0)</f>
        <v>60000</v>
      </c>
      <c r="R439" s="9">
        <f>IF(IF(IF(ISERROR('Model inputs'!R187&gt;='Model inputs'!AJ115),'Model inputs'!R187&gt;='Model inputs'!AJ115,IF(OR('Model inputs'!R187="",'Model inputs'!AJ115=""),"",'Model inputs'!R187&gt;='Model inputs'!AJ115))="",FALSE,IF(ISERROR('Model inputs'!R187&gt;='Model inputs'!AJ115),'Model inputs'!R187&gt;='Model inputs'!AJ115,IF(OR('Model inputs'!R187="",'Model inputs'!AJ115=""),"",'Model inputs'!R187&gt;='Model inputs'!AJ115))),'Model inputs'!AJ114*'Model inputs'!AJ113,0)</f>
        <v>60000</v>
      </c>
      <c r="S439" s="9">
        <f>IF(IF(IF(ISERROR('Model inputs'!S187&gt;='Model inputs'!AJ115),'Model inputs'!S187&gt;='Model inputs'!AJ115,IF(OR('Model inputs'!S187="",'Model inputs'!AJ115=""),"",'Model inputs'!S187&gt;='Model inputs'!AJ115))="",FALSE,IF(ISERROR('Model inputs'!S187&gt;='Model inputs'!AJ115),'Model inputs'!S187&gt;='Model inputs'!AJ115,IF(OR('Model inputs'!S187="",'Model inputs'!AJ115=""),"",'Model inputs'!S187&gt;='Model inputs'!AJ115))),'Model inputs'!AJ114*'Model inputs'!AJ113,0)</f>
        <v>60000</v>
      </c>
      <c r="T439" s="9">
        <f>IF(IF(IF(ISERROR('Model inputs'!T187&gt;='Model inputs'!AJ115),'Model inputs'!T187&gt;='Model inputs'!AJ115,IF(OR('Model inputs'!T187="",'Model inputs'!AJ115=""),"",'Model inputs'!T187&gt;='Model inputs'!AJ115))="",FALSE,IF(ISERROR('Model inputs'!T187&gt;='Model inputs'!AJ115),'Model inputs'!T187&gt;='Model inputs'!AJ115,IF(OR('Model inputs'!T187="",'Model inputs'!AJ115=""),"",'Model inputs'!T187&gt;='Model inputs'!AJ115))),'Model inputs'!AJ114*'Model inputs'!AJ113,0)</f>
        <v>60000</v>
      </c>
      <c r="U439" s="9">
        <f>IF(IF(IF(ISERROR('Model inputs'!U187&gt;='Model inputs'!AJ115),'Model inputs'!U187&gt;='Model inputs'!AJ115,IF(OR('Model inputs'!U187="",'Model inputs'!AJ115=""),"",'Model inputs'!U187&gt;='Model inputs'!AJ115))="",FALSE,IF(ISERROR('Model inputs'!U187&gt;='Model inputs'!AJ115),'Model inputs'!U187&gt;='Model inputs'!AJ115,IF(OR('Model inputs'!U187="",'Model inputs'!AJ115=""),"",'Model inputs'!U187&gt;='Model inputs'!AJ115))),'Model inputs'!AJ114*'Model inputs'!AJ113,0)</f>
        <v>60000</v>
      </c>
      <c r="V439" s="9">
        <f>IF(IF(IF(ISERROR('Model inputs'!V187&gt;='Model inputs'!AJ115),'Model inputs'!V187&gt;='Model inputs'!AJ115,IF(OR('Model inputs'!V187="",'Model inputs'!AJ115=""),"",'Model inputs'!V187&gt;='Model inputs'!AJ115))="",FALSE,IF(ISERROR('Model inputs'!V187&gt;='Model inputs'!AJ115),'Model inputs'!V187&gt;='Model inputs'!AJ115,IF(OR('Model inputs'!V187="",'Model inputs'!AJ115=""),"",'Model inputs'!V187&gt;='Model inputs'!AJ115))),'Model inputs'!AJ114*'Model inputs'!AJ113,0)</f>
        <v>60000</v>
      </c>
      <c r="W439" s="9">
        <f>IF(IF(IF(ISERROR('Model inputs'!W187&gt;='Model inputs'!AJ115),'Model inputs'!W187&gt;='Model inputs'!AJ115,IF(OR('Model inputs'!W187="",'Model inputs'!AJ115=""),"",'Model inputs'!W187&gt;='Model inputs'!AJ115))="",FALSE,IF(ISERROR('Model inputs'!W187&gt;='Model inputs'!AJ115),'Model inputs'!W187&gt;='Model inputs'!AJ115,IF(OR('Model inputs'!W187="",'Model inputs'!AJ115=""),"",'Model inputs'!W187&gt;='Model inputs'!AJ115))),'Model inputs'!AJ114*'Model inputs'!AJ113,0)</f>
        <v>60000</v>
      </c>
      <c r="X439" s="9">
        <f>IF(IF(IF(ISERROR('Model inputs'!X187&gt;='Model inputs'!AJ115),'Model inputs'!X187&gt;='Model inputs'!AJ115,IF(OR('Model inputs'!X187="",'Model inputs'!AJ115=""),"",'Model inputs'!X187&gt;='Model inputs'!AJ115))="",FALSE,IF(ISERROR('Model inputs'!X187&gt;='Model inputs'!AJ115),'Model inputs'!X187&gt;='Model inputs'!AJ115,IF(OR('Model inputs'!X187="",'Model inputs'!AJ115=""),"",'Model inputs'!X187&gt;='Model inputs'!AJ115))),'Model inputs'!AJ114*'Model inputs'!AJ113,0)</f>
        <v>60000</v>
      </c>
      <c r="Y439" s="9">
        <f>IF(IF(IF(ISERROR('Model inputs'!Y187&gt;='Model inputs'!AJ115),'Model inputs'!Y187&gt;='Model inputs'!AJ115,IF(OR('Model inputs'!Y187="",'Model inputs'!AJ115=""),"",'Model inputs'!Y187&gt;='Model inputs'!AJ115))="",FALSE,IF(ISERROR('Model inputs'!Y187&gt;='Model inputs'!AJ115),'Model inputs'!Y187&gt;='Model inputs'!AJ115,IF(OR('Model inputs'!Y187="",'Model inputs'!AJ115=""),"",'Model inputs'!Y187&gt;='Model inputs'!AJ115))),'Model inputs'!AJ114*'Model inputs'!AJ113,0)</f>
        <v>60000</v>
      </c>
      <c r="Z439" s="9">
        <f>IF(IF(IF(ISERROR('Model inputs'!Z187&gt;='Model inputs'!AJ115),'Model inputs'!Z187&gt;='Model inputs'!AJ115,IF(OR('Model inputs'!Z187="",'Model inputs'!AJ115=""),"",'Model inputs'!Z187&gt;='Model inputs'!AJ115))="",FALSE,IF(ISERROR('Model inputs'!Z187&gt;='Model inputs'!AJ115),'Model inputs'!Z187&gt;='Model inputs'!AJ115,IF(OR('Model inputs'!Z187="",'Model inputs'!AJ115=""),"",'Model inputs'!Z187&gt;='Model inputs'!AJ115))),'Model inputs'!AJ114*'Model inputs'!AJ113,0)</f>
        <v>60000</v>
      </c>
      <c r="AA439" s="9">
        <f>IF(IF(IF(ISERROR('Model inputs'!AA187&gt;='Model inputs'!AJ115),'Model inputs'!AA187&gt;='Model inputs'!AJ115,IF(OR('Model inputs'!AA187="",'Model inputs'!AJ115=""),"",'Model inputs'!AA187&gt;='Model inputs'!AJ115))="",FALSE,IF(ISERROR('Model inputs'!AA187&gt;='Model inputs'!AJ115),'Model inputs'!AA187&gt;='Model inputs'!AJ115,IF(OR('Model inputs'!AA187="",'Model inputs'!AJ115=""),"",'Model inputs'!AA187&gt;='Model inputs'!AJ115))),'Model inputs'!AJ114*'Model inputs'!AJ113,0)</f>
        <v>60000</v>
      </c>
      <c r="AB439" s="9">
        <f>IF(IF(IF(ISERROR('Model inputs'!AB187&gt;='Model inputs'!AJ115),'Model inputs'!AB187&gt;='Model inputs'!AJ115,IF(OR('Model inputs'!AB187="",'Model inputs'!AJ115=""),"",'Model inputs'!AB187&gt;='Model inputs'!AJ115))="",FALSE,IF(ISERROR('Model inputs'!AB187&gt;='Model inputs'!AJ115),'Model inputs'!AB187&gt;='Model inputs'!AJ115,IF(OR('Model inputs'!AB187="",'Model inputs'!AJ115=""),"",'Model inputs'!AB187&gt;='Model inputs'!AJ115))),'Model inputs'!AJ114*'Model inputs'!AJ113,0)</f>
        <v>60000</v>
      </c>
      <c r="AC439" s="9">
        <f>IF(IF(IF(ISERROR('Model inputs'!AC187&gt;='Model inputs'!AJ115),'Model inputs'!AC187&gt;='Model inputs'!AJ115,IF(OR('Model inputs'!AC187="",'Model inputs'!AJ115=""),"",'Model inputs'!AC187&gt;='Model inputs'!AJ115))="",FALSE,IF(ISERROR('Model inputs'!AC187&gt;='Model inputs'!AJ115),'Model inputs'!AC187&gt;='Model inputs'!AJ115,IF(OR('Model inputs'!AC187="",'Model inputs'!AJ115=""),"",'Model inputs'!AC187&gt;='Model inputs'!AJ115))),'Model inputs'!AJ114*'Model inputs'!AJ113,0)</f>
        <v>60000</v>
      </c>
      <c r="AD439" s="9">
        <f>IF(IF(IF(ISERROR('Model inputs'!AD187&gt;='Model inputs'!AJ115),'Model inputs'!AD187&gt;='Model inputs'!AJ115,IF(OR('Model inputs'!AD187="",'Model inputs'!AJ115=""),"",'Model inputs'!AD187&gt;='Model inputs'!AJ115))="",FALSE,IF(ISERROR('Model inputs'!AD187&gt;='Model inputs'!AJ115),'Model inputs'!AD187&gt;='Model inputs'!AJ115,IF(OR('Model inputs'!AD187="",'Model inputs'!AJ115=""),"",'Model inputs'!AD187&gt;='Model inputs'!AJ115))),'Model inputs'!AJ114*'Model inputs'!AJ113,0)</f>
        <v>60000</v>
      </c>
      <c r="AE439" s="9">
        <f>IF(IF(IF(ISERROR('Model inputs'!AE187&gt;='Model inputs'!AJ115),'Model inputs'!AE187&gt;='Model inputs'!AJ115,IF(OR('Model inputs'!AE187="",'Model inputs'!AJ115=""),"",'Model inputs'!AE187&gt;='Model inputs'!AJ115))="",FALSE,IF(ISERROR('Model inputs'!AE187&gt;='Model inputs'!AJ115),'Model inputs'!AE187&gt;='Model inputs'!AJ115,IF(OR('Model inputs'!AE187="",'Model inputs'!AJ115=""),"",'Model inputs'!AE187&gt;='Model inputs'!AJ115))),'Model inputs'!AJ114*'Model inputs'!AJ113,0)</f>
        <v>60000</v>
      </c>
      <c r="AF439" s="9">
        <f>IF(IF(IF(ISERROR('Model inputs'!AF187&gt;='Model inputs'!AJ115),'Model inputs'!AF187&gt;='Model inputs'!AJ115,IF(OR('Model inputs'!AF187="",'Model inputs'!AJ115=""),"",'Model inputs'!AF187&gt;='Model inputs'!AJ115))="",FALSE,IF(ISERROR('Model inputs'!AF187&gt;='Model inputs'!AJ115),'Model inputs'!AF187&gt;='Model inputs'!AJ115,IF(OR('Model inputs'!AF187="",'Model inputs'!AJ115=""),"",'Model inputs'!AF187&gt;='Model inputs'!AJ115))),'Model inputs'!AJ114*'Model inputs'!AJ113,0)</f>
        <v>60000</v>
      </c>
      <c r="AG439" s="9">
        <f>IF(IF(IF(ISERROR('Model inputs'!AG187&gt;='Model inputs'!AJ115),'Model inputs'!AG187&gt;='Model inputs'!AJ115,IF(OR('Model inputs'!AG187="",'Model inputs'!AJ115=""),"",'Model inputs'!AG187&gt;='Model inputs'!AJ115))="",FALSE,IF(ISERROR('Model inputs'!AG187&gt;='Model inputs'!AJ115),'Model inputs'!AG187&gt;='Model inputs'!AJ115,IF(OR('Model inputs'!AG187="",'Model inputs'!AJ115=""),"",'Model inputs'!AG187&gt;='Model inputs'!AJ115))),'Model inputs'!AJ114*'Model inputs'!AJ113,0)</f>
        <v>60000</v>
      </c>
      <c r="AH439" s="9">
        <f>IF(IF(IF(ISERROR('Model inputs'!AH187&gt;='Model inputs'!AJ115),'Model inputs'!AH187&gt;='Model inputs'!AJ115,IF(OR('Model inputs'!AH187="",'Model inputs'!AJ115=""),"",'Model inputs'!AH187&gt;='Model inputs'!AJ115))="",FALSE,IF(ISERROR('Model inputs'!AH187&gt;='Model inputs'!AJ115),'Model inputs'!AH187&gt;='Model inputs'!AJ115,IF(OR('Model inputs'!AH187="",'Model inputs'!AJ115=""),"",'Model inputs'!AH187&gt;='Model inputs'!AJ115))),'Model inputs'!AJ114*'Model inputs'!AJ113,0)</f>
        <v>60000</v>
      </c>
      <c r="AI439" s="9">
        <f>IF(IF(IF(ISERROR('Model inputs'!AI187&gt;='Model inputs'!AJ115),'Model inputs'!AI187&gt;='Model inputs'!AJ115,IF(OR('Model inputs'!AI187="",'Model inputs'!AJ115=""),"",'Model inputs'!AI187&gt;='Model inputs'!AJ115))="",FALSE,IF(ISERROR('Model inputs'!AI187&gt;='Model inputs'!AJ115),'Model inputs'!AI187&gt;='Model inputs'!AJ115,IF(OR('Model inputs'!AI187="",'Model inputs'!AJ115=""),"",'Model inputs'!AI187&gt;='Model inputs'!AJ115))),'Model inputs'!AJ114*'Model inputs'!AJ113,0)</f>
        <v>60000</v>
      </c>
    </row>
    <row r="440">
      <c r="A440" t="inlineStr" s="13">
        <is>
          <t xml:space="preserve">Haq Field lead payroll · Haq Ending cash · Conservative · Conservative</t>
        </is>
      </c>
      <c r="B440" s="9">
        <f>IF(IF(IF(ISERROR('Model inputs'!B188&gt;='Model inputs'!AJ171),'Model inputs'!B188&gt;='Model inputs'!AJ171,IF(OR('Model inputs'!B188="",'Model inputs'!AJ171=""),"",'Model inputs'!B188&gt;='Model inputs'!AJ171))="",FALSE,IF(ISERROR('Model inputs'!B188&gt;='Model inputs'!AJ171),'Model inputs'!B188&gt;='Model inputs'!AJ171,IF(OR('Model inputs'!B188="",'Model inputs'!AJ171=""),"",'Model inputs'!B188&gt;='Model inputs'!AJ171))),'Model inputs'!AJ170*'Model inputs'!AJ169,0)</f>
        <v>0</v>
      </c>
      <c r="C440" s="9">
        <f>IF(IF(IF(ISERROR('Model inputs'!C188&gt;='Model inputs'!AJ171),'Model inputs'!C188&gt;='Model inputs'!AJ171,IF(OR('Model inputs'!C188="",'Model inputs'!AJ171=""),"",'Model inputs'!C188&gt;='Model inputs'!AJ171))="",FALSE,IF(ISERROR('Model inputs'!C188&gt;='Model inputs'!AJ171),'Model inputs'!C188&gt;='Model inputs'!AJ171,IF(OR('Model inputs'!C188="",'Model inputs'!AJ171=""),"",'Model inputs'!C188&gt;='Model inputs'!AJ171))),'Model inputs'!AJ170*'Model inputs'!AJ169,0)</f>
        <v>0</v>
      </c>
      <c r="D440" s="9">
        <f>IF(IF(IF(ISERROR('Model inputs'!D188&gt;='Model inputs'!AJ171),'Model inputs'!D188&gt;='Model inputs'!AJ171,IF(OR('Model inputs'!D188="",'Model inputs'!AJ171=""),"",'Model inputs'!D188&gt;='Model inputs'!AJ171))="",FALSE,IF(ISERROR('Model inputs'!D188&gt;='Model inputs'!AJ171),'Model inputs'!D188&gt;='Model inputs'!AJ171,IF(OR('Model inputs'!D188="",'Model inputs'!AJ171=""),"",'Model inputs'!D188&gt;='Model inputs'!AJ171))),'Model inputs'!AJ170*'Model inputs'!AJ169,0)</f>
        <v>0</v>
      </c>
      <c r="E440" s="9">
        <f>IF(IF(IF(ISERROR('Model inputs'!E188&gt;='Model inputs'!AJ171),'Model inputs'!E188&gt;='Model inputs'!AJ171,IF(OR('Model inputs'!E188="",'Model inputs'!AJ171=""),"",'Model inputs'!E188&gt;='Model inputs'!AJ171))="",FALSE,IF(ISERROR('Model inputs'!E188&gt;='Model inputs'!AJ171),'Model inputs'!E188&gt;='Model inputs'!AJ171,IF(OR('Model inputs'!E188="",'Model inputs'!AJ171=""),"",'Model inputs'!E188&gt;='Model inputs'!AJ171))),'Model inputs'!AJ170*'Model inputs'!AJ169,0)</f>
        <v>0</v>
      </c>
      <c r="F440" s="9">
        <f>IF(IF(IF(ISERROR('Model inputs'!F188&gt;='Model inputs'!AJ171),'Model inputs'!F188&gt;='Model inputs'!AJ171,IF(OR('Model inputs'!F188="",'Model inputs'!AJ171=""),"",'Model inputs'!F188&gt;='Model inputs'!AJ171))="",FALSE,IF(ISERROR('Model inputs'!F188&gt;='Model inputs'!AJ171),'Model inputs'!F188&gt;='Model inputs'!AJ171,IF(OR('Model inputs'!F188="",'Model inputs'!AJ171=""),"",'Model inputs'!F188&gt;='Model inputs'!AJ171))),'Model inputs'!AJ170*'Model inputs'!AJ169,0)</f>
        <v>0</v>
      </c>
      <c r="G440" s="9">
        <f>IF(IF(IF(ISERROR('Model inputs'!G188&gt;='Model inputs'!AJ171),'Model inputs'!G188&gt;='Model inputs'!AJ171,IF(OR('Model inputs'!G188="",'Model inputs'!AJ171=""),"",'Model inputs'!G188&gt;='Model inputs'!AJ171))="",FALSE,IF(ISERROR('Model inputs'!G188&gt;='Model inputs'!AJ171),'Model inputs'!G188&gt;='Model inputs'!AJ171,IF(OR('Model inputs'!G188="",'Model inputs'!AJ171=""),"",'Model inputs'!G188&gt;='Model inputs'!AJ171))),'Model inputs'!AJ170*'Model inputs'!AJ169,0)</f>
        <v>0</v>
      </c>
      <c r="H440" s="9">
        <f>IF(IF(IF(ISERROR('Model inputs'!H188&gt;='Model inputs'!AJ171),'Model inputs'!H188&gt;='Model inputs'!AJ171,IF(OR('Model inputs'!H188="",'Model inputs'!AJ171=""),"",'Model inputs'!H188&gt;='Model inputs'!AJ171))="",FALSE,IF(ISERROR('Model inputs'!H188&gt;='Model inputs'!AJ171),'Model inputs'!H188&gt;='Model inputs'!AJ171,IF(OR('Model inputs'!H188="",'Model inputs'!AJ171=""),"",'Model inputs'!H188&gt;='Model inputs'!AJ171))),'Model inputs'!AJ170*'Model inputs'!AJ169,0)</f>
        <v>0</v>
      </c>
      <c r="I440" s="9">
        <f>IF(IF(IF(ISERROR('Model inputs'!I188&gt;='Model inputs'!AJ171),'Model inputs'!I188&gt;='Model inputs'!AJ171,IF(OR('Model inputs'!I188="",'Model inputs'!AJ171=""),"",'Model inputs'!I188&gt;='Model inputs'!AJ171))="",FALSE,IF(ISERROR('Model inputs'!I188&gt;='Model inputs'!AJ171),'Model inputs'!I188&gt;='Model inputs'!AJ171,IF(OR('Model inputs'!I188="",'Model inputs'!AJ171=""),"",'Model inputs'!I188&gt;='Model inputs'!AJ171))),'Model inputs'!AJ170*'Model inputs'!AJ169,0)</f>
        <v>0</v>
      </c>
      <c r="J440" s="9">
        <f>IF(IF(IF(ISERROR('Model inputs'!J188&gt;='Model inputs'!AJ171),'Model inputs'!J188&gt;='Model inputs'!AJ171,IF(OR('Model inputs'!J188="",'Model inputs'!AJ171=""),"",'Model inputs'!J188&gt;='Model inputs'!AJ171))="",FALSE,IF(ISERROR('Model inputs'!J188&gt;='Model inputs'!AJ171),'Model inputs'!J188&gt;='Model inputs'!AJ171,IF(OR('Model inputs'!J188="",'Model inputs'!AJ171=""),"",'Model inputs'!J188&gt;='Model inputs'!AJ171))),'Model inputs'!AJ170*'Model inputs'!AJ169,0)</f>
        <v>0</v>
      </c>
      <c r="K440" s="9">
        <f>IF(IF(IF(ISERROR('Model inputs'!K188&gt;='Model inputs'!AJ171),'Model inputs'!K188&gt;='Model inputs'!AJ171,IF(OR('Model inputs'!K188="",'Model inputs'!AJ171=""),"",'Model inputs'!K188&gt;='Model inputs'!AJ171))="",FALSE,IF(ISERROR('Model inputs'!K188&gt;='Model inputs'!AJ171),'Model inputs'!K188&gt;='Model inputs'!AJ171,IF(OR('Model inputs'!K188="",'Model inputs'!AJ171=""),"",'Model inputs'!K188&gt;='Model inputs'!AJ171))),'Model inputs'!AJ170*'Model inputs'!AJ169,0)</f>
        <v>0</v>
      </c>
      <c r="L440" s="9">
        <f>IF(IF(IF(ISERROR('Model inputs'!L188&gt;='Model inputs'!AJ171),'Model inputs'!L188&gt;='Model inputs'!AJ171,IF(OR('Model inputs'!L188="",'Model inputs'!AJ171=""),"",'Model inputs'!L188&gt;='Model inputs'!AJ171))="",FALSE,IF(ISERROR('Model inputs'!L188&gt;='Model inputs'!AJ171),'Model inputs'!L188&gt;='Model inputs'!AJ171,IF(OR('Model inputs'!L188="",'Model inputs'!AJ171=""),"",'Model inputs'!L188&gt;='Model inputs'!AJ171))),'Model inputs'!AJ170*'Model inputs'!AJ169,0)</f>
        <v>0</v>
      </c>
      <c r="M440" s="9">
        <f>IF(IF(IF(ISERROR('Model inputs'!M188&gt;='Model inputs'!AJ171),'Model inputs'!M188&gt;='Model inputs'!AJ171,IF(OR('Model inputs'!M188="",'Model inputs'!AJ171=""),"",'Model inputs'!M188&gt;='Model inputs'!AJ171))="",FALSE,IF(ISERROR('Model inputs'!M188&gt;='Model inputs'!AJ171),'Model inputs'!M188&gt;='Model inputs'!AJ171,IF(OR('Model inputs'!M188="",'Model inputs'!AJ171=""),"",'Model inputs'!M188&gt;='Model inputs'!AJ171))),'Model inputs'!AJ170*'Model inputs'!AJ169,0)</f>
        <v>0</v>
      </c>
      <c r="N440" s="9">
        <f>IF(IF(IF(ISERROR('Model inputs'!N188&gt;='Model inputs'!AJ171),'Model inputs'!N188&gt;='Model inputs'!AJ171,IF(OR('Model inputs'!N188="",'Model inputs'!AJ171=""),"",'Model inputs'!N188&gt;='Model inputs'!AJ171))="",FALSE,IF(ISERROR('Model inputs'!N188&gt;='Model inputs'!AJ171),'Model inputs'!N188&gt;='Model inputs'!AJ171,IF(OR('Model inputs'!N188="",'Model inputs'!AJ171=""),"",'Model inputs'!N188&gt;='Model inputs'!AJ171))),'Model inputs'!AJ170*'Model inputs'!AJ169,0)</f>
        <v>0</v>
      </c>
      <c r="O440" s="9">
        <f>IF(IF(IF(ISERROR('Model inputs'!O188&gt;='Model inputs'!AJ171),'Model inputs'!O188&gt;='Model inputs'!AJ171,IF(OR('Model inputs'!O188="",'Model inputs'!AJ171=""),"",'Model inputs'!O188&gt;='Model inputs'!AJ171))="",FALSE,IF(ISERROR('Model inputs'!O188&gt;='Model inputs'!AJ171),'Model inputs'!O188&gt;='Model inputs'!AJ171,IF(OR('Model inputs'!O188="",'Model inputs'!AJ171=""),"",'Model inputs'!O188&gt;='Model inputs'!AJ171))),'Model inputs'!AJ170*'Model inputs'!AJ169,0)</f>
        <v>0</v>
      </c>
      <c r="P440" s="9">
        <f>IF(IF(IF(ISERROR('Model inputs'!P188&gt;='Model inputs'!AJ171),'Model inputs'!P188&gt;='Model inputs'!AJ171,IF(OR('Model inputs'!P188="",'Model inputs'!AJ171=""),"",'Model inputs'!P188&gt;='Model inputs'!AJ171))="",FALSE,IF(ISERROR('Model inputs'!P188&gt;='Model inputs'!AJ171),'Model inputs'!P188&gt;='Model inputs'!AJ171,IF(OR('Model inputs'!P188="",'Model inputs'!AJ171=""),"",'Model inputs'!P188&gt;='Model inputs'!AJ171))),'Model inputs'!AJ170*'Model inputs'!AJ169,0)</f>
        <v>0</v>
      </c>
      <c r="Q440" s="9">
        <f>IF(IF(IF(ISERROR('Model inputs'!Q188&gt;='Model inputs'!AJ171),'Model inputs'!Q188&gt;='Model inputs'!AJ171,IF(OR('Model inputs'!Q188="",'Model inputs'!AJ171=""),"",'Model inputs'!Q188&gt;='Model inputs'!AJ171))="",FALSE,IF(ISERROR('Model inputs'!Q188&gt;='Model inputs'!AJ171),'Model inputs'!Q188&gt;='Model inputs'!AJ171,IF(OR('Model inputs'!Q188="",'Model inputs'!AJ171=""),"",'Model inputs'!Q188&gt;='Model inputs'!AJ171))),'Model inputs'!AJ170*'Model inputs'!AJ169,0)</f>
        <v>60000</v>
      </c>
      <c r="R440" s="9">
        <f>IF(IF(IF(ISERROR('Model inputs'!R188&gt;='Model inputs'!AJ171),'Model inputs'!R188&gt;='Model inputs'!AJ171,IF(OR('Model inputs'!R188="",'Model inputs'!AJ171=""),"",'Model inputs'!R188&gt;='Model inputs'!AJ171))="",FALSE,IF(ISERROR('Model inputs'!R188&gt;='Model inputs'!AJ171),'Model inputs'!R188&gt;='Model inputs'!AJ171,IF(OR('Model inputs'!R188="",'Model inputs'!AJ171=""),"",'Model inputs'!R188&gt;='Model inputs'!AJ171))),'Model inputs'!AJ170*'Model inputs'!AJ169,0)</f>
        <v>60000</v>
      </c>
      <c r="S440" s="9">
        <f>IF(IF(IF(ISERROR('Model inputs'!S188&gt;='Model inputs'!AJ171),'Model inputs'!S188&gt;='Model inputs'!AJ171,IF(OR('Model inputs'!S188="",'Model inputs'!AJ171=""),"",'Model inputs'!S188&gt;='Model inputs'!AJ171))="",FALSE,IF(ISERROR('Model inputs'!S188&gt;='Model inputs'!AJ171),'Model inputs'!S188&gt;='Model inputs'!AJ171,IF(OR('Model inputs'!S188="",'Model inputs'!AJ171=""),"",'Model inputs'!S188&gt;='Model inputs'!AJ171))),'Model inputs'!AJ170*'Model inputs'!AJ169,0)</f>
        <v>60000</v>
      </c>
      <c r="T440" s="9">
        <f>IF(IF(IF(ISERROR('Model inputs'!T188&gt;='Model inputs'!AJ171),'Model inputs'!T188&gt;='Model inputs'!AJ171,IF(OR('Model inputs'!T188="",'Model inputs'!AJ171=""),"",'Model inputs'!T188&gt;='Model inputs'!AJ171))="",FALSE,IF(ISERROR('Model inputs'!T188&gt;='Model inputs'!AJ171),'Model inputs'!T188&gt;='Model inputs'!AJ171,IF(OR('Model inputs'!T188="",'Model inputs'!AJ171=""),"",'Model inputs'!T188&gt;='Model inputs'!AJ171))),'Model inputs'!AJ170*'Model inputs'!AJ169,0)</f>
        <v>60000</v>
      </c>
      <c r="U440" s="9">
        <f>IF(IF(IF(ISERROR('Model inputs'!U188&gt;='Model inputs'!AJ171),'Model inputs'!U188&gt;='Model inputs'!AJ171,IF(OR('Model inputs'!U188="",'Model inputs'!AJ171=""),"",'Model inputs'!U188&gt;='Model inputs'!AJ171))="",FALSE,IF(ISERROR('Model inputs'!U188&gt;='Model inputs'!AJ171),'Model inputs'!U188&gt;='Model inputs'!AJ171,IF(OR('Model inputs'!U188="",'Model inputs'!AJ171=""),"",'Model inputs'!U188&gt;='Model inputs'!AJ171))),'Model inputs'!AJ170*'Model inputs'!AJ169,0)</f>
        <v>60000</v>
      </c>
      <c r="V440" s="9">
        <f>IF(IF(IF(ISERROR('Model inputs'!V188&gt;='Model inputs'!AJ171),'Model inputs'!V188&gt;='Model inputs'!AJ171,IF(OR('Model inputs'!V188="",'Model inputs'!AJ171=""),"",'Model inputs'!V188&gt;='Model inputs'!AJ171))="",FALSE,IF(ISERROR('Model inputs'!V188&gt;='Model inputs'!AJ171),'Model inputs'!V188&gt;='Model inputs'!AJ171,IF(OR('Model inputs'!V188="",'Model inputs'!AJ171=""),"",'Model inputs'!V188&gt;='Model inputs'!AJ171))),'Model inputs'!AJ170*'Model inputs'!AJ169,0)</f>
        <v>60000</v>
      </c>
      <c r="W440" s="9">
        <f>IF(IF(IF(ISERROR('Model inputs'!W188&gt;='Model inputs'!AJ171),'Model inputs'!W188&gt;='Model inputs'!AJ171,IF(OR('Model inputs'!W188="",'Model inputs'!AJ171=""),"",'Model inputs'!W188&gt;='Model inputs'!AJ171))="",FALSE,IF(ISERROR('Model inputs'!W188&gt;='Model inputs'!AJ171),'Model inputs'!W188&gt;='Model inputs'!AJ171,IF(OR('Model inputs'!W188="",'Model inputs'!AJ171=""),"",'Model inputs'!W188&gt;='Model inputs'!AJ171))),'Model inputs'!AJ170*'Model inputs'!AJ169,0)</f>
        <v>60000</v>
      </c>
      <c r="X440" s="9">
        <f>IF(IF(IF(ISERROR('Model inputs'!X188&gt;='Model inputs'!AJ171),'Model inputs'!X188&gt;='Model inputs'!AJ171,IF(OR('Model inputs'!X188="",'Model inputs'!AJ171=""),"",'Model inputs'!X188&gt;='Model inputs'!AJ171))="",FALSE,IF(ISERROR('Model inputs'!X188&gt;='Model inputs'!AJ171),'Model inputs'!X188&gt;='Model inputs'!AJ171,IF(OR('Model inputs'!X188="",'Model inputs'!AJ171=""),"",'Model inputs'!X188&gt;='Model inputs'!AJ171))),'Model inputs'!AJ170*'Model inputs'!AJ169,0)</f>
        <v>60000</v>
      </c>
      <c r="Y440" s="9">
        <f>IF(IF(IF(ISERROR('Model inputs'!Y188&gt;='Model inputs'!AJ171),'Model inputs'!Y188&gt;='Model inputs'!AJ171,IF(OR('Model inputs'!Y188="",'Model inputs'!AJ171=""),"",'Model inputs'!Y188&gt;='Model inputs'!AJ171))="",FALSE,IF(ISERROR('Model inputs'!Y188&gt;='Model inputs'!AJ171),'Model inputs'!Y188&gt;='Model inputs'!AJ171,IF(OR('Model inputs'!Y188="",'Model inputs'!AJ171=""),"",'Model inputs'!Y188&gt;='Model inputs'!AJ171))),'Model inputs'!AJ170*'Model inputs'!AJ169,0)</f>
        <v>60000</v>
      </c>
      <c r="Z440" s="9">
        <f>IF(IF(IF(ISERROR('Model inputs'!Z188&gt;='Model inputs'!AJ171),'Model inputs'!Z188&gt;='Model inputs'!AJ171,IF(OR('Model inputs'!Z188="",'Model inputs'!AJ171=""),"",'Model inputs'!Z188&gt;='Model inputs'!AJ171))="",FALSE,IF(ISERROR('Model inputs'!Z188&gt;='Model inputs'!AJ171),'Model inputs'!Z188&gt;='Model inputs'!AJ171,IF(OR('Model inputs'!Z188="",'Model inputs'!AJ171=""),"",'Model inputs'!Z188&gt;='Model inputs'!AJ171))),'Model inputs'!AJ170*'Model inputs'!AJ169,0)</f>
        <v>60000</v>
      </c>
      <c r="AA440" s="9">
        <f>IF(IF(IF(ISERROR('Model inputs'!AA188&gt;='Model inputs'!AJ171),'Model inputs'!AA188&gt;='Model inputs'!AJ171,IF(OR('Model inputs'!AA188="",'Model inputs'!AJ171=""),"",'Model inputs'!AA188&gt;='Model inputs'!AJ171))="",FALSE,IF(ISERROR('Model inputs'!AA188&gt;='Model inputs'!AJ171),'Model inputs'!AA188&gt;='Model inputs'!AJ171,IF(OR('Model inputs'!AA188="",'Model inputs'!AJ171=""),"",'Model inputs'!AA188&gt;='Model inputs'!AJ171))),'Model inputs'!AJ170*'Model inputs'!AJ169,0)</f>
        <v>60000</v>
      </c>
      <c r="AB440" s="9">
        <f>IF(IF(IF(ISERROR('Model inputs'!AB188&gt;='Model inputs'!AJ171),'Model inputs'!AB188&gt;='Model inputs'!AJ171,IF(OR('Model inputs'!AB188="",'Model inputs'!AJ171=""),"",'Model inputs'!AB188&gt;='Model inputs'!AJ171))="",FALSE,IF(ISERROR('Model inputs'!AB188&gt;='Model inputs'!AJ171),'Model inputs'!AB188&gt;='Model inputs'!AJ171,IF(OR('Model inputs'!AB188="",'Model inputs'!AJ171=""),"",'Model inputs'!AB188&gt;='Model inputs'!AJ171))),'Model inputs'!AJ170*'Model inputs'!AJ169,0)</f>
        <v>60000</v>
      </c>
      <c r="AC440" s="9">
        <f>IF(IF(IF(ISERROR('Model inputs'!AC188&gt;='Model inputs'!AJ171),'Model inputs'!AC188&gt;='Model inputs'!AJ171,IF(OR('Model inputs'!AC188="",'Model inputs'!AJ171=""),"",'Model inputs'!AC188&gt;='Model inputs'!AJ171))="",FALSE,IF(ISERROR('Model inputs'!AC188&gt;='Model inputs'!AJ171),'Model inputs'!AC188&gt;='Model inputs'!AJ171,IF(OR('Model inputs'!AC188="",'Model inputs'!AJ171=""),"",'Model inputs'!AC188&gt;='Model inputs'!AJ171))),'Model inputs'!AJ170*'Model inputs'!AJ169,0)</f>
        <v>60000</v>
      </c>
      <c r="AD440" s="9">
        <f>IF(IF(IF(ISERROR('Model inputs'!AD188&gt;='Model inputs'!AJ171),'Model inputs'!AD188&gt;='Model inputs'!AJ171,IF(OR('Model inputs'!AD188="",'Model inputs'!AJ171=""),"",'Model inputs'!AD188&gt;='Model inputs'!AJ171))="",FALSE,IF(ISERROR('Model inputs'!AD188&gt;='Model inputs'!AJ171),'Model inputs'!AD188&gt;='Model inputs'!AJ171,IF(OR('Model inputs'!AD188="",'Model inputs'!AJ171=""),"",'Model inputs'!AD188&gt;='Model inputs'!AJ171))),'Model inputs'!AJ170*'Model inputs'!AJ169,0)</f>
        <v>60000</v>
      </c>
      <c r="AE440" s="9">
        <f>IF(IF(IF(ISERROR('Model inputs'!AE188&gt;='Model inputs'!AJ171),'Model inputs'!AE188&gt;='Model inputs'!AJ171,IF(OR('Model inputs'!AE188="",'Model inputs'!AJ171=""),"",'Model inputs'!AE188&gt;='Model inputs'!AJ171))="",FALSE,IF(ISERROR('Model inputs'!AE188&gt;='Model inputs'!AJ171),'Model inputs'!AE188&gt;='Model inputs'!AJ171,IF(OR('Model inputs'!AE188="",'Model inputs'!AJ171=""),"",'Model inputs'!AE188&gt;='Model inputs'!AJ171))),'Model inputs'!AJ170*'Model inputs'!AJ169,0)</f>
        <v>60000</v>
      </c>
      <c r="AF440" s="9">
        <f>IF(IF(IF(ISERROR('Model inputs'!AF188&gt;='Model inputs'!AJ171),'Model inputs'!AF188&gt;='Model inputs'!AJ171,IF(OR('Model inputs'!AF188="",'Model inputs'!AJ171=""),"",'Model inputs'!AF188&gt;='Model inputs'!AJ171))="",FALSE,IF(ISERROR('Model inputs'!AF188&gt;='Model inputs'!AJ171),'Model inputs'!AF188&gt;='Model inputs'!AJ171,IF(OR('Model inputs'!AF188="",'Model inputs'!AJ171=""),"",'Model inputs'!AF188&gt;='Model inputs'!AJ171))),'Model inputs'!AJ170*'Model inputs'!AJ169,0)</f>
        <v>60000</v>
      </c>
      <c r="AG440" s="9">
        <f>IF(IF(IF(ISERROR('Model inputs'!AG188&gt;='Model inputs'!AJ171),'Model inputs'!AG188&gt;='Model inputs'!AJ171,IF(OR('Model inputs'!AG188="",'Model inputs'!AJ171=""),"",'Model inputs'!AG188&gt;='Model inputs'!AJ171))="",FALSE,IF(ISERROR('Model inputs'!AG188&gt;='Model inputs'!AJ171),'Model inputs'!AG188&gt;='Model inputs'!AJ171,IF(OR('Model inputs'!AG188="",'Model inputs'!AJ171=""),"",'Model inputs'!AG188&gt;='Model inputs'!AJ171))),'Model inputs'!AJ170*'Model inputs'!AJ169,0)</f>
        <v>60000</v>
      </c>
      <c r="AH440" s="9">
        <f>IF(IF(IF(ISERROR('Model inputs'!AH188&gt;='Model inputs'!AJ171),'Model inputs'!AH188&gt;='Model inputs'!AJ171,IF(OR('Model inputs'!AH188="",'Model inputs'!AJ171=""),"",'Model inputs'!AH188&gt;='Model inputs'!AJ171))="",FALSE,IF(ISERROR('Model inputs'!AH188&gt;='Model inputs'!AJ171),'Model inputs'!AH188&gt;='Model inputs'!AJ171,IF(OR('Model inputs'!AH188="",'Model inputs'!AJ171=""),"",'Model inputs'!AH188&gt;='Model inputs'!AJ171))),'Model inputs'!AJ170*'Model inputs'!AJ169,0)</f>
        <v>60000</v>
      </c>
      <c r="AI440" s="9">
        <f>IF(IF(IF(ISERROR('Model inputs'!AI188&gt;='Model inputs'!AJ171),'Model inputs'!AI188&gt;='Model inputs'!AJ171,IF(OR('Model inputs'!AI188="",'Model inputs'!AJ171=""),"",'Model inputs'!AI188&gt;='Model inputs'!AJ171))="",FALSE,IF(ISERROR('Model inputs'!AI188&gt;='Model inputs'!AJ171),'Model inputs'!AI188&gt;='Model inputs'!AJ171,IF(OR('Model inputs'!AI188="",'Model inputs'!AJ171=""),"",'Model inputs'!AI188&gt;='Model inputs'!AJ171))),'Model inputs'!AJ170*'Model inputs'!AJ169,0)</f>
        <v>60000</v>
      </c>
    </row>
    <row r="441">
      <c r="A441" t="inlineStr" s="13">
        <is>
          <t xml:space="preserve">Haq Founder payroll · Haq Ending cash · Main Scenario · Main Scenario</t>
        </is>
      </c>
      <c r="B441" s="9">
        <f>IF(IF(IF(ISERROR('Model inputs'!B186&gt;='Model inputs'!AJ62),'Model inputs'!B186&gt;='Model inputs'!AJ62,IF(OR('Model inputs'!B186="",'Model inputs'!AJ62=""),"",'Model inputs'!B186&gt;='Model inputs'!AJ62))="",FALSE,IF(ISERROR('Model inputs'!B186&gt;='Model inputs'!AJ62),'Model inputs'!B186&gt;='Model inputs'!AJ62,IF(OR('Model inputs'!B186="",'Model inputs'!AJ62=""),"",'Model inputs'!B186&gt;='Model inputs'!AJ62))),'Model inputs'!AJ61*'Model inputs'!AJ60,0)</f>
        <v>0</v>
      </c>
      <c r="C441" s="9">
        <f>IF(IF(IF(ISERROR('Model inputs'!C186&gt;='Model inputs'!AJ62),'Model inputs'!C186&gt;='Model inputs'!AJ62,IF(OR('Model inputs'!C186="",'Model inputs'!AJ62=""),"",'Model inputs'!C186&gt;='Model inputs'!AJ62))="",FALSE,IF(ISERROR('Model inputs'!C186&gt;='Model inputs'!AJ62),'Model inputs'!C186&gt;='Model inputs'!AJ62,IF(OR('Model inputs'!C186="",'Model inputs'!AJ62=""),"",'Model inputs'!C186&gt;='Model inputs'!AJ62))),'Model inputs'!AJ61*'Model inputs'!AJ60,0)</f>
        <v>0</v>
      </c>
      <c r="D441" s="9">
        <f>IF(IF(IF(ISERROR('Model inputs'!D186&gt;='Model inputs'!AJ62),'Model inputs'!D186&gt;='Model inputs'!AJ62,IF(OR('Model inputs'!D186="",'Model inputs'!AJ62=""),"",'Model inputs'!D186&gt;='Model inputs'!AJ62))="",FALSE,IF(ISERROR('Model inputs'!D186&gt;='Model inputs'!AJ62),'Model inputs'!D186&gt;='Model inputs'!AJ62,IF(OR('Model inputs'!D186="",'Model inputs'!AJ62=""),"",'Model inputs'!D186&gt;='Model inputs'!AJ62))),'Model inputs'!AJ61*'Model inputs'!AJ60,0)</f>
        <v>0</v>
      </c>
      <c r="E441" s="9">
        <f>IF(IF(IF(ISERROR('Model inputs'!E186&gt;='Model inputs'!AJ62),'Model inputs'!E186&gt;='Model inputs'!AJ62,IF(OR('Model inputs'!E186="",'Model inputs'!AJ62=""),"",'Model inputs'!E186&gt;='Model inputs'!AJ62))="",FALSE,IF(ISERROR('Model inputs'!E186&gt;='Model inputs'!AJ62),'Model inputs'!E186&gt;='Model inputs'!AJ62,IF(OR('Model inputs'!E186="",'Model inputs'!AJ62=""),"",'Model inputs'!E186&gt;='Model inputs'!AJ62))),'Model inputs'!AJ61*'Model inputs'!AJ60,0)</f>
        <v>0</v>
      </c>
      <c r="F441" s="9">
        <f>IF(IF(IF(ISERROR('Model inputs'!F186&gt;='Model inputs'!AJ62),'Model inputs'!F186&gt;='Model inputs'!AJ62,IF(OR('Model inputs'!F186="",'Model inputs'!AJ62=""),"",'Model inputs'!F186&gt;='Model inputs'!AJ62))="",FALSE,IF(ISERROR('Model inputs'!F186&gt;='Model inputs'!AJ62),'Model inputs'!F186&gt;='Model inputs'!AJ62,IF(OR('Model inputs'!F186="",'Model inputs'!AJ62=""),"",'Model inputs'!F186&gt;='Model inputs'!AJ62))),'Model inputs'!AJ61*'Model inputs'!AJ60,0)</f>
        <v>0</v>
      </c>
      <c r="G441" s="9">
        <f>IF(IF(IF(ISERROR('Model inputs'!G186&gt;='Model inputs'!AJ62),'Model inputs'!G186&gt;='Model inputs'!AJ62,IF(OR('Model inputs'!G186="",'Model inputs'!AJ62=""),"",'Model inputs'!G186&gt;='Model inputs'!AJ62))="",FALSE,IF(ISERROR('Model inputs'!G186&gt;='Model inputs'!AJ62),'Model inputs'!G186&gt;='Model inputs'!AJ62,IF(OR('Model inputs'!G186="",'Model inputs'!AJ62=""),"",'Model inputs'!G186&gt;='Model inputs'!AJ62))),'Model inputs'!AJ61*'Model inputs'!AJ60,0)</f>
        <v>0</v>
      </c>
      <c r="H441" s="9">
        <f>IF(IF(IF(ISERROR('Model inputs'!H186&gt;='Model inputs'!AJ62),'Model inputs'!H186&gt;='Model inputs'!AJ62,IF(OR('Model inputs'!H186="",'Model inputs'!AJ62=""),"",'Model inputs'!H186&gt;='Model inputs'!AJ62))="",FALSE,IF(ISERROR('Model inputs'!H186&gt;='Model inputs'!AJ62),'Model inputs'!H186&gt;='Model inputs'!AJ62,IF(OR('Model inputs'!H186="",'Model inputs'!AJ62=""),"",'Model inputs'!H186&gt;='Model inputs'!AJ62))),'Model inputs'!AJ61*'Model inputs'!AJ60,0)</f>
        <v>0</v>
      </c>
      <c r="I441" s="9">
        <f>IF(IF(IF(ISERROR('Model inputs'!I186&gt;='Model inputs'!AJ62),'Model inputs'!I186&gt;='Model inputs'!AJ62,IF(OR('Model inputs'!I186="",'Model inputs'!AJ62=""),"",'Model inputs'!I186&gt;='Model inputs'!AJ62))="",FALSE,IF(ISERROR('Model inputs'!I186&gt;='Model inputs'!AJ62),'Model inputs'!I186&gt;='Model inputs'!AJ62,IF(OR('Model inputs'!I186="",'Model inputs'!AJ62=""),"",'Model inputs'!I186&gt;='Model inputs'!AJ62))),'Model inputs'!AJ61*'Model inputs'!AJ60,0)</f>
        <v>0</v>
      </c>
      <c r="J441" s="9">
        <f>IF(IF(IF(ISERROR('Model inputs'!J186&gt;='Model inputs'!AJ62),'Model inputs'!J186&gt;='Model inputs'!AJ62,IF(OR('Model inputs'!J186="",'Model inputs'!AJ62=""),"",'Model inputs'!J186&gt;='Model inputs'!AJ62))="",FALSE,IF(ISERROR('Model inputs'!J186&gt;='Model inputs'!AJ62),'Model inputs'!J186&gt;='Model inputs'!AJ62,IF(OR('Model inputs'!J186="",'Model inputs'!AJ62=""),"",'Model inputs'!J186&gt;='Model inputs'!AJ62))),'Model inputs'!AJ61*'Model inputs'!AJ60,0)</f>
        <v>0</v>
      </c>
      <c r="K441" s="9">
        <f>IF(IF(IF(ISERROR('Model inputs'!K186&gt;='Model inputs'!AJ62),'Model inputs'!K186&gt;='Model inputs'!AJ62,IF(OR('Model inputs'!K186="",'Model inputs'!AJ62=""),"",'Model inputs'!K186&gt;='Model inputs'!AJ62))="",FALSE,IF(ISERROR('Model inputs'!K186&gt;='Model inputs'!AJ62),'Model inputs'!K186&gt;='Model inputs'!AJ62,IF(OR('Model inputs'!K186="",'Model inputs'!AJ62=""),"",'Model inputs'!K186&gt;='Model inputs'!AJ62))),'Model inputs'!AJ61*'Model inputs'!AJ60,0)</f>
        <v>0</v>
      </c>
      <c r="L441" s="9">
        <f>IF(IF(IF(ISERROR('Model inputs'!L186&gt;='Model inputs'!AJ62),'Model inputs'!L186&gt;='Model inputs'!AJ62,IF(OR('Model inputs'!L186="",'Model inputs'!AJ62=""),"",'Model inputs'!L186&gt;='Model inputs'!AJ62))="",FALSE,IF(ISERROR('Model inputs'!L186&gt;='Model inputs'!AJ62),'Model inputs'!L186&gt;='Model inputs'!AJ62,IF(OR('Model inputs'!L186="",'Model inputs'!AJ62=""),"",'Model inputs'!L186&gt;='Model inputs'!AJ62))),'Model inputs'!AJ61*'Model inputs'!AJ60,0)</f>
        <v>0</v>
      </c>
      <c r="M441" s="9">
        <f>IF(IF(IF(ISERROR('Model inputs'!M186&gt;='Model inputs'!AJ62),'Model inputs'!M186&gt;='Model inputs'!AJ62,IF(OR('Model inputs'!M186="",'Model inputs'!AJ62=""),"",'Model inputs'!M186&gt;='Model inputs'!AJ62))="",FALSE,IF(ISERROR('Model inputs'!M186&gt;='Model inputs'!AJ62),'Model inputs'!M186&gt;='Model inputs'!AJ62,IF(OR('Model inputs'!M186="",'Model inputs'!AJ62=""),"",'Model inputs'!M186&gt;='Model inputs'!AJ62))),'Model inputs'!AJ61*'Model inputs'!AJ60,0)</f>
        <v>0</v>
      </c>
      <c r="N441" s="9">
        <f>IF(IF(IF(ISERROR('Model inputs'!N186&gt;='Model inputs'!AJ62),'Model inputs'!N186&gt;='Model inputs'!AJ62,IF(OR('Model inputs'!N186="",'Model inputs'!AJ62=""),"",'Model inputs'!N186&gt;='Model inputs'!AJ62))="",FALSE,IF(ISERROR('Model inputs'!N186&gt;='Model inputs'!AJ62),'Model inputs'!N186&gt;='Model inputs'!AJ62,IF(OR('Model inputs'!N186="",'Model inputs'!AJ62=""),"",'Model inputs'!N186&gt;='Model inputs'!AJ62))),'Model inputs'!AJ61*'Model inputs'!AJ60,0)</f>
        <v>0</v>
      </c>
      <c r="O441" s="9">
        <f>IF(IF(IF(ISERROR('Model inputs'!O186&gt;='Model inputs'!AJ62),'Model inputs'!O186&gt;='Model inputs'!AJ62,IF(OR('Model inputs'!O186="",'Model inputs'!AJ62=""),"",'Model inputs'!O186&gt;='Model inputs'!AJ62))="",FALSE,IF(ISERROR('Model inputs'!O186&gt;='Model inputs'!AJ62),'Model inputs'!O186&gt;='Model inputs'!AJ62,IF(OR('Model inputs'!O186="",'Model inputs'!AJ62=""),"",'Model inputs'!O186&gt;='Model inputs'!AJ62))),'Model inputs'!AJ61*'Model inputs'!AJ60,0)</f>
        <v>0</v>
      </c>
      <c r="P441" s="9">
        <f>IF(IF(IF(ISERROR('Model inputs'!P186&gt;='Model inputs'!AJ62),'Model inputs'!P186&gt;='Model inputs'!AJ62,IF(OR('Model inputs'!P186="",'Model inputs'!AJ62=""),"",'Model inputs'!P186&gt;='Model inputs'!AJ62))="",FALSE,IF(ISERROR('Model inputs'!P186&gt;='Model inputs'!AJ62),'Model inputs'!P186&gt;='Model inputs'!AJ62,IF(OR('Model inputs'!P186="",'Model inputs'!AJ62=""),"",'Model inputs'!P186&gt;='Model inputs'!AJ62))),'Model inputs'!AJ61*'Model inputs'!AJ60,0)</f>
        <v>0</v>
      </c>
      <c r="Q441" s="9">
        <f>IF(IF(IF(ISERROR('Model inputs'!Q186&gt;='Model inputs'!AJ62),'Model inputs'!Q186&gt;='Model inputs'!AJ62,IF(OR('Model inputs'!Q186="",'Model inputs'!AJ62=""),"",'Model inputs'!Q186&gt;='Model inputs'!AJ62))="",FALSE,IF(ISERROR('Model inputs'!Q186&gt;='Model inputs'!AJ62),'Model inputs'!Q186&gt;='Model inputs'!AJ62,IF(OR('Model inputs'!Q186="",'Model inputs'!AJ62=""),"",'Model inputs'!Q186&gt;='Model inputs'!AJ62))),'Model inputs'!AJ61*'Model inputs'!AJ60,0)</f>
        <v>0</v>
      </c>
      <c r="R441" s="9">
        <f>IF(IF(IF(ISERROR('Model inputs'!R186&gt;='Model inputs'!AJ62),'Model inputs'!R186&gt;='Model inputs'!AJ62,IF(OR('Model inputs'!R186="",'Model inputs'!AJ62=""),"",'Model inputs'!R186&gt;='Model inputs'!AJ62))="",FALSE,IF(ISERROR('Model inputs'!R186&gt;='Model inputs'!AJ62),'Model inputs'!R186&gt;='Model inputs'!AJ62,IF(OR('Model inputs'!R186="",'Model inputs'!AJ62=""),"",'Model inputs'!R186&gt;='Model inputs'!AJ62))),'Model inputs'!AJ61*'Model inputs'!AJ60,0)</f>
        <v>100000</v>
      </c>
      <c r="S441" s="9">
        <f>IF(IF(IF(ISERROR('Model inputs'!S186&gt;='Model inputs'!AJ62),'Model inputs'!S186&gt;='Model inputs'!AJ62,IF(OR('Model inputs'!S186="",'Model inputs'!AJ62=""),"",'Model inputs'!S186&gt;='Model inputs'!AJ62))="",FALSE,IF(ISERROR('Model inputs'!S186&gt;='Model inputs'!AJ62),'Model inputs'!S186&gt;='Model inputs'!AJ62,IF(OR('Model inputs'!S186="",'Model inputs'!AJ62=""),"",'Model inputs'!S186&gt;='Model inputs'!AJ62))),'Model inputs'!AJ61*'Model inputs'!AJ60,0)</f>
        <v>100000</v>
      </c>
      <c r="T441" s="9">
        <f>IF(IF(IF(ISERROR('Model inputs'!T186&gt;='Model inputs'!AJ62),'Model inputs'!T186&gt;='Model inputs'!AJ62,IF(OR('Model inputs'!T186="",'Model inputs'!AJ62=""),"",'Model inputs'!T186&gt;='Model inputs'!AJ62))="",FALSE,IF(ISERROR('Model inputs'!T186&gt;='Model inputs'!AJ62),'Model inputs'!T186&gt;='Model inputs'!AJ62,IF(OR('Model inputs'!T186="",'Model inputs'!AJ62=""),"",'Model inputs'!T186&gt;='Model inputs'!AJ62))),'Model inputs'!AJ61*'Model inputs'!AJ60,0)</f>
        <v>100000</v>
      </c>
      <c r="U441" s="9">
        <f>IF(IF(IF(ISERROR('Model inputs'!U186&gt;='Model inputs'!AJ62),'Model inputs'!U186&gt;='Model inputs'!AJ62,IF(OR('Model inputs'!U186="",'Model inputs'!AJ62=""),"",'Model inputs'!U186&gt;='Model inputs'!AJ62))="",FALSE,IF(ISERROR('Model inputs'!U186&gt;='Model inputs'!AJ62),'Model inputs'!U186&gt;='Model inputs'!AJ62,IF(OR('Model inputs'!U186="",'Model inputs'!AJ62=""),"",'Model inputs'!U186&gt;='Model inputs'!AJ62))),'Model inputs'!AJ61*'Model inputs'!AJ60,0)</f>
        <v>100000</v>
      </c>
      <c r="V441" s="9">
        <f>IF(IF(IF(ISERROR('Model inputs'!V186&gt;='Model inputs'!AJ62),'Model inputs'!V186&gt;='Model inputs'!AJ62,IF(OR('Model inputs'!V186="",'Model inputs'!AJ62=""),"",'Model inputs'!V186&gt;='Model inputs'!AJ62))="",FALSE,IF(ISERROR('Model inputs'!V186&gt;='Model inputs'!AJ62),'Model inputs'!V186&gt;='Model inputs'!AJ62,IF(OR('Model inputs'!V186="",'Model inputs'!AJ62=""),"",'Model inputs'!V186&gt;='Model inputs'!AJ62))),'Model inputs'!AJ61*'Model inputs'!AJ60,0)</f>
        <v>100000</v>
      </c>
      <c r="W441" s="9">
        <f>IF(IF(IF(ISERROR('Model inputs'!W186&gt;='Model inputs'!AJ62),'Model inputs'!W186&gt;='Model inputs'!AJ62,IF(OR('Model inputs'!W186="",'Model inputs'!AJ62=""),"",'Model inputs'!W186&gt;='Model inputs'!AJ62))="",FALSE,IF(ISERROR('Model inputs'!W186&gt;='Model inputs'!AJ62),'Model inputs'!W186&gt;='Model inputs'!AJ62,IF(OR('Model inputs'!W186="",'Model inputs'!AJ62=""),"",'Model inputs'!W186&gt;='Model inputs'!AJ62))),'Model inputs'!AJ61*'Model inputs'!AJ60,0)</f>
        <v>100000</v>
      </c>
      <c r="X441" s="9">
        <f>IF(IF(IF(ISERROR('Model inputs'!X186&gt;='Model inputs'!AJ62),'Model inputs'!X186&gt;='Model inputs'!AJ62,IF(OR('Model inputs'!X186="",'Model inputs'!AJ62=""),"",'Model inputs'!X186&gt;='Model inputs'!AJ62))="",FALSE,IF(ISERROR('Model inputs'!X186&gt;='Model inputs'!AJ62),'Model inputs'!X186&gt;='Model inputs'!AJ62,IF(OR('Model inputs'!X186="",'Model inputs'!AJ62=""),"",'Model inputs'!X186&gt;='Model inputs'!AJ62))),'Model inputs'!AJ61*'Model inputs'!AJ60,0)</f>
        <v>100000</v>
      </c>
      <c r="Y441" s="9">
        <f>IF(IF(IF(ISERROR('Model inputs'!Y186&gt;='Model inputs'!AJ62),'Model inputs'!Y186&gt;='Model inputs'!AJ62,IF(OR('Model inputs'!Y186="",'Model inputs'!AJ62=""),"",'Model inputs'!Y186&gt;='Model inputs'!AJ62))="",FALSE,IF(ISERROR('Model inputs'!Y186&gt;='Model inputs'!AJ62),'Model inputs'!Y186&gt;='Model inputs'!AJ62,IF(OR('Model inputs'!Y186="",'Model inputs'!AJ62=""),"",'Model inputs'!Y186&gt;='Model inputs'!AJ62))),'Model inputs'!AJ61*'Model inputs'!AJ60,0)</f>
        <v>100000</v>
      </c>
      <c r="Z441" s="9">
        <f>IF(IF(IF(ISERROR('Model inputs'!Z186&gt;='Model inputs'!AJ62),'Model inputs'!Z186&gt;='Model inputs'!AJ62,IF(OR('Model inputs'!Z186="",'Model inputs'!AJ62=""),"",'Model inputs'!Z186&gt;='Model inputs'!AJ62))="",FALSE,IF(ISERROR('Model inputs'!Z186&gt;='Model inputs'!AJ62),'Model inputs'!Z186&gt;='Model inputs'!AJ62,IF(OR('Model inputs'!Z186="",'Model inputs'!AJ62=""),"",'Model inputs'!Z186&gt;='Model inputs'!AJ62))),'Model inputs'!AJ61*'Model inputs'!AJ60,0)</f>
        <v>100000</v>
      </c>
      <c r="AA441" s="9">
        <f>IF(IF(IF(ISERROR('Model inputs'!AA186&gt;='Model inputs'!AJ62),'Model inputs'!AA186&gt;='Model inputs'!AJ62,IF(OR('Model inputs'!AA186="",'Model inputs'!AJ62=""),"",'Model inputs'!AA186&gt;='Model inputs'!AJ62))="",FALSE,IF(ISERROR('Model inputs'!AA186&gt;='Model inputs'!AJ62),'Model inputs'!AA186&gt;='Model inputs'!AJ62,IF(OR('Model inputs'!AA186="",'Model inputs'!AJ62=""),"",'Model inputs'!AA186&gt;='Model inputs'!AJ62))),'Model inputs'!AJ61*'Model inputs'!AJ60,0)</f>
        <v>100000</v>
      </c>
      <c r="AB441" s="9">
        <f>IF(IF(IF(ISERROR('Model inputs'!AB186&gt;='Model inputs'!AJ62),'Model inputs'!AB186&gt;='Model inputs'!AJ62,IF(OR('Model inputs'!AB186="",'Model inputs'!AJ62=""),"",'Model inputs'!AB186&gt;='Model inputs'!AJ62))="",FALSE,IF(ISERROR('Model inputs'!AB186&gt;='Model inputs'!AJ62),'Model inputs'!AB186&gt;='Model inputs'!AJ62,IF(OR('Model inputs'!AB186="",'Model inputs'!AJ62=""),"",'Model inputs'!AB186&gt;='Model inputs'!AJ62))),'Model inputs'!AJ61*'Model inputs'!AJ60,0)</f>
        <v>100000</v>
      </c>
      <c r="AC441" s="9">
        <f>IF(IF(IF(ISERROR('Model inputs'!AC186&gt;='Model inputs'!AJ62),'Model inputs'!AC186&gt;='Model inputs'!AJ62,IF(OR('Model inputs'!AC186="",'Model inputs'!AJ62=""),"",'Model inputs'!AC186&gt;='Model inputs'!AJ62))="",FALSE,IF(ISERROR('Model inputs'!AC186&gt;='Model inputs'!AJ62),'Model inputs'!AC186&gt;='Model inputs'!AJ62,IF(OR('Model inputs'!AC186="",'Model inputs'!AJ62=""),"",'Model inputs'!AC186&gt;='Model inputs'!AJ62))),'Model inputs'!AJ61*'Model inputs'!AJ60,0)</f>
        <v>100000</v>
      </c>
      <c r="AD441" s="9">
        <f>IF(IF(IF(ISERROR('Model inputs'!AD186&gt;='Model inputs'!AJ62),'Model inputs'!AD186&gt;='Model inputs'!AJ62,IF(OR('Model inputs'!AD186="",'Model inputs'!AJ62=""),"",'Model inputs'!AD186&gt;='Model inputs'!AJ62))="",FALSE,IF(ISERROR('Model inputs'!AD186&gt;='Model inputs'!AJ62),'Model inputs'!AD186&gt;='Model inputs'!AJ62,IF(OR('Model inputs'!AD186="",'Model inputs'!AJ62=""),"",'Model inputs'!AD186&gt;='Model inputs'!AJ62))),'Model inputs'!AJ61*'Model inputs'!AJ60,0)</f>
        <v>100000</v>
      </c>
      <c r="AE441" s="9">
        <f>IF(IF(IF(ISERROR('Model inputs'!AE186&gt;='Model inputs'!AJ62),'Model inputs'!AE186&gt;='Model inputs'!AJ62,IF(OR('Model inputs'!AE186="",'Model inputs'!AJ62=""),"",'Model inputs'!AE186&gt;='Model inputs'!AJ62))="",FALSE,IF(ISERROR('Model inputs'!AE186&gt;='Model inputs'!AJ62),'Model inputs'!AE186&gt;='Model inputs'!AJ62,IF(OR('Model inputs'!AE186="",'Model inputs'!AJ62=""),"",'Model inputs'!AE186&gt;='Model inputs'!AJ62))),'Model inputs'!AJ61*'Model inputs'!AJ60,0)</f>
        <v>100000</v>
      </c>
      <c r="AF441" s="9">
        <f>IF(IF(IF(ISERROR('Model inputs'!AF186&gt;='Model inputs'!AJ62),'Model inputs'!AF186&gt;='Model inputs'!AJ62,IF(OR('Model inputs'!AF186="",'Model inputs'!AJ62=""),"",'Model inputs'!AF186&gt;='Model inputs'!AJ62))="",FALSE,IF(ISERROR('Model inputs'!AF186&gt;='Model inputs'!AJ62),'Model inputs'!AF186&gt;='Model inputs'!AJ62,IF(OR('Model inputs'!AF186="",'Model inputs'!AJ62=""),"",'Model inputs'!AF186&gt;='Model inputs'!AJ62))),'Model inputs'!AJ61*'Model inputs'!AJ60,0)</f>
        <v>100000</v>
      </c>
      <c r="AG441" s="9">
        <f>IF(IF(IF(ISERROR('Model inputs'!AG186&gt;='Model inputs'!AJ62),'Model inputs'!AG186&gt;='Model inputs'!AJ62,IF(OR('Model inputs'!AG186="",'Model inputs'!AJ62=""),"",'Model inputs'!AG186&gt;='Model inputs'!AJ62))="",FALSE,IF(ISERROR('Model inputs'!AG186&gt;='Model inputs'!AJ62),'Model inputs'!AG186&gt;='Model inputs'!AJ62,IF(OR('Model inputs'!AG186="",'Model inputs'!AJ62=""),"",'Model inputs'!AG186&gt;='Model inputs'!AJ62))),'Model inputs'!AJ61*'Model inputs'!AJ60,0)</f>
        <v>100000</v>
      </c>
      <c r="AH441" s="9">
        <f>IF(IF(IF(ISERROR('Model inputs'!AH186&gt;='Model inputs'!AJ62),'Model inputs'!AH186&gt;='Model inputs'!AJ62,IF(OR('Model inputs'!AH186="",'Model inputs'!AJ62=""),"",'Model inputs'!AH186&gt;='Model inputs'!AJ62))="",FALSE,IF(ISERROR('Model inputs'!AH186&gt;='Model inputs'!AJ62),'Model inputs'!AH186&gt;='Model inputs'!AJ62,IF(OR('Model inputs'!AH186="",'Model inputs'!AJ62=""),"",'Model inputs'!AH186&gt;='Model inputs'!AJ62))),'Model inputs'!AJ61*'Model inputs'!AJ60,0)</f>
        <v>100000</v>
      </c>
      <c r="AI441" s="9">
        <f>IF(IF(IF(ISERROR('Model inputs'!AI186&gt;='Model inputs'!AJ62),'Model inputs'!AI186&gt;='Model inputs'!AJ62,IF(OR('Model inputs'!AI186="",'Model inputs'!AJ62=""),"",'Model inputs'!AI186&gt;='Model inputs'!AJ62))="",FALSE,IF(ISERROR('Model inputs'!AI186&gt;='Model inputs'!AJ62),'Model inputs'!AI186&gt;='Model inputs'!AJ62,IF(OR('Model inputs'!AI186="",'Model inputs'!AJ62=""),"",'Model inputs'!AI186&gt;='Model inputs'!AJ62))),'Model inputs'!AJ61*'Model inputs'!AJ60,0)</f>
        <v>100000</v>
      </c>
    </row>
    <row r="442">
      <c r="A442" t="inlineStr" s="13">
        <is>
          <t xml:space="preserve">Haq Founder payroll · Haq Ending cash · Growth · Growth</t>
        </is>
      </c>
      <c r="B442" s="9">
        <f>IF(IF(IF(ISERROR('Model inputs'!B187&gt;='Model inputs'!AJ118),'Model inputs'!B187&gt;='Model inputs'!AJ118,IF(OR('Model inputs'!B187="",'Model inputs'!AJ118=""),"",'Model inputs'!B187&gt;='Model inputs'!AJ118))="",FALSE,IF(ISERROR('Model inputs'!B187&gt;='Model inputs'!AJ118),'Model inputs'!B187&gt;='Model inputs'!AJ118,IF(OR('Model inputs'!B187="",'Model inputs'!AJ118=""),"",'Model inputs'!B187&gt;='Model inputs'!AJ118))),'Model inputs'!AJ117*'Model inputs'!AJ116,0)</f>
        <v>0</v>
      </c>
      <c r="C442" s="9">
        <f>IF(IF(IF(ISERROR('Model inputs'!C187&gt;='Model inputs'!AJ118),'Model inputs'!C187&gt;='Model inputs'!AJ118,IF(OR('Model inputs'!C187="",'Model inputs'!AJ118=""),"",'Model inputs'!C187&gt;='Model inputs'!AJ118))="",FALSE,IF(ISERROR('Model inputs'!C187&gt;='Model inputs'!AJ118),'Model inputs'!C187&gt;='Model inputs'!AJ118,IF(OR('Model inputs'!C187="",'Model inputs'!AJ118=""),"",'Model inputs'!C187&gt;='Model inputs'!AJ118))),'Model inputs'!AJ117*'Model inputs'!AJ116,0)</f>
        <v>0</v>
      </c>
      <c r="D442" s="9">
        <f>IF(IF(IF(ISERROR('Model inputs'!D187&gt;='Model inputs'!AJ118),'Model inputs'!D187&gt;='Model inputs'!AJ118,IF(OR('Model inputs'!D187="",'Model inputs'!AJ118=""),"",'Model inputs'!D187&gt;='Model inputs'!AJ118))="",FALSE,IF(ISERROR('Model inputs'!D187&gt;='Model inputs'!AJ118),'Model inputs'!D187&gt;='Model inputs'!AJ118,IF(OR('Model inputs'!D187="",'Model inputs'!AJ118=""),"",'Model inputs'!D187&gt;='Model inputs'!AJ118))),'Model inputs'!AJ117*'Model inputs'!AJ116,0)</f>
        <v>0</v>
      </c>
      <c r="E442" s="9">
        <f>IF(IF(IF(ISERROR('Model inputs'!E187&gt;='Model inputs'!AJ118),'Model inputs'!E187&gt;='Model inputs'!AJ118,IF(OR('Model inputs'!E187="",'Model inputs'!AJ118=""),"",'Model inputs'!E187&gt;='Model inputs'!AJ118))="",FALSE,IF(ISERROR('Model inputs'!E187&gt;='Model inputs'!AJ118),'Model inputs'!E187&gt;='Model inputs'!AJ118,IF(OR('Model inputs'!E187="",'Model inputs'!AJ118=""),"",'Model inputs'!E187&gt;='Model inputs'!AJ118))),'Model inputs'!AJ117*'Model inputs'!AJ116,0)</f>
        <v>0</v>
      </c>
      <c r="F442" s="9">
        <f>IF(IF(IF(ISERROR('Model inputs'!F187&gt;='Model inputs'!AJ118),'Model inputs'!F187&gt;='Model inputs'!AJ118,IF(OR('Model inputs'!F187="",'Model inputs'!AJ118=""),"",'Model inputs'!F187&gt;='Model inputs'!AJ118))="",FALSE,IF(ISERROR('Model inputs'!F187&gt;='Model inputs'!AJ118),'Model inputs'!F187&gt;='Model inputs'!AJ118,IF(OR('Model inputs'!F187="",'Model inputs'!AJ118=""),"",'Model inputs'!F187&gt;='Model inputs'!AJ118))),'Model inputs'!AJ117*'Model inputs'!AJ116,0)</f>
        <v>0</v>
      </c>
      <c r="G442" s="9">
        <f>IF(IF(IF(ISERROR('Model inputs'!G187&gt;='Model inputs'!AJ118),'Model inputs'!G187&gt;='Model inputs'!AJ118,IF(OR('Model inputs'!G187="",'Model inputs'!AJ118=""),"",'Model inputs'!G187&gt;='Model inputs'!AJ118))="",FALSE,IF(ISERROR('Model inputs'!G187&gt;='Model inputs'!AJ118),'Model inputs'!G187&gt;='Model inputs'!AJ118,IF(OR('Model inputs'!G187="",'Model inputs'!AJ118=""),"",'Model inputs'!G187&gt;='Model inputs'!AJ118))),'Model inputs'!AJ117*'Model inputs'!AJ116,0)</f>
        <v>0</v>
      </c>
      <c r="H442" s="9">
        <f>IF(IF(IF(ISERROR('Model inputs'!H187&gt;='Model inputs'!AJ118),'Model inputs'!H187&gt;='Model inputs'!AJ118,IF(OR('Model inputs'!H187="",'Model inputs'!AJ118=""),"",'Model inputs'!H187&gt;='Model inputs'!AJ118))="",FALSE,IF(ISERROR('Model inputs'!H187&gt;='Model inputs'!AJ118),'Model inputs'!H187&gt;='Model inputs'!AJ118,IF(OR('Model inputs'!H187="",'Model inputs'!AJ118=""),"",'Model inputs'!H187&gt;='Model inputs'!AJ118))),'Model inputs'!AJ117*'Model inputs'!AJ116,0)</f>
        <v>0</v>
      </c>
      <c r="I442" s="9">
        <f>IF(IF(IF(ISERROR('Model inputs'!I187&gt;='Model inputs'!AJ118),'Model inputs'!I187&gt;='Model inputs'!AJ118,IF(OR('Model inputs'!I187="",'Model inputs'!AJ118=""),"",'Model inputs'!I187&gt;='Model inputs'!AJ118))="",FALSE,IF(ISERROR('Model inputs'!I187&gt;='Model inputs'!AJ118),'Model inputs'!I187&gt;='Model inputs'!AJ118,IF(OR('Model inputs'!I187="",'Model inputs'!AJ118=""),"",'Model inputs'!I187&gt;='Model inputs'!AJ118))),'Model inputs'!AJ117*'Model inputs'!AJ116,0)</f>
        <v>0</v>
      </c>
      <c r="J442" s="9">
        <f>IF(IF(IF(ISERROR('Model inputs'!J187&gt;='Model inputs'!AJ118),'Model inputs'!J187&gt;='Model inputs'!AJ118,IF(OR('Model inputs'!J187="",'Model inputs'!AJ118=""),"",'Model inputs'!J187&gt;='Model inputs'!AJ118))="",FALSE,IF(ISERROR('Model inputs'!J187&gt;='Model inputs'!AJ118),'Model inputs'!J187&gt;='Model inputs'!AJ118,IF(OR('Model inputs'!J187="",'Model inputs'!AJ118=""),"",'Model inputs'!J187&gt;='Model inputs'!AJ118))),'Model inputs'!AJ117*'Model inputs'!AJ116,0)</f>
        <v>0</v>
      </c>
      <c r="K442" s="9">
        <f>IF(IF(IF(ISERROR('Model inputs'!K187&gt;='Model inputs'!AJ118),'Model inputs'!K187&gt;='Model inputs'!AJ118,IF(OR('Model inputs'!K187="",'Model inputs'!AJ118=""),"",'Model inputs'!K187&gt;='Model inputs'!AJ118))="",FALSE,IF(ISERROR('Model inputs'!K187&gt;='Model inputs'!AJ118),'Model inputs'!K187&gt;='Model inputs'!AJ118,IF(OR('Model inputs'!K187="",'Model inputs'!AJ118=""),"",'Model inputs'!K187&gt;='Model inputs'!AJ118))),'Model inputs'!AJ117*'Model inputs'!AJ116,0)</f>
        <v>0</v>
      </c>
      <c r="L442" s="9">
        <f>IF(IF(IF(ISERROR('Model inputs'!L187&gt;='Model inputs'!AJ118),'Model inputs'!L187&gt;='Model inputs'!AJ118,IF(OR('Model inputs'!L187="",'Model inputs'!AJ118=""),"",'Model inputs'!L187&gt;='Model inputs'!AJ118))="",FALSE,IF(ISERROR('Model inputs'!L187&gt;='Model inputs'!AJ118),'Model inputs'!L187&gt;='Model inputs'!AJ118,IF(OR('Model inputs'!L187="",'Model inputs'!AJ118=""),"",'Model inputs'!L187&gt;='Model inputs'!AJ118))),'Model inputs'!AJ117*'Model inputs'!AJ116,0)</f>
        <v>0</v>
      </c>
      <c r="M442" s="9">
        <f>IF(IF(IF(ISERROR('Model inputs'!M187&gt;='Model inputs'!AJ118),'Model inputs'!M187&gt;='Model inputs'!AJ118,IF(OR('Model inputs'!M187="",'Model inputs'!AJ118=""),"",'Model inputs'!M187&gt;='Model inputs'!AJ118))="",FALSE,IF(ISERROR('Model inputs'!M187&gt;='Model inputs'!AJ118),'Model inputs'!M187&gt;='Model inputs'!AJ118,IF(OR('Model inputs'!M187="",'Model inputs'!AJ118=""),"",'Model inputs'!M187&gt;='Model inputs'!AJ118))),'Model inputs'!AJ117*'Model inputs'!AJ116,0)</f>
        <v>0</v>
      </c>
      <c r="N442" s="9">
        <f>IF(IF(IF(ISERROR('Model inputs'!N187&gt;='Model inputs'!AJ118),'Model inputs'!N187&gt;='Model inputs'!AJ118,IF(OR('Model inputs'!N187="",'Model inputs'!AJ118=""),"",'Model inputs'!N187&gt;='Model inputs'!AJ118))="",FALSE,IF(ISERROR('Model inputs'!N187&gt;='Model inputs'!AJ118),'Model inputs'!N187&gt;='Model inputs'!AJ118,IF(OR('Model inputs'!N187="",'Model inputs'!AJ118=""),"",'Model inputs'!N187&gt;='Model inputs'!AJ118))),'Model inputs'!AJ117*'Model inputs'!AJ116,0)</f>
        <v>0</v>
      </c>
      <c r="O442" s="9">
        <f>IF(IF(IF(ISERROR('Model inputs'!O187&gt;='Model inputs'!AJ118),'Model inputs'!O187&gt;='Model inputs'!AJ118,IF(OR('Model inputs'!O187="",'Model inputs'!AJ118=""),"",'Model inputs'!O187&gt;='Model inputs'!AJ118))="",FALSE,IF(ISERROR('Model inputs'!O187&gt;='Model inputs'!AJ118),'Model inputs'!O187&gt;='Model inputs'!AJ118,IF(OR('Model inputs'!O187="",'Model inputs'!AJ118=""),"",'Model inputs'!O187&gt;='Model inputs'!AJ118))),'Model inputs'!AJ117*'Model inputs'!AJ116,0)</f>
        <v>0</v>
      </c>
      <c r="P442" s="9">
        <f>IF(IF(IF(ISERROR('Model inputs'!P187&gt;='Model inputs'!AJ118),'Model inputs'!P187&gt;='Model inputs'!AJ118,IF(OR('Model inputs'!P187="",'Model inputs'!AJ118=""),"",'Model inputs'!P187&gt;='Model inputs'!AJ118))="",FALSE,IF(ISERROR('Model inputs'!P187&gt;='Model inputs'!AJ118),'Model inputs'!P187&gt;='Model inputs'!AJ118,IF(OR('Model inputs'!P187="",'Model inputs'!AJ118=""),"",'Model inputs'!P187&gt;='Model inputs'!AJ118))),'Model inputs'!AJ117*'Model inputs'!AJ116,0)</f>
        <v>0</v>
      </c>
      <c r="Q442" s="9">
        <f>IF(IF(IF(ISERROR('Model inputs'!Q187&gt;='Model inputs'!AJ118),'Model inputs'!Q187&gt;='Model inputs'!AJ118,IF(OR('Model inputs'!Q187="",'Model inputs'!AJ118=""),"",'Model inputs'!Q187&gt;='Model inputs'!AJ118))="",FALSE,IF(ISERROR('Model inputs'!Q187&gt;='Model inputs'!AJ118),'Model inputs'!Q187&gt;='Model inputs'!AJ118,IF(OR('Model inputs'!Q187="",'Model inputs'!AJ118=""),"",'Model inputs'!Q187&gt;='Model inputs'!AJ118))),'Model inputs'!AJ117*'Model inputs'!AJ116,0)</f>
        <v>0</v>
      </c>
      <c r="R442" s="9">
        <f>IF(IF(IF(ISERROR('Model inputs'!R187&gt;='Model inputs'!AJ118),'Model inputs'!R187&gt;='Model inputs'!AJ118,IF(OR('Model inputs'!R187="",'Model inputs'!AJ118=""),"",'Model inputs'!R187&gt;='Model inputs'!AJ118))="",FALSE,IF(ISERROR('Model inputs'!R187&gt;='Model inputs'!AJ118),'Model inputs'!R187&gt;='Model inputs'!AJ118,IF(OR('Model inputs'!R187="",'Model inputs'!AJ118=""),"",'Model inputs'!R187&gt;='Model inputs'!AJ118))),'Model inputs'!AJ117*'Model inputs'!AJ116,0)</f>
        <v>100000</v>
      </c>
      <c r="S442" s="9">
        <f>IF(IF(IF(ISERROR('Model inputs'!S187&gt;='Model inputs'!AJ118),'Model inputs'!S187&gt;='Model inputs'!AJ118,IF(OR('Model inputs'!S187="",'Model inputs'!AJ118=""),"",'Model inputs'!S187&gt;='Model inputs'!AJ118))="",FALSE,IF(ISERROR('Model inputs'!S187&gt;='Model inputs'!AJ118),'Model inputs'!S187&gt;='Model inputs'!AJ118,IF(OR('Model inputs'!S187="",'Model inputs'!AJ118=""),"",'Model inputs'!S187&gt;='Model inputs'!AJ118))),'Model inputs'!AJ117*'Model inputs'!AJ116,0)</f>
        <v>100000</v>
      </c>
      <c r="T442" s="9">
        <f>IF(IF(IF(ISERROR('Model inputs'!T187&gt;='Model inputs'!AJ118),'Model inputs'!T187&gt;='Model inputs'!AJ118,IF(OR('Model inputs'!T187="",'Model inputs'!AJ118=""),"",'Model inputs'!T187&gt;='Model inputs'!AJ118))="",FALSE,IF(ISERROR('Model inputs'!T187&gt;='Model inputs'!AJ118),'Model inputs'!T187&gt;='Model inputs'!AJ118,IF(OR('Model inputs'!T187="",'Model inputs'!AJ118=""),"",'Model inputs'!T187&gt;='Model inputs'!AJ118))),'Model inputs'!AJ117*'Model inputs'!AJ116,0)</f>
        <v>100000</v>
      </c>
      <c r="U442" s="9">
        <f>IF(IF(IF(ISERROR('Model inputs'!U187&gt;='Model inputs'!AJ118),'Model inputs'!U187&gt;='Model inputs'!AJ118,IF(OR('Model inputs'!U187="",'Model inputs'!AJ118=""),"",'Model inputs'!U187&gt;='Model inputs'!AJ118))="",FALSE,IF(ISERROR('Model inputs'!U187&gt;='Model inputs'!AJ118),'Model inputs'!U187&gt;='Model inputs'!AJ118,IF(OR('Model inputs'!U187="",'Model inputs'!AJ118=""),"",'Model inputs'!U187&gt;='Model inputs'!AJ118))),'Model inputs'!AJ117*'Model inputs'!AJ116,0)</f>
        <v>100000</v>
      </c>
      <c r="V442" s="9">
        <f>IF(IF(IF(ISERROR('Model inputs'!V187&gt;='Model inputs'!AJ118),'Model inputs'!V187&gt;='Model inputs'!AJ118,IF(OR('Model inputs'!V187="",'Model inputs'!AJ118=""),"",'Model inputs'!V187&gt;='Model inputs'!AJ118))="",FALSE,IF(ISERROR('Model inputs'!V187&gt;='Model inputs'!AJ118),'Model inputs'!V187&gt;='Model inputs'!AJ118,IF(OR('Model inputs'!V187="",'Model inputs'!AJ118=""),"",'Model inputs'!V187&gt;='Model inputs'!AJ118))),'Model inputs'!AJ117*'Model inputs'!AJ116,0)</f>
        <v>100000</v>
      </c>
      <c r="W442" s="9">
        <f>IF(IF(IF(ISERROR('Model inputs'!W187&gt;='Model inputs'!AJ118),'Model inputs'!W187&gt;='Model inputs'!AJ118,IF(OR('Model inputs'!W187="",'Model inputs'!AJ118=""),"",'Model inputs'!W187&gt;='Model inputs'!AJ118))="",FALSE,IF(ISERROR('Model inputs'!W187&gt;='Model inputs'!AJ118),'Model inputs'!W187&gt;='Model inputs'!AJ118,IF(OR('Model inputs'!W187="",'Model inputs'!AJ118=""),"",'Model inputs'!W187&gt;='Model inputs'!AJ118))),'Model inputs'!AJ117*'Model inputs'!AJ116,0)</f>
        <v>100000</v>
      </c>
      <c r="X442" s="9">
        <f>IF(IF(IF(ISERROR('Model inputs'!X187&gt;='Model inputs'!AJ118),'Model inputs'!X187&gt;='Model inputs'!AJ118,IF(OR('Model inputs'!X187="",'Model inputs'!AJ118=""),"",'Model inputs'!X187&gt;='Model inputs'!AJ118))="",FALSE,IF(ISERROR('Model inputs'!X187&gt;='Model inputs'!AJ118),'Model inputs'!X187&gt;='Model inputs'!AJ118,IF(OR('Model inputs'!X187="",'Model inputs'!AJ118=""),"",'Model inputs'!X187&gt;='Model inputs'!AJ118))),'Model inputs'!AJ117*'Model inputs'!AJ116,0)</f>
        <v>100000</v>
      </c>
      <c r="Y442" s="9">
        <f>IF(IF(IF(ISERROR('Model inputs'!Y187&gt;='Model inputs'!AJ118),'Model inputs'!Y187&gt;='Model inputs'!AJ118,IF(OR('Model inputs'!Y187="",'Model inputs'!AJ118=""),"",'Model inputs'!Y187&gt;='Model inputs'!AJ118))="",FALSE,IF(ISERROR('Model inputs'!Y187&gt;='Model inputs'!AJ118),'Model inputs'!Y187&gt;='Model inputs'!AJ118,IF(OR('Model inputs'!Y187="",'Model inputs'!AJ118=""),"",'Model inputs'!Y187&gt;='Model inputs'!AJ118))),'Model inputs'!AJ117*'Model inputs'!AJ116,0)</f>
        <v>100000</v>
      </c>
      <c r="Z442" s="9">
        <f>IF(IF(IF(ISERROR('Model inputs'!Z187&gt;='Model inputs'!AJ118),'Model inputs'!Z187&gt;='Model inputs'!AJ118,IF(OR('Model inputs'!Z187="",'Model inputs'!AJ118=""),"",'Model inputs'!Z187&gt;='Model inputs'!AJ118))="",FALSE,IF(ISERROR('Model inputs'!Z187&gt;='Model inputs'!AJ118),'Model inputs'!Z187&gt;='Model inputs'!AJ118,IF(OR('Model inputs'!Z187="",'Model inputs'!AJ118=""),"",'Model inputs'!Z187&gt;='Model inputs'!AJ118))),'Model inputs'!AJ117*'Model inputs'!AJ116,0)</f>
        <v>100000</v>
      </c>
      <c r="AA442" s="9">
        <f>IF(IF(IF(ISERROR('Model inputs'!AA187&gt;='Model inputs'!AJ118),'Model inputs'!AA187&gt;='Model inputs'!AJ118,IF(OR('Model inputs'!AA187="",'Model inputs'!AJ118=""),"",'Model inputs'!AA187&gt;='Model inputs'!AJ118))="",FALSE,IF(ISERROR('Model inputs'!AA187&gt;='Model inputs'!AJ118),'Model inputs'!AA187&gt;='Model inputs'!AJ118,IF(OR('Model inputs'!AA187="",'Model inputs'!AJ118=""),"",'Model inputs'!AA187&gt;='Model inputs'!AJ118))),'Model inputs'!AJ117*'Model inputs'!AJ116,0)</f>
        <v>100000</v>
      </c>
      <c r="AB442" s="9">
        <f>IF(IF(IF(ISERROR('Model inputs'!AB187&gt;='Model inputs'!AJ118),'Model inputs'!AB187&gt;='Model inputs'!AJ118,IF(OR('Model inputs'!AB187="",'Model inputs'!AJ118=""),"",'Model inputs'!AB187&gt;='Model inputs'!AJ118))="",FALSE,IF(ISERROR('Model inputs'!AB187&gt;='Model inputs'!AJ118),'Model inputs'!AB187&gt;='Model inputs'!AJ118,IF(OR('Model inputs'!AB187="",'Model inputs'!AJ118=""),"",'Model inputs'!AB187&gt;='Model inputs'!AJ118))),'Model inputs'!AJ117*'Model inputs'!AJ116,0)</f>
        <v>100000</v>
      </c>
      <c r="AC442" s="9">
        <f>IF(IF(IF(ISERROR('Model inputs'!AC187&gt;='Model inputs'!AJ118),'Model inputs'!AC187&gt;='Model inputs'!AJ118,IF(OR('Model inputs'!AC187="",'Model inputs'!AJ118=""),"",'Model inputs'!AC187&gt;='Model inputs'!AJ118))="",FALSE,IF(ISERROR('Model inputs'!AC187&gt;='Model inputs'!AJ118),'Model inputs'!AC187&gt;='Model inputs'!AJ118,IF(OR('Model inputs'!AC187="",'Model inputs'!AJ118=""),"",'Model inputs'!AC187&gt;='Model inputs'!AJ118))),'Model inputs'!AJ117*'Model inputs'!AJ116,0)</f>
        <v>100000</v>
      </c>
      <c r="AD442" s="9">
        <f>IF(IF(IF(ISERROR('Model inputs'!AD187&gt;='Model inputs'!AJ118),'Model inputs'!AD187&gt;='Model inputs'!AJ118,IF(OR('Model inputs'!AD187="",'Model inputs'!AJ118=""),"",'Model inputs'!AD187&gt;='Model inputs'!AJ118))="",FALSE,IF(ISERROR('Model inputs'!AD187&gt;='Model inputs'!AJ118),'Model inputs'!AD187&gt;='Model inputs'!AJ118,IF(OR('Model inputs'!AD187="",'Model inputs'!AJ118=""),"",'Model inputs'!AD187&gt;='Model inputs'!AJ118))),'Model inputs'!AJ117*'Model inputs'!AJ116,0)</f>
        <v>100000</v>
      </c>
      <c r="AE442" s="9">
        <f>IF(IF(IF(ISERROR('Model inputs'!AE187&gt;='Model inputs'!AJ118),'Model inputs'!AE187&gt;='Model inputs'!AJ118,IF(OR('Model inputs'!AE187="",'Model inputs'!AJ118=""),"",'Model inputs'!AE187&gt;='Model inputs'!AJ118))="",FALSE,IF(ISERROR('Model inputs'!AE187&gt;='Model inputs'!AJ118),'Model inputs'!AE187&gt;='Model inputs'!AJ118,IF(OR('Model inputs'!AE187="",'Model inputs'!AJ118=""),"",'Model inputs'!AE187&gt;='Model inputs'!AJ118))),'Model inputs'!AJ117*'Model inputs'!AJ116,0)</f>
        <v>100000</v>
      </c>
      <c r="AF442" s="9">
        <f>IF(IF(IF(ISERROR('Model inputs'!AF187&gt;='Model inputs'!AJ118),'Model inputs'!AF187&gt;='Model inputs'!AJ118,IF(OR('Model inputs'!AF187="",'Model inputs'!AJ118=""),"",'Model inputs'!AF187&gt;='Model inputs'!AJ118))="",FALSE,IF(ISERROR('Model inputs'!AF187&gt;='Model inputs'!AJ118),'Model inputs'!AF187&gt;='Model inputs'!AJ118,IF(OR('Model inputs'!AF187="",'Model inputs'!AJ118=""),"",'Model inputs'!AF187&gt;='Model inputs'!AJ118))),'Model inputs'!AJ117*'Model inputs'!AJ116,0)</f>
        <v>100000</v>
      </c>
      <c r="AG442" s="9">
        <f>IF(IF(IF(ISERROR('Model inputs'!AG187&gt;='Model inputs'!AJ118),'Model inputs'!AG187&gt;='Model inputs'!AJ118,IF(OR('Model inputs'!AG187="",'Model inputs'!AJ118=""),"",'Model inputs'!AG187&gt;='Model inputs'!AJ118))="",FALSE,IF(ISERROR('Model inputs'!AG187&gt;='Model inputs'!AJ118),'Model inputs'!AG187&gt;='Model inputs'!AJ118,IF(OR('Model inputs'!AG187="",'Model inputs'!AJ118=""),"",'Model inputs'!AG187&gt;='Model inputs'!AJ118))),'Model inputs'!AJ117*'Model inputs'!AJ116,0)</f>
        <v>100000</v>
      </c>
      <c r="AH442" s="9">
        <f>IF(IF(IF(ISERROR('Model inputs'!AH187&gt;='Model inputs'!AJ118),'Model inputs'!AH187&gt;='Model inputs'!AJ118,IF(OR('Model inputs'!AH187="",'Model inputs'!AJ118=""),"",'Model inputs'!AH187&gt;='Model inputs'!AJ118))="",FALSE,IF(ISERROR('Model inputs'!AH187&gt;='Model inputs'!AJ118),'Model inputs'!AH187&gt;='Model inputs'!AJ118,IF(OR('Model inputs'!AH187="",'Model inputs'!AJ118=""),"",'Model inputs'!AH187&gt;='Model inputs'!AJ118))),'Model inputs'!AJ117*'Model inputs'!AJ116,0)</f>
        <v>100000</v>
      </c>
      <c r="AI442" s="9">
        <f>IF(IF(IF(ISERROR('Model inputs'!AI187&gt;='Model inputs'!AJ118),'Model inputs'!AI187&gt;='Model inputs'!AJ118,IF(OR('Model inputs'!AI187="",'Model inputs'!AJ118=""),"",'Model inputs'!AI187&gt;='Model inputs'!AJ118))="",FALSE,IF(ISERROR('Model inputs'!AI187&gt;='Model inputs'!AJ118),'Model inputs'!AI187&gt;='Model inputs'!AJ118,IF(OR('Model inputs'!AI187="",'Model inputs'!AJ118=""),"",'Model inputs'!AI187&gt;='Model inputs'!AJ118))),'Model inputs'!AJ117*'Model inputs'!AJ116,0)</f>
        <v>100000</v>
      </c>
    </row>
    <row r="443">
      <c r="A443" t="inlineStr" s="13">
        <is>
          <t xml:space="preserve">Haq Founder payroll · Haq Ending cash · Conservative · Conservative</t>
        </is>
      </c>
      <c r="B443" s="9">
        <f>IF(IF(IF(ISERROR('Model inputs'!B188&gt;='Model inputs'!AJ174),'Model inputs'!B188&gt;='Model inputs'!AJ174,IF(OR('Model inputs'!B188="",'Model inputs'!AJ174=""),"",'Model inputs'!B188&gt;='Model inputs'!AJ174))="",FALSE,IF(ISERROR('Model inputs'!B188&gt;='Model inputs'!AJ174),'Model inputs'!B188&gt;='Model inputs'!AJ174,IF(OR('Model inputs'!B188="",'Model inputs'!AJ174=""),"",'Model inputs'!B188&gt;='Model inputs'!AJ174))),'Model inputs'!AJ173*'Model inputs'!AJ172,0)</f>
        <v>0</v>
      </c>
      <c r="C443" s="9">
        <f>IF(IF(IF(ISERROR('Model inputs'!C188&gt;='Model inputs'!AJ174),'Model inputs'!C188&gt;='Model inputs'!AJ174,IF(OR('Model inputs'!C188="",'Model inputs'!AJ174=""),"",'Model inputs'!C188&gt;='Model inputs'!AJ174))="",FALSE,IF(ISERROR('Model inputs'!C188&gt;='Model inputs'!AJ174),'Model inputs'!C188&gt;='Model inputs'!AJ174,IF(OR('Model inputs'!C188="",'Model inputs'!AJ174=""),"",'Model inputs'!C188&gt;='Model inputs'!AJ174))),'Model inputs'!AJ173*'Model inputs'!AJ172,0)</f>
        <v>0</v>
      </c>
      <c r="D443" s="9">
        <f>IF(IF(IF(ISERROR('Model inputs'!D188&gt;='Model inputs'!AJ174),'Model inputs'!D188&gt;='Model inputs'!AJ174,IF(OR('Model inputs'!D188="",'Model inputs'!AJ174=""),"",'Model inputs'!D188&gt;='Model inputs'!AJ174))="",FALSE,IF(ISERROR('Model inputs'!D188&gt;='Model inputs'!AJ174),'Model inputs'!D188&gt;='Model inputs'!AJ174,IF(OR('Model inputs'!D188="",'Model inputs'!AJ174=""),"",'Model inputs'!D188&gt;='Model inputs'!AJ174))),'Model inputs'!AJ173*'Model inputs'!AJ172,0)</f>
        <v>0</v>
      </c>
      <c r="E443" s="9">
        <f>IF(IF(IF(ISERROR('Model inputs'!E188&gt;='Model inputs'!AJ174),'Model inputs'!E188&gt;='Model inputs'!AJ174,IF(OR('Model inputs'!E188="",'Model inputs'!AJ174=""),"",'Model inputs'!E188&gt;='Model inputs'!AJ174))="",FALSE,IF(ISERROR('Model inputs'!E188&gt;='Model inputs'!AJ174),'Model inputs'!E188&gt;='Model inputs'!AJ174,IF(OR('Model inputs'!E188="",'Model inputs'!AJ174=""),"",'Model inputs'!E188&gt;='Model inputs'!AJ174))),'Model inputs'!AJ173*'Model inputs'!AJ172,0)</f>
        <v>0</v>
      </c>
      <c r="F443" s="9">
        <f>IF(IF(IF(ISERROR('Model inputs'!F188&gt;='Model inputs'!AJ174),'Model inputs'!F188&gt;='Model inputs'!AJ174,IF(OR('Model inputs'!F188="",'Model inputs'!AJ174=""),"",'Model inputs'!F188&gt;='Model inputs'!AJ174))="",FALSE,IF(ISERROR('Model inputs'!F188&gt;='Model inputs'!AJ174),'Model inputs'!F188&gt;='Model inputs'!AJ174,IF(OR('Model inputs'!F188="",'Model inputs'!AJ174=""),"",'Model inputs'!F188&gt;='Model inputs'!AJ174))),'Model inputs'!AJ173*'Model inputs'!AJ172,0)</f>
        <v>0</v>
      </c>
      <c r="G443" s="9">
        <f>IF(IF(IF(ISERROR('Model inputs'!G188&gt;='Model inputs'!AJ174),'Model inputs'!G188&gt;='Model inputs'!AJ174,IF(OR('Model inputs'!G188="",'Model inputs'!AJ174=""),"",'Model inputs'!G188&gt;='Model inputs'!AJ174))="",FALSE,IF(ISERROR('Model inputs'!G188&gt;='Model inputs'!AJ174),'Model inputs'!G188&gt;='Model inputs'!AJ174,IF(OR('Model inputs'!G188="",'Model inputs'!AJ174=""),"",'Model inputs'!G188&gt;='Model inputs'!AJ174))),'Model inputs'!AJ173*'Model inputs'!AJ172,0)</f>
        <v>0</v>
      </c>
      <c r="H443" s="9">
        <f>IF(IF(IF(ISERROR('Model inputs'!H188&gt;='Model inputs'!AJ174),'Model inputs'!H188&gt;='Model inputs'!AJ174,IF(OR('Model inputs'!H188="",'Model inputs'!AJ174=""),"",'Model inputs'!H188&gt;='Model inputs'!AJ174))="",FALSE,IF(ISERROR('Model inputs'!H188&gt;='Model inputs'!AJ174),'Model inputs'!H188&gt;='Model inputs'!AJ174,IF(OR('Model inputs'!H188="",'Model inputs'!AJ174=""),"",'Model inputs'!H188&gt;='Model inputs'!AJ174))),'Model inputs'!AJ173*'Model inputs'!AJ172,0)</f>
        <v>0</v>
      </c>
      <c r="I443" s="9">
        <f>IF(IF(IF(ISERROR('Model inputs'!I188&gt;='Model inputs'!AJ174),'Model inputs'!I188&gt;='Model inputs'!AJ174,IF(OR('Model inputs'!I188="",'Model inputs'!AJ174=""),"",'Model inputs'!I188&gt;='Model inputs'!AJ174))="",FALSE,IF(ISERROR('Model inputs'!I188&gt;='Model inputs'!AJ174),'Model inputs'!I188&gt;='Model inputs'!AJ174,IF(OR('Model inputs'!I188="",'Model inputs'!AJ174=""),"",'Model inputs'!I188&gt;='Model inputs'!AJ174))),'Model inputs'!AJ173*'Model inputs'!AJ172,0)</f>
        <v>0</v>
      </c>
      <c r="J443" s="9">
        <f>IF(IF(IF(ISERROR('Model inputs'!J188&gt;='Model inputs'!AJ174),'Model inputs'!J188&gt;='Model inputs'!AJ174,IF(OR('Model inputs'!J188="",'Model inputs'!AJ174=""),"",'Model inputs'!J188&gt;='Model inputs'!AJ174))="",FALSE,IF(ISERROR('Model inputs'!J188&gt;='Model inputs'!AJ174),'Model inputs'!J188&gt;='Model inputs'!AJ174,IF(OR('Model inputs'!J188="",'Model inputs'!AJ174=""),"",'Model inputs'!J188&gt;='Model inputs'!AJ174))),'Model inputs'!AJ173*'Model inputs'!AJ172,0)</f>
        <v>0</v>
      </c>
      <c r="K443" s="9">
        <f>IF(IF(IF(ISERROR('Model inputs'!K188&gt;='Model inputs'!AJ174),'Model inputs'!K188&gt;='Model inputs'!AJ174,IF(OR('Model inputs'!K188="",'Model inputs'!AJ174=""),"",'Model inputs'!K188&gt;='Model inputs'!AJ174))="",FALSE,IF(ISERROR('Model inputs'!K188&gt;='Model inputs'!AJ174),'Model inputs'!K188&gt;='Model inputs'!AJ174,IF(OR('Model inputs'!K188="",'Model inputs'!AJ174=""),"",'Model inputs'!K188&gt;='Model inputs'!AJ174))),'Model inputs'!AJ173*'Model inputs'!AJ172,0)</f>
        <v>0</v>
      </c>
      <c r="L443" s="9">
        <f>IF(IF(IF(ISERROR('Model inputs'!L188&gt;='Model inputs'!AJ174),'Model inputs'!L188&gt;='Model inputs'!AJ174,IF(OR('Model inputs'!L188="",'Model inputs'!AJ174=""),"",'Model inputs'!L188&gt;='Model inputs'!AJ174))="",FALSE,IF(ISERROR('Model inputs'!L188&gt;='Model inputs'!AJ174),'Model inputs'!L188&gt;='Model inputs'!AJ174,IF(OR('Model inputs'!L188="",'Model inputs'!AJ174=""),"",'Model inputs'!L188&gt;='Model inputs'!AJ174))),'Model inputs'!AJ173*'Model inputs'!AJ172,0)</f>
        <v>0</v>
      </c>
      <c r="M443" s="9">
        <f>IF(IF(IF(ISERROR('Model inputs'!M188&gt;='Model inputs'!AJ174),'Model inputs'!M188&gt;='Model inputs'!AJ174,IF(OR('Model inputs'!M188="",'Model inputs'!AJ174=""),"",'Model inputs'!M188&gt;='Model inputs'!AJ174))="",FALSE,IF(ISERROR('Model inputs'!M188&gt;='Model inputs'!AJ174),'Model inputs'!M188&gt;='Model inputs'!AJ174,IF(OR('Model inputs'!M188="",'Model inputs'!AJ174=""),"",'Model inputs'!M188&gt;='Model inputs'!AJ174))),'Model inputs'!AJ173*'Model inputs'!AJ172,0)</f>
        <v>0</v>
      </c>
      <c r="N443" s="9">
        <f>IF(IF(IF(ISERROR('Model inputs'!N188&gt;='Model inputs'!AJ174),'Model inputs'!N188&gt;='Model inputs'!AJ174,IF(OR('Model inputs'!N188="",'Model inputs'!AJ174=""),"",'Model inputs'!N188&gt;='Model inputs'!AJ174))="",FALSE,IF(ISERROR('Model inputs'!N188&gt;='Model inputs'!AJ174),'Model inputs'!N188&gt;='Model inputs'!AJ174,IF(OR('Model inputs'!N188="",'Model inputs'!AJ174=""),"",'Model inputs'!N188&gt;='Model inputs'!AJ174))),'Model inputs'!AJ173*'Model inputs'!AJ172,0)</f>
        <v>0</v>
      </c>
      <c r="O443" s="9">
        <f>IF(IF(IF(ISERROR('Model inputs'!O188&gt;='Model inputs'!AJ174),'Model inputs'!O188&gt;='Model inputs'!AJ174,IF(OR('Model inputs'!O188="",'Model inputs'!AJ174=""),"",'Model inputs'!O188&gt;='Model inputs'!AJ174))="",FALSE,IF(ISERROR('Model inputs'!O188&gt;='Model inputs'!AJ174),'Model inputs'!O188&gt;='Model inputs'!AJ174,IF(OR('Model inputs'!O188="",'Model inputs'!AJ174=""),"",'Model inputs'!O188&gt;='Model inputs'!AJ174))),'Model inputs'!AJ173*'Model inputs'!AJ172,0)</f>
        <v>0</v>
      </c>
      <c r="P443" s="9">
        <f>IF(IF(IF(ISERROR('Model inputs'!P188&gt;='Model inputs'!AJ174),'Model inputs'!P188&gt;='Model inputs'!AJ174,IF(OR('Model inputs'!P188="",'Model inputs'!AJ174=""),"",'Model inputs'!P188&gt;='Model inputs'!AJ174))="",FALSE,IF(ISERROR('Model inputs'!P188&gt;='Model inputs'!AJ174),'Model inputs'!P188&gt;='Model inputs'!AJ174,IF(OR('Model inputs'!P188="",'Model inputs'!AJ174=""),"",'Model inputs'!P188&gt;='Model inputs'!AJ174))),'Model inputs'!AJ173*'Model inputs'!AJ172,0)</f>
        <v>0</v>
      </c>
      <c r="Q443" s="9">
        <f>IF(IF(IF(ISERROR('Model inputs'!Q188&gt;='Model inputs'!AJ174),'Model inputs'!Q188&gt;='Model inputs'!AJ174,IF(OR('Model inputs'!Q188="",'Model inputs'!AJ174=""),"",'Model inputs'!Q188&gt;='Model inputs'!AJ174))="",FALSE,IF(ISERROR('Model inputs'!Q188&gt;='Model inputs'!AJ174),'Model inputs'!Q188&gt;='Model inputs'!AJ174,IF(OR('Model inputs'!Q188="",'Model inputs'!AJ174=""),"",'Model inputs'!Q188&gt;='Model inputs'!AJ174))),'Model inputs'!AJ173*'Model inputs'!AJ172,0)</f>
        <v>0</v>
      </c>
      <c r="R443" s="9">
        <f>IF(IF(IF(ISERROR('Model inputs'!R188&gt;='Model inputs'!AJ174),'Model inputs'!R188&gt;='Model inputs'!AJ174,IF(OR('Model inputs'!R188="",'Model inputs'!AJ174=""),"",'Model inputs'!R188&gt;='Model inputs'!AJ174))="",FALSE,IF(ISERROR('Model inputs'!R188&gt;='Model inputs'!AJ174),'Model inputs'!R188&gt;='Model inputs'!AJ174,IF(OR('Model inputs'!R188="",'Model inputs'!AJ174=""),"",'Model inputs'!R188&gt;='Model inputs'!AJ174))),'Model inputs'!AJ173*'Model inputs'!AJ172,0)</f>
        <v>100000</v>
      </c>
      <c r="S443" s="9">
        <f>IF(IF(IF(ISERROR('Model inputs'!S188&gt;='Model inputs'!AJ174),'Model inputs'!S188&gt;='Model inputs'!AJ174,IF(OR('Model inputs'!S188="",'Model inputs'!AJ174=""),"",'Model inputs'!S188&gt;='Model inputs'!AJ174))="",FALSE,IF(ISERROR('Model inputs'!S188&gt;='Model inputs'!AJ174),'Model inputs'!S188&gt;='Model inputs'!AJ174,IF(OR('Model inputs'!S188="",'Model inputs'!AJ174=""),"",'Model inputs'!S188&gt;='Model inputs'!AJ174))),'Model inputs'!AJ173*'Model inputs'!AJ172,0)</f>
        <v>100000</v>
      </c>
      <c r="T443" s="9">
        <f>IF(IF(IF(ISERROR('Model inputs'!T188&gt;='Model inputs'!AJ174),'Model inputs'!T188&gt;='Model inputs'!AJ174,IF(OR('Model inputs'!T188="",'Model inputs'!AJ174=""),"",'Model inputs'!T188&gt;='Model inputs'!AJ174))="",FALSE,IF(ISERROR('Model inputs'!T188&gt;='Model inputs'!AJ174),'Model inputs'!T188&gt;='Model inputs'!AJ174,IF(OR('Model inputs'!T188="",'Model inputs'!AJ174=""),"",'Model inputs'!T188&gt;='Model inputs'!AJ174))),'Model inputs'!AJ173*'Model inputs'!AJ172,0)</f>
        <v>100000</v>
      </c>
      <c r="U443" s="9">
        <f>IF(IF(IF(ISERROR('Model inputs'!U188&gt;='Model inputs'!AJ174),'Model inputs'!U188&gt;='Model inputs'!AJ174,IF(OR('Model inputs'!U188="",'Model inputs'!AJ174=""),"",'Model inputs'!U188&gt;='Model inputs'!AJ174))="",FALSE,IF(ISERROR('Model inputs'!U188&gt;='Model inputs'!AJ174),'Model inputs'!U188&gt;='Model inputs'!AJ174,IF(OR('Model inputs'!U188="",'Model inputs'!AJ174=""),"",'Model inputs'!U188&gt;='Model inputs'!AJ174))),'Model inputs'!AJ173*'Model inputs'!AJ172,0)</f>
        <v>100000</v>
      </c>
      <c r="V443" s="9">
        <f>IF(IF(IF(ISERROR('Model inputs'!V188&gt;='Model inputs'!AJ174),'Model inputs'!V188&gt;='Model inputs'!AJ174,IF(OR('Model inputs'!V188="",'Model inputs'!AJ174=""),"",'Model inputs'!V188&gt;='Model inputs'!AJ174))="",FALSE,IF(ISERROR('Model inputs'!V188&gt;='Model inputs'!AJ174),'Model inputs'!V188&gt;='Model inputs'!AJ174,IF(OR('Model inputs'!V188="",'Model inputs'!AJ174=""),"",'Model inputs'!V188&gt;='Model inputs'!AJ174))),'Model inputs'!AJ173*'Model inputs'!AJ172,0)</f>
        <v>100000</v>
      </c>
      <c r="W443" s="9">
        <f>IF(IF(IF(ISERROR('Model inputs'!W188&gt;='Model inputs'!AJ174),'Model inputs'!W188&gt;='Model inputs'!AJ174,IF(OR('Model inputs'!W188="",'Model inputs'!AJ174=""),"",'Model inputs'!W188&gt;='Model inputs'!AJ174))="",FALSE,IF(ISERROR('Model inputs'!W188&gt;='Model inputs'!AJ174),'Model inputs'!W188&gt;='Model inputs'!AJ174,IF(OR('Model inputs'!W188="",'Model inputs'!AJ174=""),"",'Model inputs'!W188&gt;='Model inputs'!AJ174))),'Model inputs'!AJ173*'Model inputs'!AJ172,0)</f>
        <v>100000</v>
      </c>
      <c r="X443" s="9">
        <f>IF(IF(IF(ISERROR('Model inputs'!X188&gt;='Model inputs'!AJ174),'Model inputs'!X188&gt;='Model inputs'!AJ174,IF(OR('Model inputs'!X188="",'Model inputs'!AJ174=""),"",'Model inputs'!X188&gt;='Model inputs'!AJ174))="",FALSE,IF(ISERROR('Model inputs'!X188&gt;='Model inputs'!AJ174),'Model inputs'!X188&gt;='Model inputs'!AJ174,IF(OR('Model inputs'!X188="",'Model inputs'!AJ174=""),"",'Model inputs'!X188&gt;='Model inputs'!AJ174))),'Model inputs'!AJ173*'Model inputs'!AJ172,0)</f>
        <v>100000</v>
      </c>
      <c r="Y443" s="9">
        <f>IF(IF(IF(ISERROR('Model inputs'!Y188&gt;='Model inputs'!AJ174),'Model inputs'!Y188&gt;='Model inputs'!AJ174,IF(OR('Model inputs'!Y188="",'Model inputs'!AJ174=""),"",'Model inputs'!Y188&gt;='Model inputs'!AJ174))="",FALSE,IF(ISERROR('Model inputs'!Y188&gt;='Model inputs'!AJ174),'Model inputs'!Y188&gt;='Model inputs'!AJ174,IF(OR('Model inputs'!Y188="",'Model inputs'!AJ174=""),"",'Model inputs'!Y188&gt;='Model inputs'!AJ174))),'Model inputs'!AJ173*'Model inputs'!AJ172,0)</f>
        <v>100000</v>
      </c>
      <c r="Z443" s="9">
        <f>IF(IF(IF(ISERROR('Model inputs'!Z188&gt;='Model inputs'!AJ174),'Model inputs'!Z188&gt;='Model inputs'!AJ174,IF(OR('Model inputs'!Z188="",'Model inputs'!AJ174=""),"",'Model inputs'!Z188&gt;='Model inputs'!AJ174))="",FALSE,IF(ISERROR('Model inputs'!Z188&gt;='Model inputs'!AJ174),'Model inputs'!Z188&gt;='Model inputs'!AJ174,IF(OR('Model inputs'!Z188="",'Model inputs'!AJ174=""),"",'Model inputs'!Z188&gt;='Model inputs'!AJ174))),'Model inputs'!AJ173*'Model inputs'!AJ172,0)</f>
        <v>100000</v>
      </c>
      <c r="AA443" s="9">
        <f>IF(IF(IF(ISERROR('Model inputs'!AA188&gt;='Model inputs'!AJ174),'Model inputs'!AA188&gt;='Model inputs'!AJ174,IF(OR('Model inputs'!AA188="",'Model inputs'!AJ174=""),"",'Model inputs'!AA188&gt;='Model inputs'!AJ174))="",FALSE,IF(ISERROR('Model inputs'!AA188&gt;='Model inputs'!AJ174),'Model inputs'!AA188&gt;='Model inputs'!AJ174,IF(OR('Model inputs'!AA188="",'Model inputs'!AJ174=""),"",'Model inputs'!AA188&gt;='Model inputs'!AJ174))),'Model inputs'!AJ173*'Model inputs'!AJ172,0)</f>
        <v>100000</v>
      </c>
      <c r="AB443" s="9">
        <f>IF(IF(IF(ISERROR('Model inputs'!AB188&gt;='Model inputs'!AJ174),'Model inputs'!AB188&gt;='Model inputs'!AJ174,IF(OR('Model inputs'!AB188="",'Model inputs'!AJ174=""),"",'Model inputs'!AB188&gt;='Model inputs'!AJ174))="",FALSE,IF(ISERROR('Model inputs'!AB188&gt;='Model inputs'!AJ174),'Model inputs'!AB188&gt;='Model inputs'!AJ174,IF(OR('Model inputs'!AB188="",'Model inputs'!AJ174=""),"",'Model inputs'!AB188&gt;='Model inputs'!AJ174))),'Model inputs'!AJ173*'Model inputs'!AJ172,0)</f>
        <v>100000</v>
      </c>
      <c r="AC443" s="9">
        <f>IF(IF(IF(ISERROR('Model inputs'!AC188&gt;='Model inputs'!AJ174),'Model inputs'!AC188&gt;='Model inputs'!AJ174,IF(OR('Model inputs'!AC188="",'Model inputs'!AJ174=""),"",'Model inputs'!AC188&gt;='Model inputs'!AJ174))="",FALSE,IF(ISERROR('Model inputs'!AC188&gt;='Model inputs'!AJ174),'Model inputs'!AC188&gt;='Model inputs'!AJ174,IF(OR('Model inputs'!AC188="",'Model inputs'!AJ174=""),"",'Model inputs'!AC188&gt;='Model inputs'!AJ174))),'Model inputs'!AJ173*'Model inputs'!AJ172,0)</f>
        <v>100000</v>
      </c>
      <c r="AD443" s="9">
        <f>IF(IF(IF(ISERROR('Model inputs'!AD188&gt;='Model inputs'!AJ174),'Model inputs'!AD188&gt;='Model inputs'!AJ174,IF(OR('Model inputs'!AD188="",'Model inputs'!AJ174=""),"",'Model inputs'!AD188&gt;='Model inputs'!AJ174))="",FALSE,IF(ISERROR('Model inputs'!AD188&gt;='Model inputs'!AJ174),'Model inputs'!AD188&gt;='Model inputs'!AJ174,IF(OR('Model inputs'!AD188="",'Model inputs'!AJ174=""),"",'Model inputs'!AD188&gt;='Model inputs'!AJ174))),'Model inputs'!AJ173*'Model inputs'!AJ172,0)</f>
        <v>100000</v>
      </c>
      <c r="AE443" s="9">
        <f>IF(IF(IF(ISERROR('Model inputs'!AE188&gt;='Model inputs'!AJ174),'Model inputs'!AE188&gt;='Model inputs'!AJ174,IF(OR('Model inputs'!AE188="",'Model inputs'!AJ174=""),"",'Model inputs'!AE188&gt;='Model inputs'!AJ174))="",FALSE,IF(ISERROR('Model inputs'!AE188&gt;='Model inputs'!AJ174),'Model inputs'!AE188&gt;='Model inputs'!AJ174,IF(OR('Model inputs'!AE188="",'Model inputs'!AJ174=""),"",'Model inputs'!AE188&gt;='Model inputs'!AJ174))),'Model inputs'!AJ173*'Model inputs'!AJ172,0)</f>
        <v>100000</v>
      </c>
      <c r="AF443" s="9">
        <f>IF(IF(IF(ISERROR('Model inputs'!AF188&gt;='Model inputs'!AJ174),'Model inputs'!AF188&gt;='Model inputs'!AJ174,IF(OR('Model inputs'!AF188="",'Model inputs'!AJ174=""),"",'Model inputs'!AF188&gt;='Model inputs'!AJ174))="",FALSE,IF(ISERROR('Model inputs'!AF188&gt;='Model inputs'!AJ174),'Model inputs'!AF188&gt;='Model inputs'!AJ174,IF(OR('Model inputs'!AF188="",'Model inputs'!AJ174=""),"",'Model inputs'!AF188&gt;='Model inputs'!AJ174))),'Model inputs'!AJ173*'Model inputs'!AJ172,0)</f>
        <v>100000</v>
      </c>
      <c r="AG443" s="9">
        <f>IF(IF(IF(ISERROR('Model inputs'!AG188&gt;='Model inputs'!AJ174),'Model inputs'!AG188&gt;='Model inputs'!AJ174,IF(OR('Model inputs'!AG188="",'Model inputs'!AJ174=""),"",'Model inputs'!AG188&gt;='Model inputs'!AJ174))="",FALSE,IF(ISERROR('Model inputs'!AG188&gt;='Model inputs'!AJ174),'Model inputs'!AG188&gt;='Model inputs'!AJ174,IF(OR('Model inputs'!AG188="",'Model inputs'!AJ174=""),"",'Model inputs'!AG188&gt;='Model inputs'!AJ174))),'Model inputs'!AJ173*'Model inputs'!AJ172,0)</f>
        <v>100000</v>
      </c>
      <c r="AH443" s="9">
        <f>IF(IF(IF(ISERROR('Model inputs'!AH188&gt;='Model inputs'!AJ174),'Model inputs'!AH188&gt;='Model inputs'!AJ174,IF(OR('Model inputs'!AH188="",'Model inputs'!AJ174=""),"",'Model inputs'!AH188&gt;='Model inputs'!AJ174))="",FALSE,IF(ISERROR('Model inputs'!AH188&gt;='Model inputs'!AJ174),'Model inputs'!AH188&gt;='Model inputs'!AJ174,IF(OR('Model inputs'!AH188="",'Model inputs'!AJ174=""),"",'Model inputs'!AH188&gt;='Model inputs'!AJ174))),'Model inputs'!AJ173*'Model inputs'!AJ172,0)</f>
        <v>100000</v>
      </c>
      <c r="AI443" s="9">
        <f>IF(IF(IF(ISERROR('Model inputs'!AI188&gt;='Model inputs'!AJ174),'Model inputs'!AI188&gt;='Model inputs'!AJ174,IF(OR('Model inputs'!AI188="",'Model inputs'!AJ174=""),"",'Model inputs'!AI188&gt;='Model inputs'!AJ174))="",FALSE,IF(ISERROR('Model inputs'!AI188&gt;='Model inputs'!AJ174),'Model inputs'!AI188&gt;='Model inputs'!AJ174,IF(OR('Model inputs'!AI188="",'Model inputs'!AJ174=""),"",'Model inputs'!AI188&gt;='Model inputs'!AJ174))),'Model inputs'!AJ173*'Model inputs'!AJ172,0)</f>
        <v>100000</v>
      </c>
    </row>
    <row r="444">
      <c r="A444" t="inlineStr" s="13">
        <is>
          <t xml:space="preserve">Haq CSR districts · Haq Ending cash · Main Scenario · Main Scenario</t>
        </is>
      </c>
      <c r="B444" s="8">
        <f>IF(IF(IF(ISERROR('Model inputs'!B186&gt;=24),'Model inputs'!B186&gt;=24,IF('Model inputs'!B186="","",'Model inputs'!B186&gt;=24))="",FALSE,IF(ISERROR('Model inputs'!B186&gt;=24),'Model inputs'!B186&gt;=24,IF('Model inputs'!B186="","",'Model inputs'!B186&gt;=24))),IF('Model inputs'!AJ37="","",'Model inputs'!AJ37),IF(IF(IF(ISERROR('Model inputs'!B186&gt;=23),'Model inputs'!B186&gt;=23,IF('Model inputs'!B186="","",'Model inputs'!B186&gt;=23))="",FALSE,IF(ISERROR('Model inputs'!B186&gt;=23),'Model inputs'!B186&gt;=23,IF('Model inputs'!B186="","",'Model inputs'!B186&gt;=23))),IF('Model inputs'!AJ36="","",'Model inputs'!AJ36),IF(IF(IF(ISERROR('Model inputs'!B186&gt;=21),'Model inputs'!B186&gt;=21,IF('Model inputs'!B186="","",'Model inputs'!B186&gt;=21))="",FALSE,IF(ISERROR('Model inputs'!B186&gt;=21),'Model inputs'!B186&gt;=21,IF('Model inputs'!B186="","",'Model inputs'!B186&gt;=21))),IF('Model inputs'!AJ35="","",'Model inputs'!AJ35),IF(IF(IF(ISERROR('Model inputs'!B186&gt;=18),'Model inputs'!B186&gt;=18,IF('Model inputs'!B186="","",'Model inputs'!B186&gt;=18))="",FALSE,IF(ISERROR('Model inputs'!B186&gt;=18),'Model inputs'!B186&gt;=18,IF('Model inputs'!B186="","",'Model inputs'!B186&gt;=18))),IF('Model inputs'!AJ34="","",'Model inputs'!AJ34),IF(IF(IF(ISERROR('Model inputs'!B186&gt;=15),'Model inputs'!B186&gt;=15,IF('Model inputs'!B186="","",'Model inputs'!B186&gt;=15))="",FALSE,IF(ISERROR('Model inputs'!B186&gt;=15),'Model inputs'!B186&gt;=15,IF('Model inputs'!B186="","",'Model inputs'!B186&gt;=15))),IF('Model inputs'!AJ33="","",'Model inputs'!AJ33),IF(IF(IF(ISERROR('Model inputs'!B186&gt;=12),'Model inputs'!B186&gt;=12,IF('Model inputs'!B186="","",'Model inputs'!B186&gt;=12))="",FALSE,IF(ISERROR('Model inputs'!B186&gt;=12),'Model inputs'!B186&gt;=12,IF('Model inputs'!B186="","",'Model inputs'!B186&gt;=12))),IF('Model inputs'!AJ32="","",'Model inputs'!AJ32),IF(IF(IF(ISERROR('Model inputs'!B186&gt;=9),'Model inputs'!B186&gt;=9,IF('Model inputs'!B186="","",'Model inputs'!B186&gt;=9))="",FALSE,IF(ISERROR('Model inputs'!B186&gt;=9),'Model inputs'!B186&gt;=9,IF('Model inputs'!B186="","",'Model inputs'!B186&gt;=9))),IF('Model inputs'!AJ39="","",'Model inputs'!AJ39),IF(IF(IF(ISERROR('Model inputs'!B186&gt;=6),'Model inputs'!B186&gt;=6,IF('Model inputs'!B186="","",'Model inputs'!B186&gt;=6))="",FALSE,IF(ISERROR('Model inputs'!B186&gt;=6),'Model inputs'!B186&gt;=6,IF('Model inputs'!B186="","",'Model inputs'!B186&gt;=6))),IF('Model inputs'!AJ38="","",'Model inputs'!AJ38),0))))))))</f>
        <v>0</v>
      </c>
      <c r="C444" s="8">
        <f>IF(IF(IF(ISERROR('Model inputs'!C186&gt;=24),'Model inputs'!C186&gt;=24,IF('Model inputs'!C186="","",'Model inputs'!C186&gt;=24))="",FALSE,IF(ISERROR('Model inputs'!C186&gt;=24),'Model inputs'!C186&gt;=24,IF('Model inputs'!C186="","",'Model inputs'!C186&gt;=24))),IF('Model inputs'!AJ37="","",'Model inputs'!AJ37),IF(IF(IF(ISERROR('Model inputs'!C186&gt;=23),'Model inputs'!C186&gt;=23,IF('Model inputs'!C186="","",'Model inputs'!C186&gt;=23))="",FALSE,IF(ISERROR('Model inputs'!C186&gt;=23),'Model inputs'!C186&gt;=23,IF('Model inputs'!C186="","",'Model inputs'!C186&gt;=23))),IF('Model inputs'!AJ36="","",'Model inputs'!AJ36),IF(IF(IF(ISERROR('Model inputs'!C186&gt;=21),'Model inputs'!C186&gt;=21,IF('Model inputs'!C186="","",'Model inputs'!C186&gt;=21))="",FALSE,IF(ISERROR('Model inputs'!C186&gt;=21),'Model inputs'!C186&gt;=21,IF('Model inputs'!C186="","",'Model inputs'!C186&gt;=21))),IF('Model inputs'!AJ35="","",'Model inputs'!AJ35),IF(IF(IF(ISERROR('Model inputs'!C186&gt;=18),'Model inputs'!C186&gt;=18,IF('Model inputs'!C186="","",'Model inputs'!C186&gt;=18))="",FALSE,IF(ISERROR('Model inputs'!C186&gt;=18),'Model inputs'!C186&gt;=18,IF('Model inputs'!C186="","",'Model inputs'!C186&gt;=18))),IF('Model inputs'!AJ34="","",'Model inputs'!AJ34),IF(IF(IF(ISERROR('Model inputs'!C186&gt;=15),'Model inputs'!C186&gt;=15,IF('Model inputs'!C186="","",'Model inputs'!C186&gt;=15))="",FALSE,IF(ISERROR('Model inputs'!C186&gt;=15),'Model inputs'!C186&gt;=15,IF('Model inputs'!C186="","",'Model inputs'!C186&gt;=15))),IF('Model inputs'!AJ33="","",'Model inputs'!AJ33),IF(IF(IF(ISERROR('Model inputs'!C186&gt;=12),'Model inputs'!C186&gt;=12,IF('Model inputs'!C186="","",'Model inputs'!C186&gt;=12))="",FALSE,IF(ISERROR('Model inputs'!C186&gt;=12),'Model inputs'!C186&gt;=12,IF('Model inputs'!C186="","",'Model inputs'!C186&gt;=12))),IF('Model inputs'!AJ32="","",'Model inputs'!AJ32),IF(IF(IF(ISERROR('Model inputs'!C186&gt;=9),'Model inputs'!C186&gt;=9,IF('Model inputs'!C186="","",'Model inputs'!C186&gt;=9))="",FALSE,IF(ISERROR('Model inputs'!C186&gt;=9),'Model inputs'!C186&gt;=9,IF('Model inputs'!C186="","",'Model inputs'!C186&gt;=9))),IF('Model inputs'!AJ39="","",'Model inputs'!AJ39),IF(IF(IF(ISERROR('Model inputs'!C186&gt;=6),'Model inputs'!C186&gt;=6,IF('Model inputs'!C186="","",'Model inputs'!C186&gt;=6))="",FALSE,IF(ISERROR('Model inputs'!C186&gt;=6),'Model inputs'!C186&gt;=6,IF('Model inputs'!C186="","",'Model inputs'!C186&gt;=6))),IF('Model inputs'!AJ38="","",'Model inputs'!AJ38),0))))))))</f>
        <v>0</v>
      </c>
      <c r="D444" s="8">
        <f>IF(IF(IF(ISERROR('Model inputs'!D186&gt;=24),'Model inputs'!D186&gt;=24,IF('Model inputs'!D186="","",'Model inputs'!D186&gt;=24))="",FALSE,IF(ISERROR('Model inputs'!D186&gt;=24),'Model inputs'!D186&gt;=24,IF('Model inputs'!D186="","",'Model inputs'!D186&gt;=24))),IF('Model inputs'!AJ37="","",'Model inputs'!AJ37),IF(IF(IF(ISERROR('Model inputs'!D186&gt;=23),'Model inputs'!D186&gt;=23,IF('Model inputs'!D186="","",'Model inputs'!D186&gt;=23))="",FALSE,IF(ISERROR('Model inputs'!D186&gt;=23),'Model inputs'!D186&gt;=23,IF('Model inputs'!D186="","",'Model inputs'!D186&gt;=23))),IF('Model inputs'!AJ36="","",'Model inputs'!AJ36),IF(IF(IF(ISERROR('Model inputs'!D186&gt;=21),'Model inputs'!D186&gt;=21,IF('Model inputs'!D186="","",'Model inputs'!D186&gt;=21))="",FALSE,IF(ISERROR('Model inputs'!D186&gt;=21),'Model inputs'!D186&gt;=21,IF('Model inputs'!D186="","",'Model inputs'!D186&gt;=21))),IF('Model inputs'!AJ35="","",'Model inputs'!AJ35),IF(IF(IF(ISERROR('Model inputs'!D186&gt;=18),'Model inputs'!D186&gt;=18,IF('Model inputs'!D186="","",'Model inputs'!D186&gt;=18))="",FALSE,IF(ISERROR('Model inputs'!D186&gt;=18),'Model inputs'!D186&gt;=18,IF('Model inputs'!D186="","",'Model inputs'!D186&gt;=18))),IF('Model inputs'!AJ34="","",'Model inputs'!AJ34),IF(IF(IF(ISERROR('Model inputs'!D186&gt;=15),'Model inputs'!D186&gt;=15,IF('Model inputs'!D186="","",'Model inputs'!D186&gt;=15))="",FALSE,IF(ISERROR('Model inputs'!D186&gt;=15),'Model inputs'!D186&gt;=15,IF('Model inputs'!D186="","",'Model inputs'!D186&gt;=15))),IF('Model inputs'!AJ33="","",'Model inputs'!AJ33),IF(IF(IF(ISERROR('Model inputs'!D186&gt;=12),'Model inputs'!D186&gt;=12,IF('Model inputs'!D186="","",'Model inputs'!D186&gt;=12))="",FALSE,IF(ISERROR('Model inputs'!D186&gt;=12),'Model inputs'!D186&gt;=12,IF('Model inputs'!D186="","",'Model inputs'!D186&gt;=12))),IF('Model inputs'!AJ32="","",'Model inputs'!AJ32),IF(IF(IF(ISERROR('Model inputs'!D186&gt;=9),'Model inputs'!D186&gt;=9,IF('Model inputs'!D186="","",'Model inputs'!D186&gt;=9))="",FALSE,IF(ISERROR('Model inputs'!D186&gt;=9),'Model inputs'!D186&gt;=9,IF('Model inputs'!D186="","",'Model inputs'!D186&gt;=9))),IF('Model inputs'!AJ39="","",'Model inputs'!AJ39),IF(IF(IF(ISERROR('Model inputs'!D186&gt;=6),'Model inputs'!D186&gt;=6,IF('Model inputs'!D186="","",'Model inputs'!D186&gt;=6))="",FALSE,IF(ISERROR('Model inputs'!D186&gt;=6),'Model inputs'!D186&gt;=6,IF('Model inputs'!D186="","",'Model inputs'!D186&gt;=6))),IF('Model inputs'!AJ38="","",'Model inputs'!AJ38),0))))))))</f>
        <v>0</v>
      </c>
      <c r="E444" s="8">
        <f>IF(IF(IF(ISERROR('Model inputs'!E186&gt;=24),'Model inputs'!E186&gt;=24,IF('Model inputs'!E186="","",'Model inputs'!E186&gt;=24))="",FALSE,IF(ISERROR('Model inputs'!E186&gt;=24),'Model inputs'!E186&gt;=24,IF('Model inputs'!E186="","",'Model inputs'!E186&gt;=24))),IF('Model inputs'!AJ37="","",'Model inputs'!AJ37),IF(IF(IF(ISERROR('Model inputs'!E186&gt;=23),'Model inputs'!E186&gt;=23,IF('Model inputs'!E186="","",'Model inputs'!E186&gt;=23))="",FALSE,IF(ISERROR('Model inputs'!E186&gt;=23),'Model inputs'!E186&gt;=23,IF('Model inputs'!E186="","",'Model inputs'!E186&gt;=23))),IF('Model inputs'!AJ36="","",'Model inputs'!AJ36),IF(IF(IF(ISERROR('Model inputs'!E186&gt;=21),'Model inputs'!E186&gt;=21,IF('Model inputs'!E186="","",'Model inputs'!E186&gt;=21))="",FALSE,IF(ISERROR('Model inputs'!E186&gt;=21),'Model inputs'!E186&gt;=21,IF('Model inputs'!E186="","",'Model inputs'!E186&gt;=21))),IF('Model inputs'!AJ35="","",'Model inputs'!AJ35),IF(IF(IF(ISERROR('Model inputs'!E186&gt;=18),'Model inputs'!E186&gt;=18,IF('Model inputs'!E186="","",'Model inputs'!E186&gt;=18))="",FALSE,IF(ISERROR('Model inputs'!E186&gt;=18),'Model inputs'!E186&gt;=18,IF('Model inputs'!E186="","",'Model inputs'!E186&gt;=18))),IF('Model inputs'!AJ34="","",'Model inputs'!AJ34),IF(IF(IF(ISERROR('Model inputs'!E186&gt;=15),'Model inputs'!E186&gt;=15,IF('Model inputs'!E186="","",'Model inputs'!E186&gt;=15))="",FALSE,IF(ISERROR('Model inputs'!E186&gt;=15),'Model inputs'!E186&gt;=15,IF('Model inputs'!E186="","",'Model inputs'!E186&gt;=15))),IF('Model inputs'!AJ33="","",'Model inputs'!AJ33),IF(IF(IF(ISERROR('Model inputs'!E186&gt;=12),'Model inputs'!E186&gt;=12,IF('Model inputs'!E186="","",'Model inputs'!E186&gt;=12))="",FALSE,IF(ISERROR('Model inputs'!E186&gt;=12),'Model inputs'!E186&gt;=12,IF('Model inputs'!E186="","",'Model inputs'!E186&gt;=12))),IF('Model inputs'!AJ32="","",'Model inputs'!AJ32),IF(IF(IF(ISERROR('Model inputs'!E186&gt;=9),'Model inputs'!E186&gt;=9,IF('Model inputs'!E186="","",'Model inputs'!E186&gt;=9))="",FALSE,IF(ISERROR('Model inputs'!E186&gt;=9),'Model inputs'!E186&gt;=9,IF('Model inputs'!E186="","",'Model inputs'!E186&gt;=9))),IF('Model inputs'!AJ39="","",'Model inputs'!AJ39),IF(IF(IF(ISERROR('Model inputs'!E186&gt;=6),'Model inputs'!E186&gt;=6,IF('Model inputs'!E186="","",'Model inputs'!E186&gt;=6))="",FALSE,IF(ISERROR('Model inputs'!E186&gt;=6),'Model inputs'!E186&gt;=6,IF('Model inputs'!E186="","",'Model inputs'!E186&gt;=6))),IF('Model inputs'!AJ38="","",'Model inputs'!AJ38),0))))))))</f>
        <v>0</v>
      </c>
      <c r="F444" s="8">
        <f>IF(IF(IF(ISERROR('Model inputs'!F186&gt;=24),'Model inputs'!F186&gt;=24,IF('Model inputs'!F186="","",'Model inputs'!F186&gt;=24))="",FALSE,IF(ISERROR('Model inputs'!F186&gt;=24),'Model inputs'!F186&gt;=24,IF('Model inputs'!F186="","",'Model inputs'!F186&gt;=24))),IF('Model inputs'!AJ37="","",'Model inputs'!AJ37),IF(IF(IF(ISERROR('Model inputs'!F186&gt;=23),'Model inputs'!F186&gt;=23,IF('Model inputs'!F186="","",'Model inputs'!F186&gt;=23))="",FALSE,IF(ISERROR('Model inputs'!F186&gt;=23),'Model inputs'!F186&gt;=23,IF('Model inputs'!F186="","",'Model inputs'!F186&gt;=23))),IF('Model inputs'!AJ36="","",'Model inputs'!AJ36),IF(IF(IF(ISERROR('Model inputs'!F186&gt;=21),'Model inputs'!F186&gt;=21,IF('Model inputs'!F186="","",'Model inputs'!F186&gt;=21))="",FALSE,IF(ISERROR('Model inputs'!F186&gt;=21),'Model inputs'!F186&gt;=21,IF('Model inputs'!F186="","",'Model inputs'!F186&gt;=21))),IF('Model inputs'!AJ35="","",'Model inputs'!AJ35),IF(IF(IF(ISERROR('Model inputs'!F186&gt;=18),'Model inputs'!F186&gt;=18,IF('Model inputs'!F186="","",'Model inputs'!F186&gt;=18))="",FALSE,IF(ISERROR('Model inputs'!F186&gt;=18),'Model inputs'!F186&gt;=18,IF('Model inputs'!F186="","",'Model inputs'!F186&gt;=18))),IF('Model inputs'!AJ34="","",'Model inputs'!AJ34),IF(IF(IF(ISERROR('Model inputs'!F186&gt;=15),'Model inputs'!F186&gt;=15,IF('Model inputs'!F186="","",'Model inputs'!F186&gt;=15))="",FALSE,IF(ISERROR('Model inputs'!F186&gt;=15),'Model inputs'!F186&gt;=15,IF('Model inputs'!F186="","",'Model inputs'!F186&gt;=15))),IF('Model inputs'!AJ33="","",'Model inputs'!AJ33),IF(IF(IF(ISERROR('Model inputs'!F186&gt;=12),'Model inputs'!F186&gt;=12,IF('Model inputs'!F186="","",'Model inputs'!F186&gt;=12))="",FALSE,IF(ISERROR('Model inputs'!F186&gt;=12),'Model inputs'!F186&gt;=12,IF('Model inputs'!F186="","",'Model inputs'!F186&gt;=12))),IF('Model inputs'!AJ32="","",'Model inputs'!AJ32),IF(IF(IF(ISERROR('Model inputs'!F186&gt;=9),'Model inputs'!F186&gt;=9,IF('Model inputs'!F186="","",'Model inputs'!F186&gt;=9))="",FALSE,IF(ISERROR('Model inputs'!F186&gt;=9),'Model inputs'!F186&gt;=9,IF('Model inputs'!F186="","",'Model inputs'!F186&gt;=9))),IF('Model inputs'!AJ39="","",'Model inputs'!AJ39),IF(IF(IF(ISERROR('Model inputs'!F186&gt;=6),'Model inputs'!F186&gt;=6,IF('Model inputs'!F186="","",'Model inputs'!F186&gt;=6))="",FALSE,IF(ISERROR('Model inputs'!F186&gt;=6),'Model inputs'!F186&gt;=6,IF('Model inputs'!F186="","",'Model inputs'!F186&gt;=6))),IF('Model inputs'!AJ38="","",'Model inputs'!AJ38),0))))))))</f>
        <v>0</v>
      </c>
      <c r="G444" s="8">
        <f>IF(IF(IF(ISERROR('Model inputs'!G186&gt;=24),'Model inputs'!G186&gt;=24,IF('Model inputs'!G186="","",'Model inputs'!G186&gt;=24))="",FALSE,IF(ISERROR('Model inputs'!G186&gt;=24),'Model inputs'!G186&gt;=24,IF('Model inputs'!G186="","",'Model inputs'!G186&gt;=24))),IF('Model inputs'!AJ37="","",'Model inputs'!AJ37),IF(IF(IF(ISERROR('Model inputs'!G186&gt;=23),'Model inputs'!G186&gt;=23,IF('Model inputs'!G186="","",'Model inputs'!G186&gt;=23))="",FALSE,IF(ISERROR('Model inputs'!G186&gt;=23),'Model inputs'!G186&gt;=23,IF('Model inputs'!G186="","",'Model inputs'!G186&gt;=23))),IF('Model inputs'!AJ36="","",'Model inputs'!AJ36),IF(IF(IF(ISERROR('Model inputs'!G186&gt;=21),'Model inputs'!G186&gt;=21,IF('Model inputs'!G186="","",'Model inputs'!G186&gt;=21))="",FALSE,IF(ISERROR('Model inputs'!G186&gt;=21),'Model inputs'!G186&gt;=21,IF('Model inputs'!G186="","",'Model inputs'!G186&gt;=21))),IF('Model inputs'!AJ35="","",'Model inputs'!AJ35),IF(IF(IF(ISERROR('Model inputs'!G186&gt;=18),'Model inputs'!G186&gt;=18,IF('Model inputs'!G186="","",'Model inputs'!G186&gt;=18))="",FALSE,IF(ISERROR('Model inputs'!G186&gt;=18),'Model inputs'!G186&gt;=18,IF('Model inputs'!G186="","",'Model inputs'!G186&gt;=18))),IF('Model inputs'!AJ34="","",'Model inputs'!AJ34),IF(IF(IF(ISERROR('Model inputs'!G186&gt;=15),'Model inputs'!G186&gt;=15,IF('Model inputs'!G186="","",'Model inputs'!G186&gt;=15))="",FALSE,IF(ISERROR('Model inputs'!G186&gt;=15),'Model inputs'!G186&gt;=15,IF('Model inputs'!G186="","",'Model inputs'!G186&gt;=15))),IF('Model inputs'!AJ33="","",'Model inputs'!AJ33),IF(IF(IF(ISERROR('Model inputs'!G186&gt;=12),'Model inputs'!G186&gt;=12,IF('Model inputs'!G186="","",'Model inputs'!G186&gt;=12))="",FALSE,IF(ISERROR('Model inputs'!G186&gt;=12),'Model inputs'!G186&gt;=12,IF('Model inputs'!G186="","",'Model inputs'!G186&gt;=12))),IF('Model inputs'!AJ32="","",'Model inputs'!AJ32),IF(IF(IF(ISERROR('Model inputs'!G186&gt;=9),'Model inputs'!G186&gt;=9,IF('Model inputs'!G186="","",'Model inputs'!G186&gt;=9))="",FALSE,IF(ISERROR('Model inputs'!G186&gt;=9),'Model inputs'!G186&gt;=9,IF('Model inputs'!G186="","",'Model inputs'!G186&gt;=9))),IF('Model inputs'!AJ39="","",'Model inputs'!AJ39),IF(IF(IF(ISERROR('Model inputs'!G186&gt;=6),'Model inputs'!G186&gt;=6,IF('Model inputs'!G186="","",'Model inputs'!G186&gt;=6))="",FALSE,IF(ISERROR('Model inputs'!G186&gt;=6),'Model inputs'!G186&gt;=6,IF('Model inputs'!G186="","",'Model inputs'!G186&gt;=6))),IF('Model inputs'!AJ38="","",'Model inputs'!AJ38),0))))))))</f>
        <v>0</v>
      </c>
      <c r="H444" s="8">
        <f>IF(IF(IF(ISERROR('Model inputs'!H186&gt;=24),'Model inputs'!H186&gt;=24,IF('Model inputs'!H186="","",'Model inputs'!H186&gt;=24))="",FALSE,IF(ISERROR('Model inputs'!H186&gt;=24),'Model inputs'!H186&gt;=24,IF('Model inputs'!H186="","",'Model inputs'!H186&gt;=24))),IF('Model inputs'!AJ37="","",'Model inputs'!AJ37),IF(IF(IF(ISERROR('Model inputs'!H186&gt;=23),'Model inputs'!H186&gt;=23,IF('Model inputs'!H186="","",'Model inputs'!H186&gt;=23))="",FALSE,IF(ISERROR('Model inputs'!H186&gt;=23),'Model inputs'!H186&gt;=23,IF('Model inputs'!H186="","",'Model inputs'!H186&gt;=23))),IF('Model inputs'!AJ36="","",'Model inputs'!AJ36),IF(IF(IF(ISERROR('Model inputs'!H186&gt;=21),'Model inputs'!H186&gt;=21,IF('Model inputs'!H186="","",'Model inputs'!H186&gt;=21))="",FALSE,IF(ISERROR('Model inputs'!H186&gt;=21),'Model inputs'!H186&gt;=21,IF('Model inputs'!H186="","",'Model inputs'!H186&gt;=21))),IF('Model inputs'!AJ35="","",'Model inputs'!AJ35),IF(IF(IF(ISERROR('Model inputs'!H186&gt;=18),'Model inputs'!H186&gt;=18,IF('Model inputs'!H186="","",'Model inputs'!H186&gt;=18))="",FALSE,IF(ISERROR('Model inputs'!H186&gt;=18),'Model inputs'!H186&gt;=18,IF('Model inputs'!H186="","",'Model inputs'!H186&gt;=18))),IF('Model inputs'!AJ34="","",'Model inputs'!AJ34),IF(IF(IF(ISERROR('Model inputs'!H186&gt;=15),'Model inputs'!H186&gt;=15,IF('Model inputs'!H186="","",'Model inputs'!H186&gt;=15))="",FALSE,IF(ISERROR('Model inputs'!H186&gt;=15),'Model inputs'!H186&gt;=15,IF('Model inputs'!H186="","",'Model inputs'!H186&gt;=15))),IF('Model inputs'!AJ33="","",'Model inputs'!AJ33),IF(IF(IF(ISERROR('Model inputs'!H186&gt;=12),'Model inputs'!H186&gt;=12,IF('Model inputs'!H186="","",'Model inputs'!H186&gt;=12))="",FALSE,IF(ISERROR('Model inputs'!H186&gt;=12),'Model inputs'!H186&gt;=12,IF('Model inputs'!H186="","",'Model inputs'!H186&gt;=12))),IF('Model inputs'!AJ32="","",'Model inputs'!AJ32),IF(IF(IF(ISERROR('Model inputs'!H186&gt;=9),'Model inputs'!H186&gt;=9,IF('Model inputs'!H186="","",'Model inputs'!H186&gt;=9))="",FALSE,IF(ISERROR('Model inputs'!H186&gt;=9),'Model inputs'!H186&gt;=9,IF('Model inputs'!H186="","",'Model inputs'!H186&gt;=9))),IF('Model inputs'!AJ39="","",'Model inputs'!AJ39),IF(IF(IF(ISERROR('Model inputs'!H186&gt;=6),'Model inputs'!H186&gt;=6,IF('Model inputs'!H186="","",'Model inputs'!H186&gt;=6))="",FALSE,IF(ISERROR('Model inputs'!H186&gt;=6),'Model inputs'!H186&gt;=6,IF('Model inputs'!H186="","",'Model inputs'!H186&gt;=6))),IF('Model inputs'!AJ38="","",'Model inputs'!AJ38),0))))))))</f>
        <v>0</v>
      </c>
      <c r="I444" s="8">
        <f>IF(IF(IF(ISERROR('Model inputs'!I186&gt;=24),'Model inputs'!I186&gt;=24,IF('Model inputs'!I186="","",'Model inputs'!I186&gt;=24))="",FALSE,IF(ISERROR('Model inputs'!I186&gt;=24),'Model inputs'!I186&gt;=24,IF('Model inputs'!I186="","",'Model inputs'!I186&gt;=24))),IF('Model inputs'!AJ37="","",'Model inputs'!AJ37),IF(IF(IF(ISERROR('Model inputs'!I186&gt;=23),'Model inputs'!I186&gt;=23,IF('Model inputs'!I186="","",'Model inputs'!I186&gt;=23))="",FALSE,IF(ISERROR('Model inputs'!I186&gt;=23),'Model inputs'!I186&gt;=23,IF('Model inputs'!I186="","",'Model inputs'!I186&gt;=23))),IF('Model inputs'!AJ36="","",'Model inputs'!AJ36),IF(IF(IF(ISERROR('Model inputs'!I186&gt;=21),'Model inputs'!I186&gt;=21,IF('Model inputs'!I186="","",'Model inputs'!I186&gt;=21))="",FALSE,IF(ISERROR('Model inputs'!I186&gt;=21),'Model inputs'!I186&gt;=21,IF('Model inputs'!I186="","",'Model inputs'!I186&gt;=21))),IF('Model inputs'!AJ35="","",'Model inputs'!AJ35),IF(IF(IF(ISERROR('Model inputs'!I186&gt;=18),'Model inputs'!I186&gt;=18,IF('Model inputs'!I186="","",'Model inputs'!I186&gt;=18))="",FALSE,IF(ISERROR('Model inputs'!I186&gt;=18),'Model inputs'!I186&gt;=18,IF('Model inputs'!I186="","",'Model inputs'!I186&gt;=18))),IF('Model inputs'!AJ34="","",'Model inputs'!AJ34),IF(IF(IF(ISERROR('Model inputs'!I186&gt;=15),'Model inputs'!I186&gt;=15,IF('Model inputs'!I186="","",'Model inputs'!I186&gt;=15))="",FALSE,IF(ISERROR('Model inputs'!I186&gt;=15),'Model inputs'!I186&gt;=15,IF('Model inputs'!I186="","",'Model inputs'!I186&gt;=15))),IF('Model inputs'!AJ33="","",'Model inputs'!AJ33),IF(IF(IF(ISERROR('Model inputs'!I186&gt;=12),'Model inputs'!I186&gt;=12,IF('Model inputs'!I186="","",'Model inputs'!I186&gt;=12))="",FALSE,IF(ISERROR('Model inputs'!I186&gt;=12),'Model inputs'!I186&gt;=12,IF('Model inputs'!I186="","",'Model inputs'!I186&gt;=12))),IF('Model inputs'!AJ32="","",'Model inputs'!AJ32),IF(IF(IF(ISERROR('Model inputs'!I186&gt;=9),'Model inputs'!I186&gt;=9,IF('Model inputs'!I186="","",'Model inputs'!I186&gt;=9))="",FALSE,IF(ISERROR('Model inputs'!I186&gt;=9),'Model inputs'!I186&gt;=9,IF('Model inputs'!I186="","",'Model inputs'!I186&gt;=9))),IF('Model inputs'!AJ39="","",'Model inputs'!AJ39),IF(IF(IF(ISERROR('Model inputs'!I186&gt;=6),'Model inputs'!I186&gt;=6,IF('Model inputs'!I186="","",'Model inputs'!I186&gt;=6))="",FALSE,IF(ISERROR('Model inputs'!I186&gt;=6),'Model inputs'!I186&gt;=6,IF('Model inputs'!I186="","",'Model inputs'!I186&gt;=6))),IF('Model inputs'!AJ38="","",'Model inputs'!AJ38),0))))))))</f>
        <v>0</v>
      </c>
      <c r="J444" s="8">
        <f>IF(IF(IF(ISERROR('Model inputs'!J186&gt;=24),'Model inputs'!J186&gt;=24,IF('Model inputs'!J186="","",'Model inputs'!J186&gt;=24))="",FALSE,IF(ISERROR('Model inputs'!J186&gt;=24),'Model inputs'!J186&gt;=24,IF('Model inputs'!J186="","",'Model inputs'!J186&gt;=24))),IF('Model inputs'!AJ37="","",'Model inputs'!AJ37),IF(IF(IF(ISERROR('Model inputs'!J186&gt;=23),'Model inputs'!J186&gt;=23,IF('Model inputs'!J186="","",'Model inputs'!J186&gt;=23))="",FALSE,IF(ISERROR('Model inputs'!J186&gt;=23),'Model inputs'!J186&gt;=23,IF('Model inputs'!J186="","",'Model inputs'!J186&gt;=23))),IF('Model inputs'!AJ36="","",'Model inputs'!AJ36),IF(IF(IF(ISERROR('Model inputs'!J186&gt;=21),'Model inputs'!J186&gt;=21,IF('Model inputs'!J186="","",'Model inputs'!J186&gt;=21))="",FALSE,IF(ISERROR('Model inputs'!J186&gt;=21),'Model inputs'!J186&gt;=21,IF('Model inputs'!J186="","",'Model inputs'!J186&gt;=21))),IF('Model inputs'!AJ35="","",'Model inputs'!AJ35),IF(IF(IF(ISERROR('Model inputs'!J186&gt;=18),'Model inputs'!J186&gt;=18,IF('Model inputs'!J186="","",'Model inputs'!J186&gt;=18))="",FALSE,IF(ISERROR('Model inputs'!J186&gt;=18),'Model inputs'!J186&gt;=18,IF('Model inputs'!J186="","",'Model inputs'!J186&gt;=18))),IF('Model inputs'!AJ34="","",'Model inputs'!AJ34),IF(IF(IF(ISERROR('Model inputs'!J186&gt;=15),'Model inputs'!J186&gt;=15,IF('Model inputs'!J186="","",'Model inputs'!J186&gt;=15))="",FALSE,IF(ISERROR('Model inputs'!J186&gt;=15),'Model inputs'!J186&gt;=15,IF('Model inputs'!J186="","",'Model inputs'!J186&gt;=15))),IF('Model inputs'!AJ33="","",'Model inputs'!AJ33),IF(IF(IF(ISERROR('Model inputs'!J186&gt;=12),'Model inputs'!J186&gt;=12,IF('Model inputs'!J186="","",'Model inputs'!J186&gt;=12))="",FALSE,IF(ISERROR('Model inputs'!J186&gt;=12),'Model inputs'!J186&gt;=12,IF('Model inputs'!J186="","",'Model inputs'!J186&gt;=12))),IF('Model inputs'!AJ32="","",'Model inputs'!AJ32),IF(IF(IF(ISERROR('Model inputs'!J186&gt;=9),'Model inputs'!J186&gt;=9,IF('Model inputs'!J186="","",'Model inputs'!J186&gt;=9))="",FALSE,IF(ISERROR('Model inputs'!J186&gt;=9),'Model inputs'!J186&gt;=9,IF('Model inputs'!J186="","",'Model inputs'!J186&gt;=9))),IF('Model inputs'!AJ39="","",'Model inputs'!AJ39),IF(IF(IF(ISERROR('Model inputs'!J186&gt;=6),'Model inputs'!J186&gt;=6,IF('Model inputs'!J186="","",'Model inputs'!J186&gt;=6))="",FALSE,IF(ISERROR('Model inputs'!J186&gt;=6),'Model inputs'!J186&gt;=6,IF('Model inputs'!J186="","",'Model inputs'!J186&gt;=6))),IF('Model inputs'!AJ38="","",'Model inputs'!AJ38),0))))))))</f>
        <v>0</v>
      </c>
      <c r="K444" s="8">
        <f>IF(IF(IF(ISERROR('Model inputs'!K186&gt;=24),'Model inputs'!K186&gt;=24,IF('Model inputs'!K186="","",'Model inputs'!K186&gt;=24))="",FALSE,IF(ISERROR('Model inputs'!K186&gt;=24),'Model inputs'!K186&gt;=24,IF('Model inputs'!K186="","",'Model inputs'!K186&gt;=24))),IF('Model inputs'!AJ37="","",'Model inputs'!AJ37),IF(IF(IF(ISERROR('Model inputs'!K186&gt;=23),'Model inputs'!K186&gt;=23,IF('Model inputs'!K186="","",'Model inputs'!K186&gt;=23))="",FALSE,IF(ISERROR('Model inputs'!K186&gt;=23),'Model inputs'!K186&gt;=23,IF('Model inputs'!K186="","",'Model inputs'!K186&gt;=23))),IF('Model inputs'!AJ36="","",'Model inputs'!AJ36),IF(IF(IF(ISERROR('Model inputs'!K186&gt;=21),'Model inputs'!K186&gt;=21,IF('Model inputs'!K186="","",'Model inputs'!K186&gt;=21))="",FALSE,IF(ISERROR('Model inputs'!K186&gt;=21),'Model inputs'!K186&gt;=21,IF('Model inputs'!K186="","",'Model inputs'!K186&gt;=21))),IF('Model inputs'!AJ35="","",'Model inputs'!AJ35),IF(IF(IF(ISERROR('Model inputs'!K186&gt;=18),'Model inputs'!K186&gt;=18,IF('Model inputs'!K186="","",'Model inputs'!K186&gt;=18))="",FALSE,IF(ISERROR('Model inputs'!K186&gt;=18),'Model inputs'!K186&gt;=18,IF('Model inputs'!K186="","",'Model inputs'!K186&gt;=18))),IF('Model inputs'!AJ34="","",'Model inputs'!AJ34),IF(IF(IF(ISERROR('Model inputs'!K186&gt;=15),'Model inputs'!K186&gt;=15,IF('Model inputs'!K186="","",'Model inputs'!K186&gt;=15))="",FALSE,IF(ISERROR('Model inputs'!K186&gt;=15),'Model inputs'!K186&gt;=15,IF('Model inputs'!K186="","",'Model inputs'!K186&gt;=15))),IF('Model inputs'!AJ33="","",'Model inputs'!AJ33),IF(IF(IF(ISERROR('Model inputs'!K186&gt;=12),'Model inputs'!K186&gt;=12,IF('Model inputs'!K186="","",'Model inputs'!K186&gt;=12))="",FALSE,IF(ISERROR('Model inputs'!K186&gt;=12),'Model inputs'!K186&gt;=12,IF('Model inputs'!K186="","",'Model inputs'!K186&gt;=12))),IF('Model inputs'!AJ32="","",'Model inputs'!AJ32),IF(IF(IF(ISERROR('Model inputs'!K186&gt;=9),'Model inputs'!K186&gt;=9,IF('Model inputs'!K186="","",'Model inputs'!K186&gt;=9))="",FALSE,IF(ISERROR('Model inputs'!K186&gt;=9),'Model inputs'!K186&gt;=9,IF('Model inputs'!K186="","",'Model inputs'!K186&gt;=9))),IF('Model inputs'!AJ39="","",'Model inputs'!AJ39),IF(IF(IF(ISERROR('Model inputs'!K186&gt;=6),'Model inputs'!K186&gt;=6,IF('Model inputs'!K186="","",'Model inputs'!K186&gt;=6))="",FALSE,IF(ISERROR('Model inputs'!K186&gt;=6),'Model inputs'!K186&gt;=6,IF('Model inputs'!K186="","",'Model inputs'!K186&gt;=6))),IF('Model inputs'!AJ38="","",'Model inputs'!AJ38),0))))))))</f>
        <v>0</v>
      </c>
      <c r="L444" s="8">
        <f>IF(IF(IF(ISERROR('Model inputs'!L186&gt;=24),'Model inputs'!L186&gt;=24,IF('Model inputs'!L186="","",'Model inputs'!L186&gt;=24))="",FALSE,IF(ISERROR('Model inputs'!L186&gt;=24),'Model inputs'!L186&gt;=24,IF('Model inputs'!L186="","",'Model inputs'!L186&gt;=24))),IF('Model inputs'!AJ37="","",'Model inputs'!AJ37),IF(IF(IF(ISERROR('Model inputs'!L186&gt;=23),'Model inputs'!L186&gt;=23,IF('Model inputs'!L186="","",'Model inputs'!L186&gt;=23))="",FALSE,IF(ISERROR('Model inputs'!L186&gt;=23),'Model inputs'!L186&gt;=23,IF('Model inputs'!L186="","",'Model inputs'!L186&gt;=23))),IF('Model inputs'!AJ36="","",'Model inputs'!AJ36),IF(IF(IF(ISERROR('Model inputs'!L186&gt;=21),'Model inputs'!L186&gt;=21,IF('Model inputs'!L186="","",'Model inputs'!L186&gt;=21))="",FALSE,IF(ISERROR('Model inputs'!L186&gt;=21),'Model inputs'!L186&gt;=21,IF('Model inputs'!L186="","",'Model inputs'!L186&gt;=21))),IF('Model inputs'!AJ35="","",'Model inputs'!AJ35),IF(IF(IF(ISERROR('Model inputs'!L186&gt;=18),'Model inputs'!L186&gt;=18,IF('Model inputs'!L186="","",'Model inputs'!L186&gt;=18))="",FALSE,IF(ISERROR('Model inputs'!L186&gt;=18),'Model inputs'!L186&gt;=18,IF('Model inputs'!L186="","",'Model inputs'!L186&gt;=18))),IF('Model inputs'!AJ34="","",'Model inputs'!AJ34),IF(IF(IF(ISERROR('Model inputs'!L186&gt;=15),'Model inputs'!L186&gt;=15,IF('Model inputs'!L186="","",'Model inputs'!L186&gt;=15))="",FALSE,IF(ISERROR('Model inputs'!L186&gt;=15),'Model inputs'!L186&gt;=15,IF('Model inputs'!L186="","",'Model inputs'!L186&gt;=15))),IF('Model inputs'!AJ33="","",'Model inputs'!AJ33),IF(IF(IF(ISERROR('Model inputs'!L186&gt;=12),'Model inputs'!L186&gt;=12,IF('Model inputs'!L186="","",'Model inputs'!L186&gt;=12))="",FALSE,IF(ISERROR('Model inputs'!L186&gt;=12),'Model inputs'!L186&gt;=12,IF('Model inputs'!L186="","",'Model inputs'!L186&gt;=12))),IF('Model inputs'!AJ32="","",'Model inputs'!AJ32),IF(IF(IF(ISERROR('Model inputs'!L186&gt;=9),'Model inputs'!L186&gt;=9,IF('Model inputs'!L186="","",'Model inputs'!L186&gt;=9))="",FALSE,IF(ISERROR('Model inputs'!L186&gt;=9),'Model inputs'!L186&gt;=9,IF('Model inputs'!L186="","",'Model inputs'!L186&gt;=9))),IF('Model inputs'!AJ39="","",'Model inputs'!AJ39),IF(IF(IF(ISERROR('Model inputs'!L186&gt;=6),'Model inputs'!L186&gt;=6,IF('Model inputs'!L186="","",'Model inputs'!L186&gt;=6))="",FALSE,IF(ISERROR('Model inputs'!L186&gt;=6),'Model inputs'!L186&gt;=6,IF('Model inputs'!L186="","",'Model inputs'!L186&gt;=6))),IF('Model inputs'!AJ38="","",'Model inputs'!AJ38),0))))))))</f>
        <v>0</v>
      </c>
      <c r="M444" s="8">
        <f>IF(IF(IF(ISERROR('Model inputs'!M186&gt;=24),'Model inputs'!M186&gt;=24,IF('Model inputs'!M186="","",'Model inputs'!M186&gt;=24))="",FALSE,IF(ISERROR('Model inputs'!M186&gt;=24),'Model inputs'!M186&gt;=24,IF('Model inputs'!M186="","",'Model inputs'!M186&gt;=24))),IF('Model inputs'!AJ37="","",'Model inputs'!AJ37),IF(IF(IF(ISERROR('Model inputs'!M186&gt;=23),'Model inputs'!M186&gt;=23,IF('Model inputs'!M186="","",'Model inputs'!M186&gt;=23))="",FALSE,IF(ISERROR('Model inputs'!M186&gt;=23),'Model inputs'!M186&gt;=23,IF('Model inputs'!M186="","",'Model inputs'!M186&gt;=23))),IF('Model inputs'!AJ36="","",'Model inputs'!AJ36),IF(IF(IF(ISERROR('Model inputs'!M186&gt;=21),'Model inputs'!M186&gt;=21,IF('Model inputs'!M186="","",'Model inputs'!M186&gt;=21))="",FALSE,IF(ISERROR('Model inputs'!M186&gt;=21),'Model inputs'!M186&gt;=21,IF('Model inputs'!M186="","",'Model inputs'!M186&gt;=21))),IF('Model inputs'!AJ35="","",'Model inputs'!AJ35),IF(IF(IF(ISERROR('Model inputs'!M186&gt;=18),'Model inputs'!M186&gt;=18,IF('Model inputs'!M186="","",'Model inputs'!M186&gt;=18))="",FALSE,IF(ISERROR('Model inputs'!M186&gt;=18),'Model inputs'!M186&gt;=18,IF('Model inputs'!M186="","",'Model inputs'!M186&gt;=18))),IF('Model inputs'!AJ34="","",'Model inputs'!AJ34),IF(IF(IF(ISERROR('Model inputs'!M186&gt;=15),'Model inputs'!M186&gt;=15,IF('Model inputs'!M186="","",'Model inputs'!M186&gt;=15))="",FALSE,IF(ISERROR('Model inputs'!M186&gt;=15),'Model inputs'!M186&gt;=15,IF('Model inputs'!M186="","",'Model inputs'!M186&gt;=15))),IF('Model inputs'!AJ33="","",'Model inputs'!AJ33),IF(IF(IF(ISERROR('Model inputs'!M186&gt;=12),'Model inputs'!M186&gt;=12,IF('Model inputs'!M186="","",'Model inputs'!M186&gt;=12))="",FALSE,IF(ISERROR('Model inputs'!M186&gt;=12),'Model inputs'!M186&gt;=12,IF('Model inputs'!M186="","",'Model inputs'!M186&gt;=12))),IF('Model inputs'!AJ32="","",'Model inputs'!AJ32),IF(IF(IF(ISERROR('Model inputs'!M186&gt;=9),'Model inputs'!M186&gt;=9,IF('Model inputs'!M186="","",'Model inputs'!M186&gt;=9))="",FALSE,IF(ISERROR('Model inputs'!M186&gt;=9),'Model inputs'!M186&gt;=9,IF('Model inputs'!M186="","",'Model inputs'!M186&gt;=9))),IF('Model inputs'!AJ39="","",'Model inputs'!AJ39),IF(IF(IF(ISERROR('Model inputs'!M186&gt;=6),'Model inputs'!M186&gt;=6,IF('Model inputs'!M186="","",'Model inputs'!M186&gt;=6))="",FALSE,IF(ISERROR('Model inputs'!M186&gt;=6),'Model inputs'!M186&gt;=6,IF('Model inputs'!M186="","",'Model inputs'!M186&gt;=6))),IF('Model inputs'!AJ38="","",'Model inputs'!AJ38),0))))))))</f>
        <v>0</v>
      </c>
      <c r="N444" s="8">
        <f>IF(IF(IF(ISERROR('Model inputs'!N186&gt;=24),'Model inputs'!N186&gt;=24,IF('Model inputs'!N186="","",'Model inputs'!N186&gt;=24))="",FALSE,IF(ISERROR('Model inputs'!N186&gt;=24),'Model inputs'!N186&gt;=24,IF('Model inputs'!N186="","",'Model inputs'!N186&gt;=24))),IF('Model inputs'!AJ37="","",'Model inputs'!AJ37),IF(IF(IF(ISERROR('Model inputs'!N186&gt;=23),'Model inputs'!N186&gt;=23,IF('Model inputs'!N186="","",'Model inputs'!N186&gt;=23))="",FALSE,IF(ISERROR('Model inputs'!N186&gt;=23),'Model inputs'!N186&gt;=23,IF('Model inputs'!N186="","",'Model inputs'!N186&gt;=23))),IF('Model inputs'!AJ36="","",'Model inputs'!AJ36),IF(IF(IF(ISERROR('Model inputs'!N186&gt;=21),'Model inputs'!N186&gt;=21,IF('Model inputs'!N186="","",'Model inputs'!N186&gt;=21))="",FALSE,IF(ISERROR('Model inputs'!N186&gt;=21),'Model inputs'!N186&gt;=21,IF('Model inputs'!N186="","",'Model inputs'!N186&gt;=21))),IF('Model inputs'!AJ35="","",'Model inputs'!AJ35),IF(IF(IF(ISERROR('Model inputs'!N186&gt;=18),'Model inputs'!N186&gt;=18,IF('Model inputs'!N186="","",'Model inputs'!N186&gt;=18))="",FALSE,IF(ISERROR('Model inputs'!N186&gt;=18),'Model inputs'!N186&gt;=18,IF('Model inputs'!N186="","",'Model inputs'!N186&gt;=18))),IF('Model inputs'!AJ34="","",'Model inputs'!AJ34),IF(IF(IF(ISERROR('Model inputs'!N186&gt;=15),'Model inputs'!N186&gt;=15,IF('Model inputs'!N186="","",'Model inputs'!N186&gt;=15))="",FALSE,IF(ISERROR('Model inputs'!N186&gt;=15),'Model inputs'!N186&gt;=15,IF('Model inputs'!N186="","",'Model inputs'!N186&gt;=15))),IF('Model inputs'!AJ33="","",'Model inputs'!AJ33),IF(IF(IF(ISERROR('Model inputs'!N186&gt;=12),'Model inputs'!N186&gt;=12,IF('Model inputs'!N186="","",'Model inputs'!N186&gt;=12))="",FALSE,IF(ISERROR('Model inputs'!N186&gt;=12),'Model inputs'!N186&gt;=12,IF('Model inputs'!N186="","",'Model inputs'!N186&gt;=12))),IF('Model inputs'!AJ32="","",'Model inputs'!AJ32),IF(IF(IF(ISERROR('Model inputs'!N186&gt;=9),'Model inputs'!N186&gt;=9,IF('Model inputs'!N186="","",'Model inputs'!N186&gt;=9))="",FALSE,IF(ISERROR('Model inputs'!N186&gt;=9),'Model inputs'!N186&gt;=9,IF('Model inputs'!N186="","",'Model inputs'!N186&gt;=9))),IF('Model inputs'!AJ39="","",'Model inputs'!AJ39),IF(IF(IF(ISERROR('Model inputs'!N186&gt;=6),'Model inputs'!N186&gt;=6,IF('Model inputs'!N186="","",'Model inputs'!N186&gt;=6))="",FALSE,IF(ISERROR('Model inputs'!N186&gt;=6),'Model inputs'!N186&gt;=6,IF('Model inputs'!N186="","",'Model inputs'!N186&gt;=6))),IF('Model inputs'!AJ38="","",'Model inputs'!AJ38),0))))))))</f>
        <v>0</v>
      </c>
      <c r="O444" s="8">
        <f>IF(IF(IF(ISERROR('Model inputs'!O186&gt;=24),'Model inputs'!O186&gt;=24,IF('Model inputs'!O186="","",'Model inputs'!O186&gt;=24))="",FALSE,IF(ISERROR('Model inputs'!O186&gt;=24),'Model inputs'!O186&gt;=24,IF('Model inputs'!O186="","",'Model inputs'!O186&gt;=24))),IF('Model inputs'!AJ37="","",'Model inputs'!AJ37),IF(IF(IF(ISERROR('Model inputs'!O186&gt;=23),'Model inputs'!O186&gt;=23,IF('Model inputs'!O186="","",'Model inputs'!O186&gt;=23))="",FALSE,IF(ISERROR('Model inputs'!O186&gt;=23),'Model inputs'!O186&gt;=23,IF('Model inputs'!O186="","",'Model inputs'!O186&gt;=23))),IF('Model inputs'!AJ36="","",'Model inputs'!AJ36),IF(IF(IF(ISERROR('Model inputs'!O186&gt;=21),'Model inputs'!O186&gt;=21,IF('Model inputs'!O186="","",'Model inputs'!O186&gt;=21))="",FALSE,IF(ISERROR('Model inputs'!O186&gt;=21),'Model inputs'!O186&gt;=21,IF('Model inputs'!O186="","",'Model inputs'!O186&gt;=21))),IF('Model inputs'!AJ35="","",'Model inputs'!AJ35),IF(IF(IF(ISERROR('Model inputs'!O186&gt;=18),'Model inputs'!O186&gt;=18,IF('Model inputs'!O186="","",'Model inputs'!O186&gt;=18))="",FALSE,IF(ISERROR('Model inputs'!O186&gt;=18),'Model inputs'!O186&gt;=18,IF('Model inputs'!O186="","",'Model inputs'!O186&gt;=18))),IF('Model inputs'!AJ34="","",'Model inputs'!AJ34),IF(IF(IF(ISERROR('Model inputs'!O186&gt;=15),'Model inputs'!O186&gt;=15,IF('Model inputs'!O186="","",'Model inputs'!O186&gt;=15))="",FALSE,IF(ISERROR('Model inputs'!O186&gt;=15),'Model inputs'!O186&gt;=15,IF('Model inputs'!O186="","",'Model inputs'!O186&gt;=15))),IF('Model inputs'!AJ33="","",'Model inputs'!AJ33),IF(IF(IF(ISERROR('Model inputs'!O186&gt;=12),'Model inputs'!O186&gt;=12,IF('Model inputs'!O186="","",'Model inputs'!O186&gt;=12))="",FALSE,IF(ISERROR('Model inputs'!O186&gt;=12),'Model inputs'!O186&gt;=12,IF('Model inputs'!O186="","",'Model inputs'!O186&gt;=12))),IF('Model inputs'!AJ32="","",'Model inputs'!AJ32),IF(IF(IF(ISERROR('Model inputs'!O186&gt;=9),'Model inputs'!O186&gt;=9,IF('Model inputs'!O186="","",'Model inputs'!O186&gt;=9))="",FALSE,IF(ISERROR('Model inputs'!O186&gt;=9),'Model inputs'!O186&gt;=9,IF('Model inputs'!O186="","",'Model inputs'!O186&gt;=9))),IF('Model inputs'!AJ39="","",'Model inputs'!AJ39),IF(IF(IF(ISERROR('Model inputs'!O186&gt;=6),'Model inputs'!O186&gt;=6,IF('Model inputs'!O186="","",'Model inputs'!O186&gt;=6))="",FALSE,IF(ISERROR('Model inputs'!O186&gt;=6),'Model inputs'!O186&gt;=6,IF('Model inputs'!O186="","",'Model inputs'!O186&gt;=6))),IF('Model inputs'!AJ38="","",'Model inputs'!AJ38),0))))))))</f>
        <v>0</v>
      </c>
      <c r="P444" s="8">
        <f>IF(IF(IF(ISERROR('Model inputs'!P186&gt;=24),'Model inputs'!P186&gt;=24,IF('Model inputs'!P186="","",'Model inputs'!P186&gt;=24))="",FALSE,IF(ISERROR('Model inputs'!P186&gt;=24),'Model inputs'!P186&gt;=24,IF('Model inputs'!P186="","",'Model inputs'!P186&gt;=24))),IF('Model inputs'!AJ37="","",'Model inputs'!AJ37),IF(IF(IF(ISERROR('Model inputs'!P186&gt;=23),'Model inputs'!P186&gt;=23,IF('Model inputs'!P186="","",'Model inputs'!P186&gt;=23))="",FALSE,IF(ISERROR('Model inputs'!P186&gt;=23),'Model inputs'!P186&gt;=23,IF('Model inputs'!P186="","",'Model inputs'!P186&gt;=23))),IF('Model inputs'!AJ36="","",'Model inputs'!AJ36),IF(IF(IF(ISERROR('Model inputs'!P186&gt;=21),'Model inputs'!P186&gt;=21,IF('Model inputs'!P186="","",'Model inputs'!P186&gt;=21))="",FALSE,IF(ISERROR('Model inputs'!P186&gt;=21),'Model inputs'!P186&gt;=21,IF('Model inputs'!P186="","",'Model inputs'!P186&gt;=21))),IF('Model inputs'!AJ35="","",'Model inputs'!AJ35),IF(IF(IF(ISERROR('Model inputs'!P186&gt;=18),'Model inputs'!P186&gt;=18,IF('Model inputs'!P186="","",'Model inputs'!P186&gt;=18))="",FALSE,IF(ISERROR('Model inputs'!P186&gt;=18),'Model inputs'!P186&gt;=18,IF('Model inputs'!P186="","",'Model inputs'!P186&gt;=18))),IF('Model inputs'!AJ34="","",'Model inputs'!AJ34),IF(IF(IF(ISERROR('Model inputs'!P186&gt;=15),'Model inputs'!P186&gt;=15,IF('Model inputs'!P186="","",'Model inputs'!P186&gt;=15))="",FALSE,IF(ISERROR('Model inputs'!P186&gt;=15),'Model inputs'!P186&gt;=15,IF('Model inputs'!P186="","",'Model inputs'!P186&gt;=15))),IF('Model inputs'!AJ33="","",'Model inputs'!AJ33),IF(IF(IF(ISERROR('Model inputs'!P186&gt;=12),'Model inputs'!P186&gt;=12,IF('Model inputs'!P186="","",'Model inputs'!P186&gt;=12))="",FALSE,IF(ISERROR('Model inputs'!P186&gt;=12),'Model inputs'!P186&gt;=12,IF('Model inputs'!P186="","",'Model inputs'!P186&gt;=12))),IF('Model inputs'!AJ32="","",'Model inputs'!AJ32),IF(IF(IF(ISERROR('Model inputs'!P186&gt;=9),'Model inputs'!P186&gt;=9,IF('Model inputs'!P186="","",'Model inputs'!P186&gt;=9))="",FALSE,IF(ISERROR('Model inputs'!P186&gt;=9),'Model inputs'!P186&gt;=9,IF('Model inputs'!P186="","",'Model inputs'!P186&gt;=9))),IF('Model inputs'!AJ39="","",'Model inputs'!AJ39),IF(IF(IF(ISERROR('Model inputs'!P186&gt;=6),'Model inputs'!P186&gt;=6,IF('Model inputs'!P186="","",'Model inputs'!P186&gt;=6))="",FALSE,IF(ISERROR('Model inputs'!P186&gt;=6),'Model inputs'!P186&gt;=6,IF('Model inputs'!P186="","",'Model inputs'!P186&gt;=6))),IF('Model inputs'!AJ38="","",'Model inputs'!AJ38),0))))))))</f>
        <v>0</v>
      </c>
      <c r="Q444" s="8">
        <f>IF(IF(IF(ISERROR('Model inputs'!Q186&gt;=24),'Model inputs'!Q186&gt;=24,IF('Model inputs'!Q186="","",'Model inputs'!Q186&gt;=24))="",FALSE,IF(ISERROR('Model inputs'!Q186&gt;=24),'Model inputs'!Q186&gt;=24,IF('Model inputs'!Q186="","",'Model inputs'!Q186&gt;=24))),IF('Model inputs'!AJ37="","",'Model inputs'!AJ37),IF(IF(IF(ISERROR('Model inputs'!Q186&gt;=23),'Model inputs'!Q186&gt;=23,IF('Model inputs'!Q186="","",'Model inputs'!Q186&gt;=23))="",FALSE,IF(ISERROR('Model inputs'!Q186&gt;=23),'Model inputs'!Q186&gt;=23,IF('Model inputs'!Q186="","",'Model inputs'!Q186&gt;=23))),IF('Model inputs'!AJ36="","",'Model inputs'!AJ36),IF(IF(IF(ISERROR('Model inputs'!Q186&gt;=21),'Model inputs'!Q186&gt;=21,IF('Model inputs'!Q186="","",'Model inputs'!Q186&gt;=21))="",FALSE,IF(ISERROR('Model inputs'!Q186&gt;=21),'Model inputs'!Q186&gt;=21,IF('Model inputs'!Q186="","",'Model inputs'!Q186&gt;=21))),IF('Model inputs'!AJ35="","",'Model inputs'!AJ35),IF(IF(IF(ISERROR('Model inputs'!Q186&gt;=18),'Model inputs'!Q186&gt;=18,IF('Model inputs'!Q186="","",'Model inputs'!Q186&gt;=18))="",FALSE,IF(ISERROR('Model inputs'!Q186&gt;=18),'Model inputs'!Q186&gt;=18,IF('Model inputs'!Q186="","",'Model inputs'!Q186&gt;=18))),IF('Model inputs'!AJ34="","",'Model inputs'!AJ34),IF(IF(IF(ISERROR('Model inputs'!Q186&gt;=15),'Model inputs'!Q186&gt;=15,IF('Model inputs'!Q186="","",'Model inputs'!Q186&gt;=15))="",FALSE,IF(ISERROR('Model inputs'!Q186&gt;=15),'Model inputs'!Q186&gt;=15,IF('Model inputs'!Q186="","",'Model inputs'!Q186&gt;=15))),IF('Model inputs'!AJ33="","",'Model inputs'!AJ33),IF(IF(IF(ISERROR('Model inputs'!Q186&gt;=12),'Model inputs'!Q186&gt;=12,IF('Model inputs'!Q186="","",'Model inputs'!Q186&gt;=12))="",FALSE,IF(ISERROR('Model inputs'!Q186&gt;=12),'Model inputs'!Q186&gt;=12,IF('Model inputs'!Q186="","",'Model inputs'!Q186&gt;=12))),IF('Model inputs'!AJ32="","",'Model inputs'!AJ32),IF(IF(IF(ISERROR('Model inputs'!Q186&gt;=9),'Model inputs'!Q186&gt;=9,IF('Model inputs'!Q186="","",'Model inputs'!Q186&gt;=9))="",FALSE,IF(ISERROR('Model inputs'!Q186&gt;=9),'Model inputs'!Q186&gt;=9,IF('Model inputs'!Q186="","",'Model inputs'!Q186&gt;=9))),IF('Model inputs'!AJ39="","",'Model inputs'!AJ39),IF(IF(IF(ISERROR('Model inputs'!Q186&gt;=6),'Model inputs'!Q186&gt;=6,IF('Model inputs'!Q186="","",'Model inputs'!Q186&gt;=6))="",FALSE,IF(ISERROR('Model inputs'!Q186&gt;=6),'Model inputs'!Q186&gt;=6,IF('Model inputs'!Q186="","",'Model inputs'!Q186&gt;=6))),IF('Model inputs'!AJ38="","",'Model inputs'!AJ38),0))))))))</f>
        <v>1</v>
      </c>
      <c r="R444" s="8">
        <f>IF(IF(IF(ISERROR('Model inputs'!R186&gt;=24),'Model inputs'!R186&gt;=24,IF('Model inputs'!R186="","",'Model inputs'!R186&gt;=24))="",FALSE,IF(ISERROR('Model inputs'!R186&gt;=24),'Model inputs'!R186&gt;=24,IF('Model inputs'!R186="","",'Model inputs'!R186&gt;=24))),IF('Model inputs'!AJ37="","",'Model inputs'!AJ37),IF(IF(IF(ISERROR('Model inputs'!R186&gt;=23),'Model inputs'!R186&gt;=23,IF('Model inputs'!R186="","",'Model inputs'!R186&gt;=23))="",FALSE,IF(ISERROR('Model inputs'!R186&gt;=23),'Model inputs'!R186&gt;=23,IF('Model inputs'!R186="","",'Model inputs'!R186&gt;=23))),IF('Model inputs'!AJ36="","",'Model inputs'!AJ36),IF(IF(IF(ISERROR('Model inputs'!R186&gt;=21),'Model inputs'!R186&gt;=21,IF('Model inputs'!R186="","",'Model inputs'!R186&gt;=21))="",FALSE,IF(ISERROR('Model inputs'!R186&gt;=21),'Model inputs'!R186&gt;=21,IF('Model inputs'!R186="","",'Model inputs'!R186&gt;=21))),IF('Model inputs'!AJ35="","",'Model inputs'!AJ35),IF(IF(IF(ISERROR('Model inputs'!R186&gt;=18),'Model inputs'!R186&gt;=18,IF('Model inputs'!R186="","",'Model inputs'!R186&gt;=18))="",FALSE,IF(ISERROR('Model inputs'!R186&gt;=18),'Model inputs'!R186&gt;=18,IF('Model inputs'!R186="","",'Model inputs'!R186&gt;=18))),IF('Model inputs'!AJ34="","",'Model inputs'!AJ34),IF(IF(IF(ISERROR('Model inputs'!R186&gt;=15),'Model inputs'!R186&gt;=15,IF('Model inputs'!R186="","",'Model inputs'!R186&gt;=15))="",FALSE,IF(ISERROR('Model inputs'!R186&gt;=15),'Model inputs'!R186&gt;=15,IF('Model inputs'!R186="","",'Model inputs'!R186&gt;=15))),IF('Model inputs'!AJ33="","",'Model inputs'!AJ33),IF(IF(IF(ISERROR('Model inputs'!R186&gt;=12),'Model inputs'!R186&gt;=12,IF('Model inputs'!R186="","",'Model inputs'!R186&gt;=12))="",FALSE,IF(ISERROR('Model inputs'!R186&gt;=12),'Model inputs'!R186&gt;=12,IF('Model inputs'!R186="","",'Model inputs'!R186&gt;=12))),IF('Model inputs'!AJ32="","",'Model inputs'!AJ32),IF(IF(IF(ISERROR('Model inputs'!R186&gt;=9),'Model inputs'!R186&gt;=9,IF('Model inputs'!R186="","",'Model inputs'!R186&gt;=9))="",FALSE,IF(ISERROR('Model inputs'!R186&gt;=9),'Model inputs'!R186&gt;=9,IF('Model inputs'!R186="","",'Model inputs'!R186&gt;=9))),IF('Model inputs'!AJ39="","",'Model inputs'!AJ39),IF(IF(IF(ISERROR('Model inputs'!R186&gt;=6),'Model inputs'!R186&gt;=6,IF('Model inputs'!R186="","",'Model inputs'!R186&gt;=6))="",FALSE,IF(ISERROR('Model inputs'!R186&gt;=6),'Model inputs'!R186&gt;=6,IF('Model inputs'!R186="","",'Model inputs'!R186&gt;=6))),IF('Model inputs'!AJ38="","",'Model inputs'!AJ38),0))))))))</f>
        <v>1</v>
      </c>
      <c r="S444" s="8">
        <f>IF(IF(IF(ISERROR('Model inputs'!S186&gt;=24),'Model inputs'!S186&gt;=24,IF('Model inputs'!S186="","",'Model inputs'!S186&gt;=24))="",FALSE,IF(ISERROR('Model inputs'!S186&gt;=24),'Model inputs'!S186&gt;=24,IF('Model inputs'!S186="","",'Model inputs'!S186&gt;=24))),IF('Model inputs'!AJ37="","",'Model inputs'!AJ37),IF(IF(IF(ISERROR('Model inputs'!S186&gt;=23),'Model inputs'!S186&gt;=23,IF('Model inputs'!S186="","",'Model inputs'!S186&gt;=23))="",FALSE,IF(ISERROR('Model inputs'!S186&gt;=23),'Model inputs'!S186&gt;=23,IF('Model inputs'!S186="","",'Model inputs'!S186&gt;=23))),IF('Model inputs'!AJ36="","",'Model inputs'!AJ36),IF(IF(IF(ISERROR('Model inputs'!S186&gt;=21),'Model inputs'!S186&gt;=21,IF('Model inputs'!S186="","",'Model inputs'!S186&gt;=21))="",FALSE,IF(ISERROR('Model inputs'!S186&gt;=21),'Model inputs'!S186&gt;=21,IF('Model inputs'!S186="","",'Model inputs'!S186&gt;=21))),IF('Model inputs'!AJ35="","",'Model inputs'!AJ35),IF(IF(IF(ISERROR('Model inputs'!S186&gt;=18),'Model inputs'!S186&gt;=18,IF('Model inputs'!S186="","",'Model inputs'!S186&gt;=18))="",FALSE,IF(ISERROR('Model inputs'!S186&gt;=18),'Model inputs'!S186&gt;=18,IF('Model inputs'!S186="","",'Model inputs'!S186&gt;=18))),IF('Model inputs'!AJ34="","",'Model inputs'!AJ34),IF(IF(IF(ISERROR('Model inputs'!S186&gt;=15),'Model inputs'!S186&gt;=15,IF('Model inputs'!S186="","",'Model inputs'!S186&gt;=15))="",FALSE,IF(ISERROR('Model inputs'!S186&gt;=15),'Model inputs'!S186&gt;=15,IF('Model inputs'!S186="","",'Model inputs'!S186&gt;=15))),IF('Model inputs'!AJ33="","",'Model inputs'!AJ33),IF(IF(IF(ISERROR('Model inputs'!S186&gt;=12),'Model inputs'!S186&gt;=12,IF('Model inputs'!S186="","",'Model inputs'!S186&gt;=12))="",FALSE,IF(ISERROR('Model inputs'!S186&gt;=12),'Model inputs'!S186&gt;=12,IF('Model inputs'!S186="","",'Model inputs'!S186&gt;=12))),IF('Model inputs'!AJ32="","",'Model inputs'!AJ32),IF(IF(IF(ISERROR('Model inputs'!S186&gt;=9),'Model inputs'!S186&gt;=9,IF('Model inputs'!S186="","",'Model inputs'!S186&gt;=9))="",FALSE,IF(ISERROR('Model inputs'!S186&gt;=9),'Model inputs'!S186&gt;=9,IF('Model inputs'!S186="","",'Model inputs'!S186&gt;=9))),IF('Model inputs'!AJ39="","",'Model inputs'!AJ39),IF(IF(IF(ISERROR('Model inputs'!S186&gt;=6),'Model inputs'!S186&gt;=6,IF('Model inputs'!S186="","",'Model inputs'!S186&gt;=6))="",FALSE,IF(ISERROR('Model inputs'!S186&gt;=6),'Model inputs'!S186&gt;=6,IF('Model inputs'!S186="","",'Model inputs'!S186&gt;=6))),IF('Model inputs'!AJ38="","",'Model inputs'!AJ38),0))))))))</f>
        <v>1</v>
      </c>
      <c r="T444" s="8">
        <f>IF(IF(IF(ISERROR('Model inputs'!T186&gt;=24),'Model inputs'!T186&gt;=24,IF('Model inputs'!T186="","",'Model inputs'!T186&gt;=24))="",FALSE,IF(ISERROR('Model inputs'!T186&gt;=24),'Model inputs'!T186&gt;=24,IF('Model inputs'!T186="","",'Model inputs'!T186&gt;=24))),IF('Model inputs'!AJ37="","",'Model inputs'!AJ37),IF(IF(IF(ISERROR('Model inputs'!T186&gt;=23),'Model inputs'!T186&gt;=23,IF('Model inputs'!T186="","",'Model inputs'!T186&gt;=23))="",FALSE,IF(ISERROR('Model inputs'!T186&gt;=23),'Model inputs'!T186&gt;=23,IF('Model inputs'!T186="","",'Model inputs'!T186&gt;=23))),IF('Model inputs'!AJ36="","",'Model inputs'!AJ36),IF(IF(IF(ISERROR('Model inputs'!T186&gt;=21),'Model inputs'!T186&gt;=21,IF('Model inputs'!T186="","",'Model inputs'!T186&gt;=21))="",FALSE,IF(ISERROR('Model inputs'!T186&gt;=21),'Model inputs'!T186&gt;=21,IF('Model inputs'!T186="","",'Model inputs'!T186&gt;=21))),IF('Model inputs'!AJ35="","",'Model inputs'!AJ35),IF(IF(IF(ISERROR('Model inputs'!T186&gt;=18),'Model inputs'!T186&gt;=18,IF('Model inputs'!T186="","",'Model inputs'!T186&gt;=18))="",FALSE,IF(ISERROR('Model inputs'!T186&gt;=18),'Model inputs'!T186&gt;=18,IF('Model inputs'!T186="","",'Model inputs'!T186&gt;=18))),IF('Model inputs'!AJ34="","",'Model inputs'!AJ34),IF(IF(IF(ISERROR('Model inputs'!T186&gt;=15),'Model inputs'!T186&gt;=15,IF('Model inputs'!T186="","",'Model inputs'!T186&gt;=15))="",FALSE,IF(ISERROR('Model inputs'!T186&gt;=15),'Model inputs'!T186&gt;=15,IF('Model inputs'!T186="","",'Model inputs'!T186&gt;=15))),IF('Model inputs'!AJ33="","",'Model inputs'!AJ33),IF(IF(IF(ISERROR('Model inputs'!T186&gt;=12),'Model inputs'!T186&gt;=12,IF('Model inputs'!T186="","",'Model inputs'!T186&gt;=12))="",FALSE,IF(ISERROR('Model inputs'!T186&gt;=12),'Model inputs'!T186&gt;=12,IF('Model inputs'!T186="","",'Model inputs'!T186&gt;=12))),IF('Model inputs'!AJ32="","",'Model inputs'!AJ32),IF(IF(IF(ISERROR('Model inputs'!T186&gt;=9),'Model inputs'!T186&gt;=9,IF('Model inputs'!T186="","",'Model inputs'!T186&gt;=9))="",FALSE,IF(ISERROR('Model inputs'!T186&gt;=9),'Model inputs'!T186&gt;=9,IF('Model inputs'!T186="","",'Model inputs'!T186&gt;=9))),IF('Model inputs'!AJ39="","",'Model inputs'!AJ39),IF(IF(IF(ISERROR('Model inputs'!T186&gt;=6),'Model inputs'!T186&gt;=6,IF('Model inputs'!T186="","",'Model inputs'!T186&gt;=6))="",FALSE,IF(ISERROR('Model inputs'!T186&gt;=6),'Model inputs'!T186&gt;=6,IF('Model inputs'!T186="","",'Model inputs'!T186&gt;=6))),IF('Model inputs'!AJ38="","",'Model inputs'!AJ38),0))))))))</f>
        <v>2</v>
      </c>
      <c r="U444" s="8">
        <f>IF(IF(IF(ISERROR('Model inputs'!U186&gt;=24),'Model inputs'!U186&gt;=24,IF('Model inputs'!U186="","",'Model inputs'!U186&gt;=24))="",FALSE,IF(ISERROR('Model inputs'!U186&gt;=24),'Model inputs'!U186&gt;=24,IF('Model inputs'!U186="","",'Model inputs'!U186&gt;=24))),IF('Model inputs'!AJ37="","",'Model inputs'!AJ37),IF(IF(IF(ISERROR('Model inputs'!U186&gt;=23),'Model inputs'!U186&gt;=23,IF('Model inputs'!U186="","",'Model inputs'!U186&gt;=23))="",FALSE,IF(ISERROR('Model inputs'!U186&gt;=23),'Model inputs'!U186&gt;=23,IF('Model inputs'!U186="","",'Model inputs'!U186&gt;=23))),IF('Model inputs'!AJ36="","",'Model inputs'!AJ36),IF(IF(IF(ISERROR('Model inputs'!U186&gt;=21),'Model inputs'!U186&gt;=21,IF('Model inputs'!U186="","",'Model inputs'!U186&gt;=21))="",FALSE,IF(ISERROR('Model inputs'!U186&gt;=21),'Model inputs'!U186&gt;=21,IF('Model inputs'!U186="","",'Model inputs'!U186&gt;=21))),IF('Model inputs'!AJ35="","",'Model inputs'!AJ35),IF(IF(IF(ISERROR('Model inputs'!U186&gt;=18),'Model inputs'!U186&gt;=18,IF('Model inputs'!U186="","",'Model inputs'!U186&gt;=18))="",FALSE,IF(ISERROR('Model inputs'!U186&gt;=18),'Model inputs'!U186&gt;=18,IF('Model inputs'!U186="","",'Model inputs'!U186&gt;=18))),IF('Model inputs'!AJ34="","",'Model inputs'!AJ34),IF(IF(IF(ISERROR('Model inputs'!U186&gt;=15),'Model inputs'!U186&gt;=15,IF('Model inputs'!U186="","",'Model inputs'!U186&gt;=15))="",FALSE,IF(ISERROR('Model inputs'!U186&gt;=15),'Model inputs'!U186&gt;=15,IF('Model inputs'!U186="","",'Model inputs'!U186&gt;=15))),IF('Model inputs'!AJ33="","",'Model inputs'!AJ33),IF(IF(IF(ISERROR('Model inputs'!U186&gt;=12),'Model inputs'!U186&gt;=12,IF('Model inputs'!U186="","",'Model inputs'!U186&gt;=12))="",FALSE,IF(ISERROR('Model inputs'!U186&gt;=12),'Model inputs'!U186&gt;=12,IF('Model inputs'!U186="","",'Model inputs'!U186&gt;=12))),IF('Model inputs'!AJ32="","",'Model inputs'!AJ32),IF(IF(IF(ISERROR('Model inputs'!U186&gt;=9),'Model inputs'!U186&gt;=9,IF('Model inputs'!U186="","",'Model inputs'!U186&gt;=9))="",FALSE,IF(ISERROR('Model inputs'!U186&gt;=9),'Model inputs'!U186&gt;=9,IF('Model inputs'!U186="","",'Model inputs'!U186&gt;=9))),IF('Model inputs'!AJ39="","",'Model inputs'!AJ39),IF(IF(IF(ISERROR('Model inputs'!U186&gt;=6),'Model inputs'!U186&gt;=6,IF('Model inputs'!U186="","",'Model inputs'!U186&gt;=6))="",FALSE,IF(ISERROR('Model inputs'!U186&gt;=6),'Model inputs'!U186&gt;=6,IF('Model inputs'!U186="","",'Model inputs'!U186&gt;=6))),IF('Model inputs'!AJ38="","",'Model inputs'!AJ38),0))))))))</f>
        <v>2</v>
      </c>
      <c r="V444" s="8">
        <f>IF(IF(IF(ISERROR('Model inputs'!V186&gt;=24),'Model inputs'!V186&gt;=24,IF('Model inputs'!V186="","",'Model inputs'!V186&gt;=24))="",FALSE,IF(ISERROR('Model inputs'!V186&gt;=24),'Model inputs'!V186&gt;=24,IF('Model inputs'!V186="","",'Model inputs'!V186&gt;=24))),IF('Model inputs'!AJ37="","",'Model inputs'!AJ37),IF(IF(IF(ISERROR('Model inputs'!V186&gt;=23),'Model inputs'!V186&gt;=23,IF('Model inputs'!V186="","",'Model inputs'!V186&gt;=23))="",FALSE,IF(ISERROR('Model inputs'!V186&gt;=23),'Model inputs'!V186&gt;=23,IF('Model inputs'!V186="","",'Model inputs'!V186&gt;=23))),IF('Model inputs'!AJ36="","",'Model inputs'!AJ36),IF(IF(IF(ISERROR('Model inputs'!V186&gt;=21),'Model inputs'!V186&gt;=21,IF('Model inputs'!V186="","",'Model inputs'!V186&gt;=21))="",FALSE,IF(ISERROR('Model inputs'!V186&gt;=21),'Model inputs'!V186&gt;=21,IF('Model inputs'!V186="","",'Model inputs'!V186&gt;=21))),IF('Model inputs'!AJ35="","",'Model inputs'!AJ35),IF(IF(IF(ISERROR('Model inputs'!V186&gt;=18),'Model inputs'!V186&gt;=18,IF('Model inputs'!V186="","",'Model inputs'!V186&gt;=18))="",FALSE,IF(ISERROR('Model inputs'!V186&gt;=18),'Model inputs'!V186&gt;=18,IF('Model inputs'!V186="","",'Model inputs'!V186&gt;=18))),IF('Model inputs'!AJ34="","",'Model inputs'!AJ34),IF(IF(IF(ISERROR('Model inputs'!V186&gt;=15),'Model inputs'!V186&gt;=15,IF('Model inputs'!V186="","",'Model inputs'!V186&gt;=15))="",FALSE,IF(ISERROR('Model inputs'!V186&gt;=15),'Model inputs'!V186&gt;=15,IF('Model inputs'!V186="","",'Model inputs'!V186&gt;=15))),IF('Model inputs'!AJ33="","",'Model inputs'!AJ33),IF(IF(IF(ISERROR('Model inputs'!V186&gt;=12),'Model inputs'!V186&gt;=12,IF('Model inputs'!V186="","",'Model inputs'!V186&gt;=12))="",FALSE,IF(ISERROR('Model inputs'!V186&gt;=12),'Model inputs'!V186&gt;=12,IF('Model inputs'!V186="","",'Model inputs'!V186&gt;=12))),IF('Model inputs'!AJ32="","",'Model inputs'!AJ32),IF(IF(IF(ISERROR('Model inputs'!V186&gt;=9),'Model inputs'!V186&gt;=9,IF('Model inputs'!V186="","",'Model inputs'!V186&gt;=9))="",FALSE,IF(ISERROR('Model inputs'!V186&gt;=9),'Model inputs'!V186&gt;=9,IF('Model inputs'!V186="","",'Model inputs'!V186&gt;=9))),IF('Model inputs'!AJ39="","",'Model inputs'!AJ39),IF(IF(IF(ISERROR('Model inputs'!V186&gt;=6),'Model inputs'!V186&gt;=6,IF('Model inputs'!V186="","",'Model inputs'!V186&gt;=6))="",FALSE,IF(ISERROR('Model inputs'!V186&gt;=6),'Model inputs'!V186&gt;=6,IF('Model inputs'!V186="","",'Model inputs'!V186&gt;=6))),IF('Model inputs'!AJ38="","",'Model inputs'!AJ38),0))))))))</f>
        <v>2</v>
      </c>
      <c r="W444" s="8">
        <f>IF(IF(IF(ISERROR('Model inputs'!W186&gt;=24),'Model inputs'!W186&gt;=24,IF('Model inputs'!W186="","",'Model inputs'!W186&gt;=24))="",FALSE,IF(ISERROR('Model inputs'!W186&gt;=24),'Model inputs'!W186&gt;=24,IF('Model inputs'!W186="","",'Model inputs'!W186&gt;=24))),IF('Model inputs'!AJ37="","",'Model inputs'!AJ37),IF(IF(IF(ISERROR('Model inputs'!W186&gt;=23),'Model inputs'!W186&gt;=23,IF('Model inputs'!W186="","",'Model inputs'!W186&gt;=23))="",FALSE,IF(ISERROR('Model inputs'!W186&gt;=23),'Model inputs'!W186&gt;=23,IF('Model inputs'!W186="","",'Model inputs'!W186&gt;=23))),IF('Model inputs'!AJ36="","",'Model inputs'!AJ36),IF(IF(IF(ISERROR('Model inputs'!W186&gt;=21),'Model inputs'!W186&gt;=21,IF('Model inputs'!W186="","",'Model inputs'!W186&gt;=21))="",FALSE,IF(ISERROR('Model inputs'!W186&gt;=21),'Model inputs'!W186&gt;=21,IF('Model inputs'!W186="","",'Model inputs'!W186&gt;=21))),IF('Model inputs'!AJ35="","",'Model inputs'!AJ35),IF(IF(IF(ISERROR('Model inputs'!W186&gt;=18),'Model inputs'!W186&gt;=18,IF('Model inputs'!W186="","",'Model inputs'!W186&gt;=18))="",FALSE,IF(ISERROR('Model inputs'!W186&gt;=18),'Model inputs'!W186&gt;=18,IF('Model inputs'!W186="","",'Model inputs'!W186&gt;=18))),IF('Model inputs'!AJ34="","",'Model inputs'!AJ34),IF(IF(IF(ISERROR('Model inputs'!W186&gt;=15),'Model inputs'!W186&gt;=15,IF('Model inputs'!W186="","",'Model inputs'!W186&gt;=15))="",FALSE,IF(ISERROR('Model inputs'!W186&gt;=15),'Model inputs'!W186&gt;=15,IF('Model inputs'!W186="","",'Model inputs'!W186&gt;=15))),IF('Model inputs'!AJ33="","",'Model inputs'!AJ33),IF(IF(IF(ISERROR('Model inputs'!W186&gt;=12),'Model inputs'!W186&gt;=12,IF('Model inputs'!W186="","",'Model inputs'!W186&gt;=12))="",FALSE,IF(ISERROR('Model inputs'!W186&gt;=12),'Model inputs'!W186&gt;=12,IF('Model inputs'!W186="","",'Model inputs'!W186&gt;=12))),IF('Model inputs'!AJ32="","",'Model inputs'!AJ32),IF(IF(IF(ISERROR('Model inputs'!W186&gt;=9),'Model inputs'!W186&gt;=9,IF('Model inputs'!W186="","",'Model inputs'!W186&gt;=9))="",FALSE,IF(ISERROR('Model inputs'!W186&gt;=9),'Model inputs'!W186&gt;=9,IF('Model inputs'!W186="","",'Model inputs'!W186&gt;=9))),IF('Model inputs'!AJ39="","",'Model inputs'!AJ39),IF(IF(IF(ISERROR('Model inputs'!W186&gt;=6),'Model inputs'!W186&gt;=6,IF('Model inputs'!W186="","",'Model inputs'!W186&gt;=6))="",FALSE,IF(ISERROR('Model inputs'!W186&gt;=6),'Model inputs'!W186&gt;=6,IF('Model inputs'!W186="","",'Model inputs'!W186&gt;=6))),IF('Model inputs'!AJ38="","",'Model inputs'!AJ38),0))))))))</f>
        <v>3</v>
      </c>
      <c r="X444" s="8">
        <f>IF(IF(IF(ISERROR('Model inputs'!X186&gt;=24),'Model inputs'!X186&gt;=24,IF('Model inputs'!X186="","",'Model inputs'!X186&gt;=24))="",FALSE,IF(ISERROR('Model inputs'!X186&gt;=24),'Model inputs'!X186&gt;=24,IF('Model inputs'!X186="","",'Model inputs'!X186&gt;=24))),IF('Model inputs'!AJ37="","",'Model inputs'!AJ37),IF(IF(IF(ISERROR('Model inputs'!X186&gt;=23),'Model inputs'!X186&gt;=23,IF('Model inputs'!X186="","",'Model inputs'!X186&gt;=23))="",FALSE,IF(ISERROR('Model inputs'!X186&gt;=23),'Model inputs'!X186&gt;=23,IF('Model inputs'!X186="","",'Model inputs'!X186&gt;=23))),IF('Model inputs'!AJ36="","",'Model inputs'!AJ36),IF(IF(IF(ISERROR('Model inputs'!X186&gt;=21),'Model inputs'!X186&gt;=21,IF('Model inputs'!X186="","",'Model inputs'!X186&gt;=21))="",FALSE,IF(ISERROR('Model inputs'!X186&gt;=21),'Model inputs'!X186&gt;=21,IF('Model inputs'!X186="","",'Model inputs'!X186&gt;=21))),IF('Model inputs'!AJ35="","",'Model inputs'!AJ35),IF(IF(IF(ISERROR('Model inputs'!X186&gt;=18),'Model inputs'!X186&gt;=18,IF('Model inputs'!X186="","",'Model inputs'!X186&gt;=18))="",FALSE,IF(ISERROR('Model inputs'!X186&gt;=18),'Model inputs'!X186&gt;=18,IF('Model inputs'!X186="","",'Model inputs'!X186&gt;=18))),IF('Model inputs'!AJ34="","",'Model inputs'!AJ34),IF(IF(IF(ISERROR('Model inputs'!X186&gt;=15),'Model inputs'!X186&gt;=15,IF('Model inputs'!X186="","",'Model inputs'!X186&gt;=15))="",FALSE,IF(ISERROR('Model inputs'!X186&gt;=15),'Model inputs'!X186&gt;=15,IF('Model inputs'!X186="","",'Model inputs'!X186&gt;=15))),IF('Model inputs'!AJ33="","",'Model inputs'!AJ33),IF(IF(IF(ISERROR('Model inputs'!X186&gt;=12),'Model inputs'!X186&gt;=12,IF('Model inputs'!X186="","",'Model inputs'!X186&gt;=12))="",FALSE,IF(ISERROR('Model inputs'!X186&gt;=12),'Model inputs'!X186&gt;=12,IF('Model inputs'!X186="","",'Model inputs'!X186&gt;=12))),IF('Model inputs'!AJ32="","",'Model inputs'!AJ32),IF(IF(IF(ISERROR('Model inputs'!X186&gt;=9),'Model inputs'!X186&gt;=9,IF('Model inputs'!X186="","",'Model inputs'!X186&gt;=9))="",FALSE,IF(ISERROR('Model inputs'!X186&gt;=9),'Model inputs'!X186&gt;=9,IF('Model inputs'!X186="","",'Model inputs'!X186&gt;=9))),IF('Model inputs'!AJ39="","",'Model inputs'!AJ39),IF(IF(IF(ISERROR('Model inputs'!X186&gt;=6),'Model inputs'!X186&gt;=6,IF('Model inputs'!X186="","",'Model inputs'!X186&gt;=6))="",FALSE,IF(ISERROR('Model inputs'!X186&gt;=6),'Model inputs'!X186&gt;=6,IF('Model inputs'!X186="","",'Model inputs'!X186&gt;=6))),IF('Model inputs'!AJ38="","",'Model inputs'!AJ38),0))))))))</f>
        <v>3</v>
      </c>
      <c r="Y444" s="8">
        <f>IF(IF(IF(ISERROR('Model inputs'!Y186&gt;=24),'Model inputs'!Y186&gt;=24,IF('Model inputs'!Y186="","",'Model inputs'!Y186&gt;=24))="",FALSE,IF(ISERROR('Model inputs'!Y186&gt;=24),'Model inputs'!Y186&gt;=24,IF('Model inputs'!Y186="","",'Model inputs'!Y186&gt;=24))),IF('Model inputs'!AJ37="","",'Model inputs'!AJ37),IF(IF(IF(ISERROR('Model inputs'!Y186&gt;=23),'Model inputs'!Y186&gt;=23,IF('Model inputs'!Y186="","",'Model inputs'!Y186&gt;=23))="",FALSE,IF(ISERROR('Model inputs'!Y186&gt;=23),'Model inputs'!Y186&gt;=23,IF('Model inputs'!Y186="","",'Model inputs'!Y186&gt;=23))),IF('Model inputs'!AJ36="","",'Model inputs'!AJ36),IF(IF(IF(ISERROR('Model inputs'!Y186&gt;=21),'Model inputs'!Y186&gt;=21,IF('Model inputs'!Y186="","",'Model inputs'!Y186&gt;=21))="",FALSE,IF(ISERROR('Model inputs'!Y186&gt;=21),'Model inputs'!Y186&gt;=21,IF('Model inputs'!Y186="","",'Model inputs'!Y186&gt;=21))),IF('Model inputs'!AJ35="","",'Model inputs'!AJ35),IF(IF(IF(ISERROR('Model inputs'!Y186&gt;=18),'Model inputs'!Y186&gt;=18,IF('Model inputs'!Y186="","",'Model inputs'!Y186&gt;=18))="",FALSE,IF(ISERROR('Model inputs'!Y186&gt;=18),'Model inputs'!Y186&gt;=18,IF('Model inputs'!Y186="","",'Model inputs'!Y186&gt;=18))),IF('Model inputs'!AJ34="","",'Model inputs'!AJ34),IF(IF(IF(ISERROR('Model inputs'!Y186&gt;=15),'Model inputs'!Y186&gt;=15,IF('Model inputs'!Y186="","",'Model inputs'!Y186&gt;=15))="",FALSE,IF(ISERROR('Model inputs'!Y186&gt;=15),'Model inputs'!Y186&gt;=15,IF('Model inputs'!Y186="","",'Model inputs'!Y186&gt;=15))),IF('Model inputs'!AJ33="","",'Model inputs'!AJ33),IF(IF(IF(ISERROR('Model inputs'!Y186&gt;=12),'Model inputs'!Y186&gt;=12,IF('Model inputs'!Y186="","",'Model inputs'!Y186&gt;=12))="",FALSE,IF(ISERROR('Model inputs'!Y186&gt;=12),'Model inputs'!Y186&gt;=12,IF('Model inputs'!Y186="","",'Model inputs'!Y186&gt;=12))),IF('Model inputs'!AJ32="","",'Model inputs'!AJ32),IF(IF(IF(ISERROR('Model inputs'!Y186&gt;=9),'Model inputs'!Y186&gt;=9,IF('Model inputs'!Y186="","",'Model inputs'!Y186&gt;=9))="",FALSE,IF(ISERROR('Model inputs'!Y186&gt;=9),'Model inputs'!Y186&gt;=9,IF('Model inputs'!Y186="","",'Model inputs'!Y186&gt;=9))),IF('Model inputs'!AJ39="","",'Model inputs'!AJ39),IF(IF(IF(ISERROR('Model inputs'!Y186&gt;=6),'Model inputs'!Y186&gt;=6,IF('Model inputs'!Y186="","",'Model inputs'!Y186&gt;=6))="",FALSE,IF(ISERROR('Model inputs'!Y186&gt;=6),'Model inputs'!Y186&gt;=6,IF('Model inputs'!Y186="","",'Model inputs'!Y186&gt;=6))),IF('Model inputs'!AJ38="","",'Model inputs'!AJ38),0))))))))</f>
        <v>3</v>
      </c>
      <c r="Z444" s="8">
        <f>IF(IF(IF(ISERROR('Model inputs'!Z186&gt;=24),'Model inputs'!Z186&gt;=24,IF('Model inputs'!Z186="","",'Model inputs'!Z186&gt;=24))="",FALSE,IF(ISERROR('Model inputs'!Z186&gt;=24),'Model inputs'!Z186&gt;=24,IF('Model inputs'!Z186="","",'Model inputs'!Z186&gt;=24))),IF('Model inputs'!AJ37="","",'Model inputs'!AJ37),IF(IF(IF(ISERROR('Model inputs'!Z186&gt;=23),'Model inputs'!Z186&gt;=23,IF('Model inputs'!Z186="","",'Model inputs'!Z186&gt;=23))="",FALSE,IF(ISERROR('Model inputs'!Z186&gt;=23),'Model inputs'!Z186&gt;=23,IF('Model inputs'!Z186="","",'Model inputs'!Z186&gt;=23))),IF('Model inputs'!AJ36="","",'Model inputs'!AJ36),IF(IF(IF(ISERROR('Model inputs'!Z186&gt;=21),'Model inputs'!Z186&gt;=21,IF('Model inputs'!Z186="","",'Model inputs'!Z186&gt;=21))="",FALSE,IF(ISERROR('Model inputs'!Z186&gt;=21),'Model inputs'!Z186&gt;=21,IF('Model inputs'!Z186="","",'Model inputs'!Z186&gt;=21))),IF('Model inputs'!AJ35="","",'Model inputs'!AJ35),IF(IF(IF(ISERROR('Model inputs'!Z186&gt;=18),'Model inputs'!Z186&gt;=18,IF('Model inputs'!Z186="","",'Model inputs'!Z186&gt;=18))="",FALSE,IF(ISERROR('Model inputs'!Z186&gt;=18),'Model inputs'!Z186&gt;=18,IF('Model inputs'!Z186="","",'Model inputs'!Z186&gt;=18))),IF('Model inputs'!AJ34="","",'Model inputs'!AJ34),IF(IF(IF(ISERROR('Model inputs'!Z186&gt;=15),'Model inputs'!Z186&gt;=15,IF('Model inputs'!Z186="","",'Model inputs'!Z186&gt;=15))="",FALSE,IF(ISERROR('Model inputs'!Z186&gt;=15),'Model inputs'!Z186&gt;=15,IF('Model inputs'!Z186="","",'Model inputs'!Z186&gt;=15))),IF('Model inputs'!AJ33="","",'Model inputs'!AJ33),IF(IF(IF(ISERROR('Model inputs'!Z186&gt;=12),'Model inputs'!Z186&gt;=12,IF('Model inputs'!Z186="","",'Model inputs'!Z186&gt;=12))="",FALSE,IF(ISERROR('Model inputs'!Z186&gt;=12),'Model inputs'!Z186&gt;=12,IF('Model inputs'!Z186="","",'Model inputs'!Z186&gt;=12))),IF('Model inputs'!AJ32="","",'Model inputs'!AJ32),IF(IF(IF(ISERROR('Model inputs'!Z186&gt;=9),'Model inputs'!Z186&gt;=9,IF('Model inputs'!Z186="","",'Model inputs'!Z186&gt;=9))="",FALSE,IF(ISERROR('Model inputs'!Z186&gt;=9),'Model inputs'!Z186&gt;=9,IF('Model inputs'!Z186="","",'Model inputs'!Z186&gt;=9))),IF('Model inputs'!AJ39="","",'Model inputs'!AJ39),IF(IF(IF(ISERROR('Model inputs'!Z186&gt;=6),'Model inputs'!Z186&gt;=6,IF('Model inputs'!Z186="","",'Model inputs'!Z186&gt;=6))="",FALSE,IF(ISERROR('Model inputs'!Z186&gt;=6),'Model inputs'!Z186&gt;=6,IF('Model inputs'!Z186="","",'Model inputs'!Z186&gt;=6))),IF('Model inputs'!AJ38="","",'Model inputs'!AJ38),0))))))))</f>
        <v>4</v>
      </c>
      <c r="AA444" s="8">
        <f>IF(IF(IF(ISERROR('Model inputs'!AA186&gt;=24),'Model inputs'!AA186&gt;=24,IF('Model inputs'!AA186="","",'Model inputs'!AA186&gt;=24))="",FALSE,IF(ISERROR('Model inputs'!AA186&gt;=24),'Model inputs'!AA186&gt;=24,IF('Model inputs'!AA186="","",'Model inputs'!AA186&gt;=24))),IF('Model inputs'!AJ37="","",'Model inputs'!AJ37),IF(IF(IF(ISERROR('Model inputs'!AA186&gt;=23),'Model inputs'!AA186&gt;=23,IF('Model inputs'!AA186="","",'Model inputs'!AA186&gt;=23))="",FALSE,IF(ISERROR('Model inputs'!AA186&gt;=23),'Model inputs'!AA186&gt;=23,IF('Model inputs'!AA186="","",'Model inputs'!AA186&gt;=23))),IF('Model inputs'!AJ36="","",'Model inputs'!AJ36),IF(IF(IF(ISERROR('Model inputs'!AA186&gt;=21),'Model inputs'!AA186&gt;=21,IF('Model inputs'!AA186="","",'Model inputs'!AA186&gt;=21))="",FALSE,IF(ISERROR('Model inputs'!AA186&gt;=21),'Model inputs'!AA186&gt;=21,IF('Model inputs'!AA186="","",'Model inputs'!AA186&gt;=21))),IF('Model inputs'!AJ35="","",'Model inputs'!AJ35),IF(IF(IF(ISERROR('Model inputs'!AA186&gt;=18),'Model inputs'!AA186&gt;=18,IF('Model inputs'!AA186="","",'Model inputs'!AA186&gt;=18))="",FALSE,IF(ISERROR('Model inputs'!AA186&gt;=18),'Model inputs'!AA186&gt;=18,IF('Model inputs'!AA186="","",'Model inputs'!AA186&gt;=18))),IF('Model inputs'!AJ34="","",'Model inputs'!AJ34),IF(IF(IF(ISERROR('Model inputs'!AA186&gt;=15),'Model inputs'!AA186&gt;=15,IF('Model inputs'!AA186="","",'Model inputs'!AA186&gt;=15))="",FALSE,IF(ISERROR('Model inputs'!AA186&gt;=15),'Model inputs'!AA186&gt;=15,IF('Model inputs'!AA186="","",'Model inputs'!AA186&gt;=15))),IF('Model inputs'!AJ33="","",'Model inputs'!AJ33),IF(IF(IF(ISERROR('Model inputs'!AA186&gt;=12),'Model inputs'!AA186&gt;=12,IF('Model inputs'!AA186="","",'Model inputs'!AA186&gt;=12))="",FALSE,IF(ISERROR('Model inputs'!AA186&gt;=12),'Model inputs'!AA186&gt;=12,IF('Model inputs'!AA186="","",'Model inputs'!AA186&gt;=12))),IF('Model inputs'!AJ32="","",'Model inputs'!AJ32),IF(IF(IF(ISERROR('Model inputs'!AA186&gt;=9),'Model inputs'!AA186&gt;=9,IF('Model inputs'!AA186="","",'Model inputs'!AA186&gt;=9))="",FALSE,IF(ISERROR('Model inputs'!AA186&gt;=9),'Model inputs'!AA186&gt;=9,IF('Model inputs'!AA186="","",'Model inputs'!AA186&gt;=9))),IF('Model inputs'!AJ39="","",'Model inputs'!AJ39),IF(IF(IF(ISERROR('Model inputs'!AA186&gt;=6),'Model inputs'!AA186&gt;=6,IF('Model inputs'!AA186="","",'Model inputs'!AA186&gt;=6))="",FALSE,IF(ISERROR('Model inputs'!AA186&gt;=6),'Model inputs'!AA186&gt;=6,IF('Model inputs'!AA186="","",'Model inputs'!AA186&gt;=6))),IF('Model inputs'!AJ38="","",'Model inputs'!AJ38),0))))))))</f>
        <v>4</v>
      </c>
      <c r="AB444" s="8">
        <f>IF(IF(IF(ISERROR('Model inputs'!AB186&gt;=24),'Model inputs'!AB186&gt;=24,IF('Model inputs'!AB186="","",'Model inputs'!AB186&gt;=24))="",FALSE,IF(ISERROR('Model inputs'!AB186&gt;=24),'Model inputs'!AB186&gt;=24,IF('Model inputs'!AB186="","",'Model inputs'!AB186&gt;=24))),IF('Model inputs'!AJ37="","",'Model inputs'!AJ37),IF(IF(IF(ISERROR('Model inputs'!AB186&gt;=23),'Model inputs'!AB186&gt;=23,IF('Model inputs'!AB186="","",'Model inputs'!AB186&gt;=23))="",FALSE,IF(ISERROR('Model inputs'!AB186&gt;=23),'Model inputs'!AB186&gt;=23,IF('Model inputs'!AB186="","",'Model inputs'!AB186&gt;=23))),IF('Model inputs'!AJ36="","",'Model inputs'!AJ36),IF(IF(IF(ISERROR('Model inputs'!AB186&gt;=21),'Model inputs'!AB186&gt;=21,IF('Model inputs'!AB186="","",'Model inputs'!AB186&gt;=21))="",FALSE,IF(ISERROR('Model inputs'!AB186&gt;=21),'Model inputs'!AB186&gt;=21,IF('Model inputs'!AB186="","",'Model inputs'!AB186&gt;=21))),IF('Model inputs'!AJ35="","",'Model inputs'!AJ35),IF(IF(IF(ISERROR('Model inputs'!AB186&gt;=18),'Model inputs'!AB186&gt;=18,IF('Model inputs'!AB186="","",'Model inputs'!AB186&gt;=18))="",FALSE,IF(ISERROR('Model inputs'!AB186&gt;=18),'Model inputs'!AB186&gt;=18,IF('Model inputs'!AB186="","",'Model inputs'!AB186&gt;=18))),IF('Model inputs'!AJ34="","",'Model inputs'!AJ34),IF(IF(IF(ISERROR('Model inputs'!AB186&gt;=15),'Model inputs'!AB186&gt;=15,IF('Model inputs'!AB186="","",'Model inputs'!AB186&gt;=15))="",FALSE,IF(ISERROR('Model inputs'!AB186&gt;=15),'Model inputs'!AB186&gt;=15,IF('Model inputs'!AB186="","",'Model inputs'!AB186&gt;=15))),IF('Model inputs'!AJ33="","",'Model inputs'!AJ33),IF(IF(IF(ISERROR('Model inputs'!AB186&gt;=12),'Model inputs'!AB186&gt;=12,IF('Model inputs'!AB186="","",'Model inputs'!AB186&gt;=12))="",FALSE,IF(ISERROR('Model inputs'!AB186&gt;=12),'Model inputs'!AB186&gt;=12,IF('Model inputs'!AB186="","",'Model inputs'!AB186&gt;=12))),IF('Model inputs'!AJ32="","",'Model inputs'!AJ32),IF(IF(IF(ISERROR('Model inputs'!AB186&gt;=9),'Model inputs'!AB186&gt;=9,IF('Model inputs'!AB186="","",'Model inputs'!AB186&gt;=9))="",FALSE,IF(ISERROR('Model inputs'!AB186&gt;=9),'Model inputs'!AB186&gt;=9,IF('Model inputs'!AB186="","",'Model inputs'!AB186&gt;=9))),IF('Model inputs'!AJ39="","",'Model inputs'!AJ39),IF(IF(IF(ISERROR('Model inputs'!AB186&gt;=6),'Model inputs'!AB186&gt;=6,IF('Model inputs'!AB186="","",'Model inputs'!AB186&gt;=6))="",FALSE,IF(ISERROR('Model inputs'!AB186&gt;=6),'Model inputs'!AB186&gt;=6,IF('Model inputs'!AB186="","",'Model inputs'!AB186&gt;=6))),IF('Model inputs'!AJ38="","",'Model inputs'!AJ38),0))))))))</f>
        <v>4</v>
      </c>
      <c r="AC444" s="8">
        <f>IF(IF(IF(ISERROR('Model inputs'!AC186&gt;=24),'Model inputs'!AC186&gt;=24,IF('Model inputs'!AC186="","",'Model inputs'!AC186&gt;=24))="",FALSE,IF(ISERROR('Model inputs'!AC186&gt;=24),'Model inputs'!AC186&gt;=24,IF('Model inputs'!AC186="","",'Model inputs'!AC186&gt;=24))),IF('Model inputs'!AJ37="","",'Model inputs'!AJ37),IF(IF(IF(ISERROR('Model inputs'!AC186&gt;=23),'Model inputs'!AC186&gt;=23,IF('Model inputs'!AC186="","",'Model inputs'!AC186&gt;=23))="",FALSE,IF(ISERROR('Model inputs'!AC186&gt;=23),'Model inputs'!AC186&gt;=23,IF('Model inputs'!AC186="","",'Model inputs'!AC186&gt;=23))),IF('Model inputs'!AJ36="","",'Model inputs'!AJ36),IF(IF(IF(ISERROR('Model inputs'!AC186&gt;=21),'Model inputs'!AC186&gt;=21,IF('Model inputs'!AC186="","",'Model inputs'!AC186&gt;=21))="",FALSE,IF(ISERROR('Model inputs'!AC186&gt;=21),'Model inputs'!AC186&gt;=21,IF('Model inputs'!AC186="","",'Model inputs'!AC186&gt;=21))),IF('Model inputs'!AJ35="","",'Model inputs'!AJ35),IF(IF(IF(ISERROR('Model inputs'!AC186&gt;=18),'Model inputs'!AC186&gt;=18,IF('Model inputs'!AC186="","",'Model inputs'!AC186&gt;=18))="",FALSE,IF(ISERROR('Model inputs'!AC186&gt;=18),'Model inputs'!AC186&gt;=18,IF('Model inputs'!AC186="","",'Model inputs'!AC186&gt;=18))),IF('Model inputs'!AJ34="","",'Model inputs'!AJ34),IF(IF(IF(ISERROR('Model inputs'!AC186&gt;=15),'Model inputs'!AC186&gt;=15,IF('Model inputs'!AC186="","",'Model inputs'!AC186&gt;=15))="",FALSE,IF(ISERROR('Model inputs'!AC186&gt;=15),'Model inputs'!AC186&gt;=15,IF('Model inputs'!AC186="","",'Model inputs'!AC186&gt;=15))),IF('Model inputs'!AJ33="","",'Model inputs'!AJ33),IF(IF(IF(ISERROR('Model inputs'!AC186&gt;=12),'Model inputs'!AC186&gt;=12,IF('Model inputs'!AC186="","",'Model inputs'!AC186&gt;=12))="",FALSE,IF(ISERROR('Model inputs'!AC186&gt;=12),'Model inputs'!AC186&gt;=12,IF('Model inputs'!AC186="","",'Model inputs'!AC186&gt;=12))),IF('Model inputs'!AJ32="","",'Model inputs'!AJ32),IF(IF(IF(ISERROR('Model inputs'!AC186&gt;=9),'Model inputs'!AC186&gt;=9,IF('Model inputs'!AC186="","",'Model inputs'!AC186&gt;=9))="",FALSE,IF(ISERROR('Model inputs'!AC186&gt;=9),'Model inputs'!AC186&gt;=9,IF('Model inputs'!AC186="","",'Model inputs'!AC186&gt;=9))),IF('Model inputs'!AJ39="","",'Model inputs'!AJ39),IF(IF(IF(ISERROR('Model inputs'!AC186&gt;=6),'Model inputs'!AC186&gt;=6,IF('Model inputs'!AC186="","",'Model inputs'!AC186&gt;=6))="",FALSE,IF(ISERROR('Model inputs'!AC186&gt;=6),'Model inputs'!AC186&gt;=6,IF('Model inputs'!AC186="","",'Model inputs'!AC186&gt;=6))),IF('Model inputs'!AJ38="","",'Model inputs'!AJ38),0))))))))</f>
        <v>5</v>
      </c>
      <c r="AD444" s="8">
        <f>IF(IF(IF(ISERROR('Model inputs'!AD186&gt;=24),'Model inputs'!AD186&gt;=24,IF('Model inputs'!AD186="","",'Model inputs'!AD186&gt;=24))="",FALSE,IF(ISERROR('Model inputs'!AD186&gt;=24),'Model inputs'!AD186&gt;=24,IF('Model inputs'!AD186="","",'Model inputs'!AD186&gt;=24))),IF('Model inputs'!AJ37="","",'Model inputs'!AJ37),IF(IF(IF(ISERROR('Model inputs'!AD186&gt;=23),'Model inputs'!AD186&gt;=23,IF('Model inputs'!AD186="","",'Model inputs'!AD186&gt;=23))="",FALSE,IF(ISERROR('Model inputs'!AD186&gt;=23),'Model inputs'!AD186&gt;=23,IF('Model inputs'!AD186="","",'Model inputs'!AD186&gt;=23))),IF('Model inputs'!AJ36="","",'Model inputs'!AJ36),IF(IF(IF(ISERROR('Model inputs'!AD186&gt;=21),'Model inputs'!AD186&gt;=21,IF('Model inputs'!AD186="","",'Model inputs'!AD186&gt;=21))="",FALSE,IF(ISERROR('Model inputs'!AD186&gt;=21),'Model inputs'!AD186&gt;=21,IF('Model inputs'!AD186="","",'Model inputs'!AD186&gt;=21))),IF('Model inputs'!AJ35="","",'Model inputs'!AJ35),IF(IF(IF(ISERROR('Model inputs'!AD186&gt;=18),'Model inputs'!AD186&gt;=18,IF('Model inputs'!AD186="","",'Model inputs'!AD186&gt;=18))="",FALSE,IF(ISERROR('Model inputs'!AD186&gt;=18),'Model inputs'!AD186&gt;=18,IF('Model inputs'!AD186="","",'Model inputs'!AD186&gt;=18))),IF('Model inputs'!AJ34="","",'Model inputs'!AJ34),IF(IF(IF(ISERROR('Model inputs'!AD186&gt;=15),'Model inputs'!AD186&gt;=15,IF('Model inputs'!AD186="","",'Model inputs'!AD186&gt;=15))="",FALSE,IF(ISERROR('Model inputs'!AD186&gt;=15),'Model inputs'!AD186&gt;=15,IF('Model inputs'!AD186="","",'Model inputs'!AD186&gt;=15))),IF('Model inputs'!AJ33="","",'Model inputs'!AJ33),IF(IF(IF(ISERROR('Model inputs'!AD186&gt;=12),'Model inputs'!AD186&gt;=12,IF('Model inputs'!AD186="","",'Model inputs'!AD186&gt;=12))="",FALSE,IF(ISERROR('Model inputs'!AD186&gt;=12),'Model inputs'!AD186&gt;=12,IF('Model inputs'!AD186="","",'Model inputs'!AD186&gt;=12))),IF('Model inputs'!AJ32="","",'Model inputs'!AJ32),IF(IF(IF(ISERROR('Model inputs'!AD186&gt;=9),'Model inputs'!AD186&gt;=9,IF('Model inputs'!AD186="","",'Model inputs'!AD186&gt;=9))="",FALSE,IF(ISERROR('Model inputs'!AD186&gt;=9),'Model inputs'!AD186&gt;=9,IF('Model inputs'!AD186="","",'Model inputs'!AD186&gt;=9))),IF('Model inputs'!AJ39="","",'Model inputs'!AJ39),IF(IF(IF(ISERROR('Model inputs'!AD186&gt;=6),'Model inputs'!AD186&gt;=6,IF('Model inputs'!AD186="","",'Model inputs'!AD186&gt;=6))="",FALSE,IF(ISERROR('Model inputs'!AD186&gt;=6),'Model inputs'!AD186&gt;=6,IF('Model inputs'!AD186="","",'Model inputs'!AD186&gt;=6))),IF('Model inputs'!AJ38="","",'Model inputs'!AJ38),0))))))))</f>
        <v>5</v>
      </c>
      <c r="AE444" s="8">
        <f>IF(IF(IF(ISERROR('Model inputs'!AE186&gt;=24),'Model inputs'!AE186&gt;=24,IF('Model inputs'!AE186="","",'Model inputs'!AE186&gt;=24))="",FALSE,IF(ISERROR('Model inputs'!AE186&gt;=24),'Model inputs'!AE186&gt;=24,IF('Model inputs'!AE186="","",'Model inputs'!AE186&gt;=24))),IF('Model inputs'!AJ37="","",'Model inputs'!AJ37),IF(IF(IF(ISERROR('Model inputs'!AE186&gt;=23),'Model inputs'!AE186&gt;=23,IF('Model inputs'!AE186="","",'Model inputs'!AE186&gt;=23))="",FALSE,IF(ISERROR('Model inputs'!AE186&gt;=23),'Model inputs'!AE186&gt;=23,IF('Model inputs'!AE186="","",'Model inputs'!AE186&gt;=23))),IF('Model inputs'!AJ36="","",'Model inputs'!AJ36),IF(IF(IF(ISERROR('Model inputs'!AE186&gt;=21),'Model inputs'!AE186&gt;=21,IF('Model inputs'!AE186="","",'Model inputs'!AE186&gt;=21))="",FALSE,IF(ISERROR('Model inputs'!AE186&gt;=21),'Model inputs'!AE186&gt;=21,IF('Model inputs'!AE186="","",'Model inputs'!AE186&gt;=21))),IF('Model inputs'!AJ35="","",'Model inputs'!AJ35),IF(IF(IF(ISERROR('Model inputs'!AE186&gt;=18),'Model inputs'!AE186&gt;=18,IF('Model inputs'!AE186="","",'Model inputs'!AE186&gt;=18))="",FALSE,IF(ISERROR('Model inputs'!AE186&gt;=18),'Model inputs'!AE186&gt;=18,IF('Model inputs'!AE186="","",'Model inputs'!AE186&gt;=18))),IF('Model inputs'!AJ34="","",'Model inputs'!AJ34),IF(IF(IF(ISERROR('Model inputs'!AE186&gt;=15),'Model inputs'!AE186&gt;=15,IF('Model inputs'!AE186="","",'Model inputs'!AE186&gt;=15))="",FALSE,IF(ISERROR('Model inputs'!AE186&gt;=15),'Model inputs'!AE186&gt;=15,IF('Model inputs'!AE186="","",'Model inputs'!AE186&gt;=15))),IF('Model inputs'!AJ33="","",'Model inputs'!AJ33),IF(IF(IF(ISERROR('Model inputs'!AE186&gt;=12),'Model inputs'!AE186&gt;=12,IF('Model inputs'!AE186="","",'Model inputs'!AE186&gt;=12))="",FALSE,IF(ISERROR('Model inputs'!AE186&gt;=12),'Model inputs'!AE186&gt;=12,IF('Model inputs'!AE186="","",'Model inputs'!AE186&gt;=12))),IF('Model inputs'!AJ32="","",'Model inputs'!AJ32),IF(IF(IF(ISERROR('Model inputs'!AE186&gt;=9),'Model inputs'!AE186&gt;=9,IF('Model inputs'!AE186="","",'Model inputs'!AE186&gt;=9))="",FALSE,IF(ISERROR('Model inputs'!AE186&gt;=9),'Model inputs'!AE186&gt;=9,IF('Model inputs'!AE186="","",'Model inputs'!AE186&gt;=9))),IF('Model inputs'!AJ39="","",'Model inputs'!AJ39),IF(IF(IF(ISERROR('Model inputs'!AE186&gt;=6),'Model inputs'!AE186&gt;=6,IF('Model inputs'!AE186="","",'Model inputs'!AE186&gt;=6))="",FALSE,IF(ISERROR('Model inputs'!AE186&gt;=6),'Model inputs'!AE186&gt;=6,IF('Model inputs'!AE186="","",'Model inputs'!AE186&gt;=6))),IF('Model inputs'!AJ38="","",'Model inputs'!AJ38),0))))))))</f>
        <v>5</v>
      </c>
      <c r="AF444" s="8">
        <f>IF(IF(IF(ISERROR('Model inputs'!AF186&gt;=24),'Model inputs'!AF186&gt;=24,IF('Model inputs'!AF186="","",'Model inputs'!AF186&gt;=24))="",FALSE,IF(ISERROR('Model inputs'!AF186&gt;=24),'Model inputs'!AF186&gt;=24,IF('Model inputs'!AF186="","",'Model inputs'!AF186&gt;=24))),IF('Model inputs'!AJ37="","",'Model inputs'!AJ37),IF(IF(IF(ISERROR('Model inputs'!AF186&gt;=23),'Model inputs'!AF186&gt;=23,IF('Model inputs'!AF186="","",'Model inputs'!AF186&gt;=23))="",FALSE,IF(ISERROR('Model inputs'!AF186&gt;=23),'Model inputs'!AF186&gt;=23,IF('Model inputs'!AF186="","",'Model inputs'!AF186&gt;=23))),IF('Model inputs'!AJ36="","",'Model inputs'!AJ36),IF(IF(IF(ISERROR('Model inputs'!AF186&gt;=21),'Model inputs'!AF186&gt;=21,IF('Model inputs'!AF186="","",'Model inputs'!AF186&gt;=21))="",FALSE,IF(ISERROR('Model inputs'!AF186&gt;=21),'Model inputs'!AF186&gt;=21,IF('Model inputs'!AF186="","",'Model inputs'!AF186&gt;=21))),IF('Model inputs'!AJ35="","",'Model inputs'!AJ35),IF(IF(IF(ISERROR('Model inputs'!AF186&gt;=18),'Model inputs'!AF186&gt;=18,IF('Model inputs'!AF186="","",'Model inputs'!AF186&gt;=18))="",FALSE,IF(ISERROR('Model inputs'!AF186&gt;=18),'Model inputs'!AF186&gt;=18,IF('Model inputs'!AF186="","",'Model inputs'!AF186&gt;=18))),IF('Model inputs'!AJ34="","",'Model inputs'!AJ34),IF(IF(IF(ISERROR('Model inputs'!AF186&gt;=15),'Model inputs'!AF186&gt;=15,IF('Model inputs'!AF186="","",'Model inputs'!AF186&gt;=15))="",FALSE,IF(ISERROR('Model inputs'!AF186&gt;=15),'Model inputs'!AF186&gt;=15,IF('Model inputs'!AF186="","",'Model inputs'!AF186&gt;=15))),IF('Model inputs'!AJ33="","",'Model inputs'!AJ33),IF(IF(IF(ISERROR('Model inputs'!AF186&gt;=12),'Model inputs'!AF186&gt;=12,IF('Model inputs'!AF186="","",'Model inputs'!AF186&gt;=12))="",FALSE,IF(ISERROR('Model inputs'!AF186&gt;=12),'Model inputs'!AF186&gt;=12,IF('Model inputs'!AF186="","",'Model inputs'!AF186&gt;=12))),IF('Model inputs'!AJ32="","",'Model inputs'!AJ32),IF(IF(IF(ISERROR('Model inputs'!AF186&gt;=9),'Model inputs'!AF186&gt;=9,IF('Model inputs'!AF186="","",'Model inputs'!AF186&gt;=9))="",FALSE,IF(ISERROR('Model inputs'!AF186&gt;=9),'Model inputs'!AF186&gt;=9,IF('Model inputs'!AF186="","",'Model inputs'!AF186&gt;=9))),IF('Model inputs'!AJ39="","",'Model inputs'!AJ39),IF(IF(IF(ISERROR('Model inputs'!AF186&gt;=6),'Model inputs'!AF186&gt;=6,IF('Model inputs'!AF186="","",'Model inputs'!AF186&gt;=6))="",FALSE,IF(ISERROR('Model inputs'!AF186&gt;=6),'Model inputs'!AF186&gt;=6,IF('Model inputs'!AF186="","",'Model inputs'!AF186&gt;=6))),IF('Model inputs'!AJ38="","",'Model inputs'!AJ38),0))))))))</f>
        <v>6</v>
      </c>
      <c r="AG444" s="8">
        <f>IF(IF(IF(ISERROR('Model inputs'!AG186&gt;=24),'Model inputs'!AG186&gt;=24,IF('Model inputs'!AG186="","",'Model inputs'!AG186&gt;=24))="",FALSE,IF(ISERROR('Model inputs'!AG186&gt;=24),'Model inputs'!AG186&gt;=24,IF('Model inputs'!AG186="","",'Model inputs'!AG186&gt;=24))),IF('Model inputs'!AJ37="","",'Model inputs'!AJ37),IF(IF(IF(ISERROR('Model inputs'!AG186&gt;=23),'Model inputs'!AG186&gt;=23,IF('Model inputs'!AG186="","",'Model inputs'!AG186&gt;=23))="",FALSE,IF(ISERROR('Model inputs'!AG186&gt;=23),'Model inputs'!AG186&gt;=23,IF('Model inputs'!AG186="","",'Model inputs'!AG186&gt;=23))),IF('Model inputs'!AJ36="","",'Model inputs'!AJ36),IF(IF(IF(ISERROR('Model inputs'!AG186&gt;=21),'Model inputs'!AG186&gt;=21,IF('Model inputs'!AG186="","",'Model inputs'!AG186&gt;=21))="",FALSE,IF(ISERROR('Model inputs'!AG186&gt;=21),'Model inputs'!AG186&gt;=21,IF('Model inputs'!AG186="","",'Model inputs'!AG186&gt;=21))),IF('Model inputs'!AJ35="","",'Model inputs'!AJ35),IF(IF(IF(ISERROR('Model inputs'!AG186&gt;=18),'Model inputs'!AG186&gt;=18,IF('Model inputs'!AG186="","",'Model inputs'!AG186&gt;=18))="",FALSE,IF(ISERROR('Model inputs'!AG186&gt;=18),'Model inputs'!AG186&gt;=18,IF('Model inputs'!AG186="","",'Model inputs'!AG186&gt;=18))),IF('Model inputs'!AJ34="","",'Model inputs'!AJ34),IF(IF(IF(ISERROR('Model inputs'!AG186&gt;=15),'Model inputs'!AG186&gt;=15,IF('Model inputs'!AG186="","",'Model inputs'!AG186&gt;=15))="",FALSE,IF(ISERROR('Model inputs'!AG186&gt;=15),'Model inputs'!AG186&gt;=15,IF('Model inputs'!AG186="","",'Model inputs'!AG186&gt;=15))),IF('Model inputs'!AJ33="","",'Model inputs'!AJ33),IF(IF(IF(ISERROR('Model inputs'!AG186&gt;=12),'Model inputs'!AG186&gt;=12,IF('Model inputs'!AG186="","",'Model inputs'!AG186&gt;=12))="",FALSE,IF(ISERROR('Model inputs'!AG186&gt;=12),'Model inputs'!AG186&gt;=12,IF('Model inputs'!AG186="","",'Model inputs'!AG186&gt;=12))),IF('Model inputs'!AJ32="","",'Model inputs'!AJ32),IF(IF(IF(ISERROR('Model inputs'!AG186&gt;=9),'Model inputs'!AG186&gt;=9,IF('Model inputs'!AG186="","",'Model inputs'!AG186&gt;=9))="",FALSE,IF(ISERROR('Model inputs'!AG186&gt;=9),'Model inputs'!AG186&gt;=9,IF('Model inputs'!AG186="","",'Model inputs'!AG186&gt;=9))),IF('Model inputs'!AJ39="","",'Model inputs'!AJ39),IF(IF(IF(ISERROR('Model inputs'!AG186&gt;=6),'Model inputs'!AG186&gt;=6,IF('Model inputs'!AG186="","",'Model inputs'!AG186&gt;=6))="",FALSE,IF(ISERROR('Model inputs'!AG186&gt;=6),'Model inputs'!AG186&gt;=6,IF('Model inputs'!AG186="","",'Model inputs'!AG186&gt;=6))),IF('Model inputs'!AJ38="","",'Model inputs'!AJ38),0))))))))</f>
        <v>6</v>
      </c>
      <c r="AH444" s="8">
        <f>IF(IF(IF(ISERROR('Model inputs'!AH186&gt;=24),'Model inputs'!AH186&gt;=24,IF('Model inputs'!AH186="","",'Model inputs'!AH186&gt;=24))="",FALSE,IF(ISERROR('Model inputs'!AH186&gt;=24),'Model inputs'!AH186&gt;=24,IF('Model inputs'!AH186="","",'Model inputs'!AH186&gt;=24))),IF('Model inputs'!AJ37="","",'Model inputs'!AJ37),IF(IF(IF(ISERROR('Model inputs'!AH186&gt;=23),'Model inputs'!AH186&gt;=23,IF('Model inputs'!AH186="","",'Model inputs'!AH186&gt;=23))="",FALSE,IF(ISERROR('Model inputs'!AH186&gt;=23),'Model inputs'!AH186&gt;=23,IF('Model inputs'!AH186="","",'Model inputs'!AH186&gt;=23))),IF('Model inputs'!AJ36="","",'Model inputs'!AJ36),IF(IF(IF(ISERROR('Model inputs'!AH186&gt;=21),'Model inputs'!AH186&gt;=21,IF('Model inputs'!AH186="","",'Model inputs'!AH186&gt;=21))="",FALSE,IF(ISERROR('Model inputs'!AH186&gt;=21),'Model inputs'!AH186&gt;=21,IF('Model inputs'!AH186="","",'Model inputs'!AH186&gt;=21))),IF('Model inputs'!AJ35="","",'Model inputs'!AJ35),IF(IF(IF(ISERROR('Model inputs'!AH186&gt;=18),'Model inputs'!AH186&gt;=18,IF('Model inputs'!AH186="","",'Model inputs'!AH186&gt;=18))="",FALSE,IF(ISERROR('Model inputs'!AH186&gt;=18),'Model inputs'!AH186&gt;=18,IF('Model inputs'!AH186="","",'Model inputs'!AH186&gt;=18))),IF('Model inputs'!AJ34="","",'Model inputs'!AJ34),IF(IF(IF(ISERROR('Model inputs'!AH186&gt;=15),'Model inputs'!AH186&gt;=15,IF('Model inputs'!AH186="","",'Model inputs'!AH186&gt;=15))="",FALSE,IF(ISERROR('Model inputs'!AH186&gt;=15),'Model inputs'!AH186&gt;=15,IF('Model inputs'!AH186="","",'Model inputs'!AH186&gt;=15))),IF('Model inputs'!AJ33="","",'Model inputs'!AJ33),IF(IF(IF(ISERROR('Model inputs'!AH186&gt;=12),'Model inputs'!AH186&gt;=12,IF('Model inputs'!AH186="","",'Model inputs'!AH186&gt;=12))="",FALSE,IF(ISERROR('Model inputs'!AH186&gt;=12),'Model inputs'!AH186&gt;=12,IF('Model inputs'!AH186="","",'Model inputs'!AH186&gt;=12))),IF('Model inputs'!AJ32="","",'Model inputs'!AJ32),IF(IF(IF(ISERROR('Model inputs'!AH186&gt;=9),'Model inputs'!AH186&gt;=9,IF('Model inputs'!AH186="","",'Model inputs'!AH186&gt;=9))="",FALSE,IF(ISERROR('Model inputs'!AH186&gt;=9),'Model inputs'!AH186&gt;=9,IF('Model inputs'!AH186="","",'Model inputs'!AH186&gt;=9))),IF('Model inputs'!AJ39="","",'Model inputs'!AJ39),IF(IF(IF(ISERROR('Model inputs'!AH186&gt;=6),'Model inputs'!AH186&gt;=6,IF('Model inputs'!AH186="","",'Model inputs'!AH186&gt;=6))="",FALSE,IF(ISERROR('Model inputs'!AH186&gt;=6),'Model inputs'!AH186&gt;=6,IF('Model inputs'!AH186="","",'Model inputs'!AH186&gt;=6))),IF('Model inputs'!AJ38="","",'Model inputs'!AJ38),0))))))))</f>
        <v>7</v>
      </c>
      <c r="AI444" s="8">
        <f>IF(IF(IF(ISERROR('Model inputs'!AI186&gt;=24),'Model inputs'!AI186&gt;=24,IF('Model inputs'!AI186="","",'Model inputs'!AI186&gt;=24))="",FALSE,IF(ISERROR('Model inputs'!AI186&gt;=24),'Model inputs'!AI186&gt;=24,IF('Model inputs'!AI186="","",'Model inputs'!AI186&gt;=24))),IF('Model inputs'!AJ37="","",'Model inputs'!AJ37),IF(IF(IF(ISERROR('Model inputs'!AI186&gt;=23),'Model inputs'!AI186&gt;=23,IF('Model inputs'!AI186="","",'Model inputs'!AI186&gt;=23))="",FALSE,IF(ISERROR('Model inputs'!AI186&gt;=23),'Model inputs'!AI186&gt;=23,IF('Model inputs'!AI186="","",'Model inputs'!AI186&gt;=23))),IF('Model inputs'!AJ36="","",'Model inputs'!AJ36),IF(IF(IF(ISERROR('Model inputs'!AI186&gt;=21),'Model inputs'!AI186&gt;=21,IF('Model inputs'!AI186="","",'Model inputs'!AI186&gt;=21))="",FALSE,IF(ISERROR('Model inputs'!AI186&gt;=21),'Model inputs'!AI186&gt;=21,IF('Model inputs'!AI186="","",'Model inputs'!AI186&gt;=21))),IF('Model inputs'!AJ35="","",'Model inputs'!AJ35),IF(IF(IF(ISERROR('Model inputs'!AI186&gt;=18),'Model inputs'!AI186&gt;=18,IF('Model inputs'!AI186="","",'Model inputs'!AI186&gt;=18))="",FALSE,IF(ISERROR('Model inputs'!AI186&gt;=18),'Model inputs'!AI186&gt;=18,IF('Model inputs'!AI186="","",'Model inputs'!AI186&gt;=18))),IF('Model inputs'!AJ34="","",'Model inputs'!AJ34),IF(IF(IF(ISERROR('Model inputs'!AI186&gt;=15),'Model inputs'!AI186&gt;=15,IF('Model inputs'!AI186="","",'Model inputs'!AI186&gt;=15))="",FALSE,IF(ISERROR('Model inputs'!AI186&gt;=15),'Model inputs'!AI186&gt;=15,IF('Model inputs'!AI186="","",'Model inputs'!AI186&gt;=15))),IF('Model inputs'!AJ33="","",'Model inputs'!AJ33),IF(IF(IF(ISERROR('Model inputs'!AI186&gt;=12),'Model inputs'!AI186&gt;=12,IF('Model inputs'!AI186="","",'Model inputs'!AI186&gt;=12))="",FALSE,IF(ISERROR('Model inputs'!AI186&gt;=12),'Model inputs'!AI186&gt;=12,IF('Model inputs'!AI186="","",'Model inputs'!AI186&gt;=12))),IF('Model inputs'!AJ32="","",'Model inputs'!AJ32),IF(IF(IF(ISERROR('Model inputs'!AI186&gt;=9),'Model inputs'!AI186&gt;=9,IF('Model inputs'!AI186="","",'Model inputs'!AI186&gt;=9))="",FALSE,IF(ISERROR('Model inputs'!AI186&gt;=9),'Model inputs'!AI186&gt;=9,IF('Model inputs'!AI186="","",'Model inputs'!AI186&gt;=9))),IF('Model inputs'!AJ39="","",'Model inputs'!AJ39),IF(IF(IF(ISERROR('Model inputs'!AI186&gt;=6),'Model inputs'!AI186&gt;=6,IF('Model inputs'!AI186="","",'Model inputs'!AI186&gt;=6))="",FALSE,IF(ISERROR('Model inputs'!AI186&gt;=6),'Model inputs'!AI186&gt;=6,IF('Model inputs'!AI186="","",'Model inputs'!AI186&gt;=6))),IF('Model inputs'!AJ38="","",'Model inputs'!AJ38),0))))))))</f>
        <v>8</v>
      </c>
    </row>
    <row r="445">
      <c r="A445" t="inlineStr" s="13">
        <is>
          <t xml:space="preserve">Haq CSR districts · Haq Ending cash · Growth · Growth</t>
        </is>
      </c>
      <c r="B445" s="8">
        <f>IF(IF(IF(ISERROR('Model inputs'!B187&gt;=24),'Model inputs'!B187&gt;=24,IF('Model inputs'!B187="","",'Model inputs'!B187&gt;=24))="",FALSE,IF(ISERROR('Model inputs'!B187&gt;=24),'Model inputs'!B187&gt;=24,IF('Model inputs'!B187="","",'Model inputs'!B187&gt;=24))),IF('Model inputs'!AJ93="","",'Model inputs'!AJ93),IF(IF(IF(ISERROR('Model inputs'!B187&gt;=23),'Model inputs'!B187&gt;=23,IF('Model inputs'!B187="","",'Model inputs'!B187&gt;=23))="",FALSE,IF(ISERROR('Model inputs'!B187&gt;=23),'Model inputs'!B187&gt;=23,IF('Model inputs'!B187="","",'Model inputs'!B187&gt;=23))),IF('Model inputs'!AJ92="","",'Model inputs'!AJ92),IF(IF(IF(ISERROR('Model inputs'!B187&gt;=21),'Model inputs'!B187&gt;=21,IF('Model inputs'!B187="","",'Model inputs'!B187&gt;=21))="",FALSE,IF(ISERROR('Model inputs'!B187&gt;=21),'Model inputs'!B187&gt;=21,IF('Model inputs'!B187="","",'Model inputs'!B187&gt;=21))),IF('Model inputs'!AJ91="","",'Model inputs'!AJ91),IF(IF(IF(ISERROR('Model inputs'!B187&gt;=18),'Model inputs'!B187&gt;=18,IF('Model inputs'!B187="","",'Model inputs'!B187&gt;=18))="",FALSE,IF(ISERROR('Model inputs'!B187&gt;=18),'Model inputs'!B187&gt;=18,IF('Model inputs'!B187="","",'Model inputs'!B187&gt;=18))),IF('Model inputs'!AJ90="","",'Model inputs'!AJ90),IF(IF(IF(ISERROR('Model inputs'!B187&gt;=15),'Model inputs'!B187&gt;=15,IF('Model inputs'!B187="","",'Model inputs'!B187&gt;=15))="",FALSE,IF(ISERROR('Model inputs'!B187&gt;=15),'Model inputs'!B187&gt;=15,IF('Model inputs'!B187="","",'Model inputs'!B187&gt;=15))),IF('Model inputs'!AJ89="","",'Model inputs'!AJ89),IF(IF(IF(ISERROR('Model inputs'!B187&gt;=12),'Model inputs'!B187&gt;=12,IF('Model inputs'!B187="","",'Model inputs'!B187&gt;=12))="",FALSE,IF(ISERROR('Model inputs'!B187&gt;=12),'Model inputs'!B187&gt;=12,IF('Model inputs'!B187="","",'Model inputs'!B187&gt;=12))),IF('Model inputs'!AJ88="","",'Model inputs'!AJ88),IF(IF(IF(ISERROR('Model inputs'!B187&gt;=9),'Model inputs'!B187&gt;=9,IF('Model inputs'!B187="","",'Model inputs'!B187&gt;=9))="",FALSE,IF(ISERROR('Model inputs'!B187&gt;=9),'Model inputs'!B187&gt;=9,IF('Model inputs'!B187="","",'Model inputs'!B187&gt;=9))),IF('Model inputs'!AJ95="","",'Model inputs'!AJ95),IF(IF(IF(ISERROR('Model inputs'!B187&gt;=6),'Model inputs'!B187&gt;=6,IF('Model inputs'!B187="","",'Model inputs'!B187&gt;=6))="",FALSE,IF(ISERROR('Model inputs'!B187&gt;=6),'Model inputs'!B187&gt;=6,IF('Model inputs'!B187="","",'Model inputs'!B187&gt;=6))),IF('Model inputs'!AJ94="","",'Model inputs'!AJ94),0))))))))</f>
        <v>0</v>
      </c>
      <c r="C445" s="8">
        <f>IF(IF(IF(ISERROR('Model inputs'!C187&gt;=24),'Model inputs'!C187&gt;=24,IF('Model inputs'!C187="","",'Model inputs'!C187&gt;=24))="",FALSE,IF(ISERROR('Model inputs'!C187&gt;=24),'Model inputs'!C187&gt;=24,IF('Model inputs'!C187="","",'Model inputs'!C187&gt;=24))),IF('Model inputs'!AJ93="","",'Model inputs'!AJ93),IF(IF(IF(ISERROR('Model inputs'!C187&gt;=23),'Model inputs'!C187&gt;=23,IF('Model inputs'!C187="","",'Model inputs'!C187&gt;=23))="",FALSE,IF(ISERROR('Model inputs'!C187&gt;=23),'Model inputs'!C187&gt;=23,IF('Model inputs'!C187="","",'Model inputs'!C187&gt;=23))),IF('Model inputs'!AJ92="","",'Model inputs'!AJ92),IF(IF(IF(ISERROR('Model inputs'!C187&gt;=21),'Model inputs'!C187&gt;=21,IF('Model inputs'!C187="","",'Model inputs'!C187&gt;=21))="",FALSE,IF(ISERROR('Model inputs'!C187&gt;=21),'Model inputs'!C187&gt;=21,IF('Model inputs'!C187="","",'Model inputs'!C187&gt;=21))),IF('Model inputs'!AJ91="","",'Model inputs'!AJ91),IF(IF(IF(ISERROR('Model inputs'!C187&gt;=18),'Model inputs'!C187&gt;=18,IF('Model inputs'!C187="","",'Model inputs'!C187&gt;=18))="",FALSE,IF(ISERROR('Model inputs'!C187&gt;=18),'Model inputs'!C187&gt;=18,IF('Model inputs'!C187="","",'Model inputs'!C187&gt;=18))),IF('Model inputs'!AJ90="","",'Model inputs'!AJ90),IF(IF(IF(ISERROR('Model inputs'!C187&gt;=15),'Model inputs'!C187&gt;=15,IF('Model inputs'!C187="","",'Model inputs'!C187&gt;=15))="",FALSE,IF(ISERROR('Model inputs'!C187&gt;=15),'Model inputs'!C187&gt;=15,IF('Model inputs'!C187="","",'Model inputs'!C187&gt;=15))),IF('Model inputs'!AJ89="","",'Model inputs'!AJ89),IF(IF(IF(ISERROR('Model inputs'!C187&gt;=12),'Model inputs'!C187&gt;=12,IF('Model inputs'!C187="","",'Model inputs'!C187&gt;=12))="",FALSE,IF(ISERROR('Model inputs'!C187&gt;=12),'Model inputs'!C187&gt;=12,IF('Model inputs'!C187="","",'Model inputs'!C187&gt;=12))),IF('Model inputs'!AJ88="","",'Model inputs'!AJ88),IF(IF(IF(ISERROR('Model inputs'!C187&gt;=9),'Model inputs'!C187&gt;=9,IF('Model inputs'!C187="","",'Model inputs'!C187&gt;=9))="",FALSE,IF(ISERROR('Model inputs'!C187&gt;=9),'Model inputs'!C187&gt;=9,IF('Model inputs'!C187="","",'Model inputs'!C187&gt;=9))),IF('Model inputs'!AJ95="","",'Model inputs'!AJ95),IF(IF(IF(ISERROR('Model inputs'!C187&gt;=6),'Model inputs'!C187&gt;=6,IF('Model inputs'!C187="","",'Model inputs'!C187&gt;=6))="",FALSE,IF(ISERROR('Model inputs'!C187&gt;=6),'Model inputs'!C187&gt;=6,IF('Model inputs'!C187="","",'Model inputs'!C187&gt;=6))),IF('Model inputs'!AJ94="","",'Model inputs'!AJ94),0))))))))</f>
        <v>0</v>
      </c>
      <c r="D445" s="8">
        <f>IF(IF(IF(ISERROR('Model inputs'!D187&gt;=24),'Model inputs'!D187&gt;=24,IF('Model inputs'!D187="","",'Model inputs'!D187&gt;=24))="",FALSE,IF(ISERROR('Model inputs'!D187&gt;=24),'Model inputs'!D187&gt;=24,IF('Model inputs'!D187="","",'Model inputs'!D187&gt;=24))),IF('Model inputs'!AJ93="","",'Model inputs'!AJ93),IF(IF(IF(ISERROR('Model inputs'!D187&gt;=23),'Model inputs'!D187&gt;=23,IF('Model inputs'!D187="","",'Model inputs'!D187&gt;=23))="",FALSE,IF(ISERROR('Model inputs'!D187&gt;=23),'Model inputs'!D187&gt;=23,IF('Model inputs'!D187="","",'Model inputs'!D187&gt;=23))),IF('Model inputs'!AJ92="","",'Model inputs'!AJ92),IF(IF(IF(ISERROR('Model inputs'!D187&gt;=21),'Model inputs'!D187&gt;=21,IF('Model inputs'!D187="","",'Model inputs'!D187&gt;=21))="",FALSE,IF(ISERROR('Model inputs'!D187&gt;=21),'Model inputs'!D187&gt;=21,IF('Model inputs'!D187="","",'Model inputs'!D187&gt;=21))),IF('Model inputs'!AJ91="","",'Model inputs'!AJ91),IF(IF(IF(ISERROR('Model inputs'!D187&gt;=18),'Model inputs'!D187&gt;=18,IF('Model inputs'!D187="","",'Model inputs'!D187&gt;=18))="",FALSE,IF(ISERROR('Model inputs'!D187&gt;=18),'Model inputs'!D187&gt;=18,IF('Model inputs'!D187="","",'Model inputs'!D187&gt;=18))),IF('Model inputs'!AJ90="","",'Model inputs'!AJ90),IF(IF(IF(ISERROR('Model inputs'!D187&gt;=15),'Model inputs'!D187&gt;=15,IF('Model inputs'!D187="","",'Model inputs'!D187&gt;=15))="",FALSE,IF(ISERROR('Model inputs'!D187&gt;=15),'Model inputs'!D187&gt;=15,IF('Model inputs'!D187="","",'Model inputs'!D187&gt;=15))),IF('Model inputs'!AJ89="","",'Model inputs'!AJ89),IF(IF(IF(ISERROR('Model inputs'!D187&gt;=12),'Model inputs'!D187&gt;=12,IF('Model inputs'!D187="","",'Model inputs'!D187&gt;=12))="",FALSE,IF(ISERROR('Model inputs'!D187&gt;=12),'Model inputs'!D187&gt;=12,IF('Model inputs'!D187="","",'Model inputs'!D187&gt;=12))),IF('Model inputs'!AJ88="","",'Model inputs'!AJ88),IF(IF(IF(ISERROR('Model inputs'!D187&gt;=9),'Model inputs'!D187&gt;=9,IF('Model inputs'!D187="","",'Model inputs'!D187&gt;=9))="",FALSE,IF(ISERROR('Model inputs'!D187&gt;=9),'Model inputs'!D187&gt;=9,IF('Model inputs'!D187="","",'Model inputs'!D187&gt;=9))),IF('Model inputs'!AJ95="","",'Model inputs'!AJ95),IF(IF(IF(ISERROR('Model inputs'!D187&gt;=6),'Model inputs'!D187&gt;=6,IF('Model inputs'!D187="","",'Model inputs'!D187&gt;=6))="",FALSE,IF(ISERROR('Model inputs'!D187&gt;=6),'Model inputs'!D187&gt;=6,IF('Model inputs'!D187="","",'Model inputs'!D187&gt;=6))),IF('Model inputs'!AJ94="","",'Model inputs'!AJ94),0))))))))</f>
        <v>0</v>
      </c>
      <c r="E445" s="8">
        <f>IF(IF(IF(ISERROR('Model inputs'!E187&gt;=24),'Model inputs'!E187&gt;=24,IF('Model inputs'!E187="","",'Model inputs'!E187&gt;=24))="",FALSE,IF(ISERROR('Model inputs'!E187&gt;=24),'Model inputs'!E187&gt;=24,IF('Model inputs'!E187="","",'Model inputs'!E187&gt;=24))),IF('Model inputs'!AJ93="","",'Model inputs'!AJ93),IF(IF(IF(ISERROR('Model inputs'!E187&gt;=23),'Model inputs'!E187&gt;=23,IF('Model inputs'!E187="","",'Model inputs'!E187&gt;=23))="",FALSE,IF(ISERROR('Model inputs'!E187&gt;=23),'Model inputs'!E187&gt;=23,IF('Model inputs'!E187="","",'Model inputs'!E187&gt;=23))),IF('Model inputs'!AJ92="","",'Model inputs'!AJ92),IF(IF(IF(ISERROR('Model inputs'!E187&gt;=21),'Model inputs'!E187&gt;=21,IF('Model inputs'!E187="","",'Model inputs'!E187&gt;=21))="",FALSE,IF(ISERROR('Model inputs'!E187&gt;=21),'Model inputs'!E187&gt;=21,IF('Model inputs'!E187="","",'Model inputs'!E187&gt;=21))),IF('Model inputs'!AJ91="","",'Model inputs'!AJ91),IF(IF(IF(ISERROR('Model inputs'!E187&gt;=18),'Model inputs'!E187&gt;=18,IF('Model inputs'!E187="","",'Model inputs'!E187&gt;=18))="",FALSE,IF(ISERROR('Model inputs'!E187&gt;=18),'Model inputs'!E187&gt;=18,IF('Model inputs'!E187="","",'Model inputs'!E187&gt;=18))),IF('Model inputs'!AJ90="","",'Model inputs'!AJ90),IF(IF(IF(ISERROR('Model inputs'!E187&gt;=15),'Model inputs'!E187&gt;=15,IF('Model inputs'!E187="","",'Model inputs'!E187&gt;=15))="",FALSE,IF(ISERROR('Model inputs'!E187&gt;=15),'Model inputs'!E187&gt;=15,IF('Model inputs'!E187="","",'Model inputs'!E187&gt;=15))),IF('Model inputs'!AJ89="","",'Model inputs'!AJ89),IF(IF(IF(ISERROR('Model inputs'!E187&gt;=12),'Model inputs'!E187&gt;=12,IF('Model inputs'!E187="","",'Model inputs'!E187&gt;=12))="",FALSE,IF(ISERROR('Model inputs'!E187&gt;=12),'Model inputs'!E187&gt;=12,IF('Model inputs'!E187="","",'Model inputs'!E187&gt;=12))),IF('Model inputs'!AJ88="","",'Model inputs'!AJ88),IF(IF(IF(ISERROR('Model inputs'!E187&gt;=9),'Model inputs'!E187&gt;=9,IF('Model inputs'!E187="","",'Model inputs'!E187&gt;=9))="",FALSE,IF(ISERROR('Model inputs'!E187&gt;=9),'Model inputs'!E187&gt;=9,IF('Model inputs'!E187="","",'Model inputs'!E187&gt;=9))),IF('Model inputs'!AJ95="","",'Model inputs'!AJ95),IF(IF(IF(ISERROR('Model inputs'!E187&gt;=6),'Model inputs'!E187&gt;=6,IF('Model inputs'!E187="","",'Model inputs'!E187&gt;=6))="",FALSE,IF(ISERROR('Model inputs'!E187&gt;=6),'Model inputs'!E187&gt;=6,IF('Model inputs'!E187="","",'Model inputs'!E187&gt;=6))),IF('Model inputs'!AJ94="","",'Model inputs'!AJ94),0))))))))</f>
        <v>0</v>
      </c>
      <c r="F445" s="8">
        <f>IF(IF(IF(ISERROR('Model inputs'!F187&gt;=24),'Model inputs'!F187&gt;=24,IF('Model inputs'!F187="","",'Model inputs'!F187&gt;=24))="",FALSE,IF(ISERROR('Model inputs'!F187&gt;=24),'Model inputs'!F187&gt;=24,IF('Model inputs'!F187="","",'Model inputs'!F187&gt;=24))),IF('Model inputs'!AJ93="","",'Model inputs'!AJ93),IF(IF(IF(ISERROR('Model inputs'!F187&gt;=23),'Model inputs'!F187&gt;=23,IF('Model inputs'!F187="","",'Model inputs'!F187&gt;=23))="",FALSE,IF(ISERROR('Model inputs'!F187&gt;=23),'Model inputs'!F187&gt;=23,IF('Model inputs'!F187="","",'Model inputs'!F187&gt;=23))),IF('Model inputs'!AJ92="","",'Model inputs'!AJ92),IF(IF(IF(ISERROR('Model inputs'!F187&gt;=21),'Model inputs'!F187&gt;=21,IF('Model inputs'!F187="","",'Model inputs'!F187&gt;=21))="",FALSE,IF(ISERROR('Model inputs'!F187&gt;=21),'Model inputs'!F187&gt;=21,IF('Model inputs'!F187="","",'Model inputs'!F187&gt;=21))),IF('Model inputs'!AJ91="","",'Model inputs'!AJ91),IF(IF(IF(ISERROR('Model inputs'!F187&gt;=18),'Model inputs'!F187&gt;=18,IF('Model inputs'!F187="","",'Model inputs'!F187&gt;=18))="",FALSE,IF(ISERROR('Model inputs'!F187&gt;=18),'Model inputs'!F187&gt;=18,IF('Model inputs'!F187="","",'Model inputs'!F187&gt;=18))),IF('Model inputs'!AJ90="","",'Model inputs'!AJ90),IF(IF(IF(ISERROR('Model inputs'!F187&gt;=15),'Model inputs'!F187&gt;=15,IF('Model inputs'!F187="","",'Model inputs'!F187&gt;=15))="",FALSE,IF(ISERROR('Model inputs'!F187&gt;=15),'Model inputs'!F187&gt;=15,IF('Model inputs'!F187="","",'Model inputs'!F187&gt;=15))),IF('Model inputs'!AJ89="","",'Model inputs'!AJ89),IF(IF(IF(ISERROR('Model inputs'!F187&gt;=12),'Model inputs'!F187&gt;=12,IF('Model inputs'!F187="","",'Model inputs'!F187&gt;=12))="",FALSE,IF(ISERROR('Model inputs'!F187&gt;=12),'Model inputs'!F187&gt;=12,IF('Model inputs'!F187="","",'Model inputs'!F187&gt;=12))),IF('Model inputs'!AJ88="","",'Model inputs'!AJ88),IF(IF(IF(ISERROR('Model inputs'!F187&gt;=9),'Model inputs'!F187&gt;=9,IF('Model inputs'!F187="","",'Model inputs'!F187&gt;=9))="",FALSE,IF(ISERROR('Model inputs'!F187&gt;=9),'Model inputs'!F187&gt;=9,IF('Model inputs'!F187="","",'Model inputs'!F187&gt;=9))),IF('Model inputs'!AJ95="","",'Model inputs'!AJ95),IF(IF(IF(ISERROR('Model inputs'!F187&gt;=6),'Model inputs'!F187&gt;=6,IF('Model inputs'!F187="","",'Model inputs'!F187&gt;=6))="",FALSE,IF(ISERROR('Model inputs'!F187&gt;=6),'Model inputs'!F187&gt;=6,IF('Model inputs'!F187="","",'Model inputs'!F187&gt;=6))),IF('Model inputs'!AJ94="","",'Model inputs'!AJ94),0))))))))</f>
        <v>0</v>
      </c>
      <c r="G445" s="8">
        <f>IF(IF(IF(ISERROR('Model inputs'!G187&gt;=24),'Model inputs'!G187&gt;=24,IF('Model inputs'!G187="","",'Model inputs'!G187&gt;=24))="",FALSE,IF(ISERROR('Model inputs'!G187&gt;=24),'Model inputs'!G187&gt;=24,IF('Model inputs'!G187="","",'Model inputs'!G187&gt;=24))),IF('Model inputs'!AJ93="","",'Model inputs'!AJ93),IF(IF(IF(ISERROR('Model inputs'!G187&gt;=23),'Model inputs'!G187&gt;=23,IF('Model inputs'!G187="","",'Model inputs'!G187&gt;=23))="",FALSE,IF(ISERROR('Model inputs'!G187&gt;=23),'Model inputs'!G187&gt;=23,IF('Model inputs'!G187="","",'Model inputs'!G187&gt;=23))),IF('Model inputs'!AJ92="","",'Model inputs'!AJ92),IF(IF(IF(ISERROR('Model inputs'!G187&gt;=21),'Model inputs'!G187&gt;=21,IF('Model inputs'!G187="","",'Model inputs'!G187&gt;=21))="",FALSE,IF(ISERROR('Model inputs'!G187&gt;=21),'Model inputs'!G187&gt;=21,IF('Model inputs'!G187="","",'Model inputs'!G187&gt;=21))),IF('Model inputs'!AJ91="","",'Model inputs'!AJ91),IF(IF(IF(ISERROR('Model inputs'!G187&gt;=18),'Model inputs'!G187&gt;=18,IF('Model inputs'!G187="","",'Model inputs'!G187&gt;=18))="",FALSE,IF(ISERROR('Model inputs'!G187&gt;=18),'Model inputs'!G187&gt;=18,IF('Model inputs'!G187="","",'Model inputs'!G187&gt;=18))),IF('Model inputs'!AJ90="","",'Model inputs'!AJ90),IF(IF(IF(ISERROR('Model inputs'!G187&gt;=15),'Model inputs'!G187&gt;=15,IF('Model inputs'!G187="","",'Model inputs'!G187&gt;=15))="",FALSE,IF(ISERROR('Model inputs'!G187&gt;=15),'Model inputs'!G187&gt;=15,IF('Model inputs'!G187="","",'Model inputs'!G187&gt;=15))),IF('Model inputs'!AJ89="","",'Model inputs'!AJ89),IF(IF(IF(ISERROR('Model inputs'!G187&gt;=12),'Model inputs'!G187&gt;=12,IF('Model inputs'!G187="","",'Model inputs'!G187&gt;=12))="",FALSE,IF(ISERROR('Model inputs'!G187&gt;=12),'Model inputs'!G187&gt;=12,IF('Model inputs'!G187="","",'Model inputs'!G187&gt;=12))),IF('Model inputs'!AJ88="","",'Model inputs'!AJ88),IF(IF(IF(ISERROR('Model inputs'!G187&gt;=9),'Model inputs'!G187&gt;=9,IF('Model inputs'!G187="","",'Model inputs'!G187&gt;=9))="",FALSE,IF(ISERROR('Model inputs'!G187&gt;=9),'Model inputs'!G187&gt;=9,IF('Model inputs'!G187="","",'Model inputs'!G187&gt;=9))),IF('Model inputs'!AJ95="","",'Model inputs'!AJ95),IF(IF(IF(ISERROR('Model inputs'!G187&gt;=6),'Model inputs'!G187&gt;=6,IF('Model inputs'!G187="","",'Model inputs'!G187&gt;=6))="",FALSE,IF(ISERROR('Model inputs'!G187&gt;=6),'Model inputs'!G187&gt;=6,IF('Model inputs'!G187="","",'Model inputs'!G187&gt;=6))),IF('Model inputs'!AJ94="","",'Model inputs'!AJ94),0))))))))</f>
        <v>0</v>
      </c>
      <c r="H445" s="8">
        <f>IF(IF(IF(ISERROR('Model inputs'!H187&gt;=24),'Model inputs'!H187&gt;=24,IF('Model inputs'!H187="","",'Model inputs'!H187&gt;=24))="",FALSE,IF(ISERROR('Model inputs'!H187&gt;=24),'Model inputs'!H187&gt;=24,IF('Model inputs'!H187="","",'Model inputs'!H187&gt;=24))),IF('Model inputs'!AJ93="","",'Model inputs'!AJ93),IF(IF(IF(ISERROR('Model inputs'!H187&gt;=23),'Model inputs'!H187&gt;=23,IF('Model inputs'!H187="","",'Model inputs'!H187&gt;=23))="",FALSE,IF(ISERROR('Model inputs'!H187&gt;=23),'Model inputs'!H187&gt;=23,IF('Model inputs'!H187="","",'Model inputs'!H187&gt;=23))),IF('Model inputs'!AJ92="","",'Model inputs'!AJ92),IF(IF(IF(ISERROR('Model inputs'!H187&gt;=21),'Model inputs'!H187&gt;=21,IF('Model inputs'!H187="","",'Model inputs'!H187&gt;=21))="",FALSE,IF(ISERROR('Model inputs'!H187&gt;=21),'Model inputs'!H187&gt;=21,IF('Model inputs'!H187="","",'Model inputs'!H187&gt;=21))),IF('Model inputs'!AJ91="","",'Model inputs'!AJ91),IF(IF(IF(ISERROR('Model inputs'!H187&gt;=18),'Model inputs'!H187&gt;=18,IF('Model inputs'!H187="","",'Model inputs'!H187&gt;=18))="",FALSE,IF(ISERROR('Model inputs'!H187&gt;=18),'Model inputs'!H187&gt;=18,IF('Model inputs'!H187="","",'Model inputs'!H187&gt;=18))),IF('Model inputs'!AJ90="","",'Model inputs'!AJ90),IF(IF(IF(ISERROR('Model inputs'!H187&gt;=15),'Model inputs'!H187&gt;=15,IF('Model inputs'!H187="","",'Model inputs'!H187&gt;=15))="",FALSE,IF(ISERROR('Model inputs'!H187&gt;=15),'Model inputs'!H187&gt;=15,IF('Model inputs'!H187="","",'Model inputs'!H187&gt;=15))),IF('Model inputs'!AJ89="","",'Model inputs'!AJ89),IF(IF(IF(ISERROR('Model inputs'!H187&gt;=12),'Model inputs'!H187&gt;=12,IF('Model inputs'!H187="","",'Model inputs'!H187&gt;=12))="",FALSE,IF(ISERROR('Model inputs'!H187&gt;=12),'Model inputs'!H187&gt;=12,IF('Model inputs'!H187="","",'Model inputs'!H187&gt;=12))),IF('Model inputs'!AJ88="","",'Model inputs'!AJ88),IF(IF(IF(ISERROR('Model inputs'!H187&gt;=9),'Model inputs'!H187&gt;=9,IF('Model inputs'!H187="","",'Model inputs'!H187&gt;=9))="",FALSE,IF(ISERROR('Model inputs'!H187&gt;=9),'Model inputs'!H187&gt;=9,IF('Model inputs'!H187="","",'Model inputs'!H187&gt;=9))),IF('Model inputs'!AJ95="","",'Model inputs'!AJ95),IF(IF(IF(ISERROR('Model inputs'!H187&gt;=6),'Model inputs'!H187&gt;=6,IF('Model inputs'!H187="","",'Model inputs'!H187&gt;=6))="",FALSE,IF(ISERROR('Model inputs'!H187&gt;=6),'Model inputs'!H187&gt;=6,IF('Model inputs'!H187="","",'Model inputs'!H187&gt;=6))),IF('Model inputs'!AJ94="","",'Model inputs'!AJ94),0))))))))</f>
        <v>0</v>
      </c>
      <c r="I445" s="8">
        <f>IF(IF(IF(ISERROR('Model inputs'!I187&gt;=24),'Model inputs'!I187&gt;=24,IF('Model inputs'!I187="","",'Model inputs'!I187&gt;=24))="",FALSE,IF(ISERROR('Model inputs'!I187&gt;=24),'Model inputs'!I187&gt;=24,IF('Model inputs'!I187="","",'Model inputs'!I187&gt;=24))),IF('Model inputs'!AJ93="","",'Model inputs'!AJ93),IF(IF(IF(ISERROR('Model inputs'!I187&gt;=23),'Model inputs'!I187&gt;=23,IF('Model inputs'!I187="","",'Model inputs'!I187&gt;=23))="",FALSE,IF(ISERROR('Model inputs'!I187&gt;=23),'Model inputs'!I187&gt;=23,IF('Model inputs'!I187="","",'Model inputs'!I187&gt;=23))),IF('Model inputs'!AJ92="","",'Model inputs'!AJ92),IF(IF(IF(ISERROR('Model inputs'!I187&gt;=21),'Model inputs'!I187&gt;=21,IF('Model inputs'!I187="","",'Model inputs'!I187&gt;=21))="",FALSE,IF(ISERROR('Model inputs'!I187&gt;=21),'Model inputs'!I187&gt;=21,IF('Model inputs'!I187="","",'Model inputs'!I187&gt;=21))),IF('Model inputs'!AJ91="","",'Model inputs'!AJ91),IF(IF(IF(ISERROR('Model inputs'!I187&gt;=18),'Model inputs'!I187&gt;=18,IF('Model inputs'!I187="","",'Model inputs'!I187&gt;=18))="",FALSE,IF(ISERROR('Model inputs'!I187&gt;=18),'Model inputs'!I187&gt;=18,IF('Model inputs'!I187="","",'Model inputs'!I187&gt;=18))),IF('Model inputs'!AJ90="","",'Model inputs'!AJ90),IF(IF(IF(ISERROR('Model inputs'!I187&gt;=15),'Model inputs'!I187&gt;=15,IF('Model inputs'!I187="","",'Model inputs'!I187&gt;=15))="",FALSE,IF(ISERROR('Model inputs'!I187&gt;=15),'Model inputs'!I187&gt;=15,IF('Model inputs'!I187="","",'Model inputs'!I187&gt;=15))),IF('Model inputs'!AJ89="","",'Model inputs'!AJ89),IF(IF(IF(ISERROR('Model inputs'!I187&gt;=12),'Model inputs'!I187&gt;=12,IF('Model inputs'!I187="","",'Model inputs'!I187&gt;=12))="",FALSE,IF(ISERROR('Model inputs'!I187&gt;=12),'Model inputs'!I187&gt;=12,IF('Model inputs'!I187="","",'Model inputs'!I187&gt;=12))),IF('Model inputs'!AJ88="","",'Model inputs'!AJ88),IF(IF(IF(ISERROR('Model inputs'!I187&gt;=9),'Model inputs'!I187&gt;=9,IF('Model inputs'!I187="","",'Model inputs'!I187&gt;=9))="",FALSE,IF(ISERROR('Model inputs'!I187&gt;=9),'Model inputs'!I187&gt;=9,IF('Model inputs'!I187="","",'Model inputs'!I187&gt;=9))),IF('Model inputs'!AJ95="","",'Model inputs'!AJ95),IF(IF(IF(ISERROR('Model inputs'!I187&gt;=6),'Model inputs'!I187&gt;=6,IF('Model inputs'!I187="","",'Model inputs'!I187&gt;=6))="",FALSE,IF(ISERROR('Model inputs'!I187&gt;=6),'Model inputs'!I187&gt;=6,IF('Model inputs'!I187="","",'Model inputs'!I187&gt;=6))),IF('Model inputs'!AJ94="","",'Model inputs'!AJ94),0))))))))</f>
        <v>0</v>
      </c>
      <c r="J445" s="8">
        <f>IF(IF(IF(ISERROR('Model inputs'!J187&gt;=24),'Model inputs'!J187&gt;=24,IF('Model inputs'!J187="","",'Model inputs'!J187&gt;=24))="",FALSE,IF(ISERROR('Model inputs'!J187&gt;=24),'Model inputs'!J187&gt;=24,IF('Model inputs'!J187="","",'Model inputs'!J187&gt;=24))),IF('Model inputs'!AJ93="","",'Model inputs'!AJ93),IF(IF(IF(ISERROR('Model inputs'!J187&gt;=23),'Model inputs'!J187&gt;=23,IF('Model inputs'!J187="","",'Model inputs'!J187&gt;=23))="",FALSE,IF(ISERROR('Model inputs'!J187&gt;=23),'Model inputs'!J187&gt;=23,IF('Model inputs'!J187="","",'Model inputs'!J187&gt;=23))),IF('Model inputs'!AJ92="","",'Model inputs'!AJ92),IF(IF(IF(ISERROR('Model inputs'!J187&gt;=21),'Model inputs'!J187&gt;=21,IF('Model inputs'!J187="","",'Model inputs'!J187&gt;=21))="",FALSE,IF(ISERROR('Model inputs'!J187&gt;=21),'Model inputs'!J187&gt;=21,IF('Model inputs'!J187="","",'Model inputs'!J187&gt;=21))),IF('Model inputs'!AJ91="","",'Model inputs'!AJ91),IF(IF(IF(ISERROR('Model inputs'!J187&gt;=18),'Model inputs'!J187&gt;=18,IF('Model inputs'!J187="","",'Model inputs'!J187&gt;=18))="",FALSE,IF(ISERROR('Model inputs'!J187&gt;=18),'Model inputs'!J187&gt;=18,IF('Model inputs'!J187="","",'Model inputs'!J187&gt;=18))),IF('Model inputs'!AJ90="","",'Model inputs'!AJ90),IF(IF(IF(ISERROR('Model inputs'!J187&gt;=15),'Model inputs'!J187&gt;=15,IF('Model inputs'!J187="","",'Model inputs'!J187&gt;=15))="",FALSE,IF(ISERROR('Model inputs'!J187&gt;=15),'Model inputs'!J187&gt;=15,IF('Model inputs'!J187="","",'Model inputs'!J187&gt;=15))),IF('Model inputs'!AJ89="","",'Model inputs'!AJ89),IF(IF(IF(ISERROR('Model inputs'!J187&gt;=12),'Model inputs'!J187&gt;=12,IF('Model inputs'!J187="","",'Model inputs'!J187&gt;=12))="",FALSE,IF(ISERROR('Model inputs'!J187&gt;=12),'Model inputs'!J187&gt;=12,IF('Model inputs'!J187="","",'Model inputs'!J187&gt;=12))),IF('Model inputs'!AJ88="","",'Model inputs'!AJ88),IF(IF(IF(ISERROR('Model inputs'!J187&gt;=9),'Model inputs'!J187&gt;=9,IF('Model inputs'!J187="","",'Model inputs'!J187&gt;=9))="",FALSE,IF(ISERROR('Model inputs'!J187&gt;=9),'Model inputs'!J187&gt;=9,IF('Model inputs'!J187="","",'Model inputs'!J187&gt;=9))),IF('Model inputs'!AJ95="","",'Model inputs'!AJ95),IF(IF(IF(ISERROR('Model inputs'!J187&gt;=6),'Model inputs'!J187&gt;=6,IF('Model inputs'!J187="","",'Model inputs'!J187&gt;=6))="",FALSE,IF(ISERROR('Model inputs'!J187&gt;=6),'Model inputs'!J187&gt;=6,IF('Model inputs'!J187="","",'Model inputs'!J187&gt;=6))),IF('Model inputs'!AJ94="","",'Model inputs'!AJ94),0))))))))</f>
        <v>0</v>
      </c>
      <c r="K445" s="8">
        <f>IF(IF(IF(ISERROR('Model inputs'!K187&gt;=24),'Model inputs'!K187&gt;=24,IF('Model inputs'!K187="","",'Model inputs'!K187&gt;=24))="",FALSE,IF(ISERROR('Model inputs'!K187&gt;=24),'Model inputs'!K187&gt;=24,IF('Model inputs'!K187="","",'Model inputs'!K187&gt;=24))),IF('Model inputs'!AJ93="","",'Model inputs'!AJ93),IF(IF(IF(ISERROR('Model inputs'!K187&gt;=23),'Model inputs'!K187&gt;=23,IF('Model inputs'!K187="","",'Model inputs'!K187&gt;=23))="",FALSE,IF(ISERROR('Model inputs'!K187&gt;=23),'Model inputs'!K187&gt;=23,IF('Model inputs'!K187="","",'Model inputs'!K187&gt;=23))),IF('Model inputs'!AJ92="","",'Model inputs'!AJ92),IF(IF(IF(ISERROR('Model inputs'!K187&gt;=21),'Model inputs'!K187&gt;=21,IF('Model inputs'!K187="","",'Model inputs'!K187&gt;=21))="",FALSE,IF(ISERROR('Model inputs'!K187&gt;=21),'Model inputs'!K187&gt;=21,IF('Model inputs'!K187="","",'Model inputs'!K187&gt;=21))),IF('Model inputs'!AJ91="","",'Model inputs'!AJ91),IF(IF(IF(ISERROR('Model inputs'!K187&gt;=18),'Model inputs'!K187&gt;=18,IF('Model inputs'!K187="","",'Model inputs'!K187&gt;=18))="",FALSE,IF(ISERROR('Model inputs'!K187&gt;=18),'Model inputs'!K187&gt;=18,IF('Model inputs'!K187="","",'Model inputs'!K187&gt;=18))),IF('Model inputs'!AJ90="","",'Model inputs'!AJ90),IF(IF(IF(ISERROR('Model inputs'!K187&gt;=15),'Model inputs'!K187&gt;=15,IF('Model inputs'!K187="","",'Model inputs'!K187&gt;=15))="",FALSE,IF(ISERROR('Model inputs'!K187&gt;=15),'Model inputs'!K187&gt;=15,IF('Model inputs'!K187="","",'Model inputs'!K187&gt;=15))),IF('Model inputs'!AJ89="","",'Model inputs'!AJ89),IF(IF(IF(ISERROR('Model inputs'!K187&gt;=12),'Model inputs'!K187&gt;=12,IF('Model inputs'!K187="","",'Model inputs'!K187&gt;=12))="",FALSE,IF(ISERROR('Model inputs'!K187&gt;=12),'Model inputs'!K187&gt;=12,IF('Model inputs'!K187="","",'Model inputs'!K187&gt;=12))),IF('Model inputs'!AJ88="","",'Model inputs'!AJ88),IF(IF(IF(ISERROR('Model inputs'!K187&gt;=9),'Model inputs'!K187&gt;=9,IF('Model inputs'!K187="","",'Model inputs'!K187&gt;=9))="",FALSE,IF(ISERROR('Model inputs'!K187&gt;=9),'Model inputs'!K187&gt;=9,IF('Model inputs'!K187="","",'Model inputs'!K187&gt;=9))),IF('Model inputs'!AJ95="","",'Model inputs'!AJ95),IF(IF(IF(ISERROR('Model inputs'!K187&gt;=6),'Model inputs'!K187&gt;=6,IF('Model inputs'!K187="","",'Model inputs'!K187&gt;=6))="",FALSE,IF(ISERROR('Model inputs'!K187&gt;=6),'Model inputs'!K187&gt;=6,IF('Model inputs'!K187="","",'Model inputs'!K187&gt;=6))),IF('Model inputs'!AJ94="","",'Model inputs'!AJ94),0))))))))</f>
        <v>0</v>
      </c>
      <c r="L445" s="8">
        <f>IF(IF(IF(ISERROR('Model inputs'!L187&gt;=24),'Model inputs'!L187&gt;=24,IF('Model inputs'!L187="","",'Model inputs'!L187&gt;=24))="",FALSE,IF(ISERROR('Model inputs'!L187&gt;=24),'Model inputs'!L187&gt;=24,IF('Model inputs'!L187="","",'Model inputs'!L187&gt;=24))),IF('Model inputs'!AJ93="","",'Model inputs'!AJ93),IF(IF(IF(ISERROR('Model inputs'!L187&gt;=23),'Model inputs'!L187&gt;=23,IF('Model inputs'!L187="","",'Model inputs'!L187&gt;=23))="",FALSE,IF(ISERROR('Model inputs'!L187&gt;=23),'Model inputs'!L187&gt;=23,IF('Model inputs'!L187="","",'Model inputs'!L187&gt;=23))),IF('Model inputs'!AJ92="","",'Model inputs'!AJ92),IF(IF(IF(ISERROR('Model inputs'!L187&gt;=21),'Model inputs'!L187&gt;=21,IF('Model inputs'!L187="","",'Model inputs'!L187&gt;=21))="",FALSE,IF(ISERROR('Model inputs'!L187&gt;=21),'Model inputs'!L187&gt;=21,IF('Model inputs'!L187="","",'Model inputs'!L187&gt;=21))),IF('Model inputs'!AJ91="","",'Model inputs'!AJ91),IF(IF(IF(ISERROR('Model inputs'!L187&gt;=18),'Model inputs'!L187&gt;=18,IF('Model inputs'!L187="","",'Model inputs'!L187&gt;=18))="",FALSE,IF(ISERROR('Model inputs'!L187&gt;=18),'Model inputs'!L187&gt;=18,IF('Model inputs'!L187="","",'Model inputs'!L187&gt;=18))),IF('Model inputs'!AJ90="","",'Model inputs'!AJ90),IF(IF(IF(ISERROR('Model inputs'!L187&gt;=15),'Model inputs'!L187&gt;=15,IF('Model inputs'!L187="","",'Model inputs'!L187&gt;=15))="",FALSE,IF(ISERROR('Model inputs'!L187&gt;=15),'Model inputs'!L187&gt;=15,IF('Model inputs'!L187="","",'Model inputs'!L187&gt;=15))),IF('Model inputs'!AJ89="","",'Model inputs'!AJ89),IF(IF(IF(ISERROR('Model inputs'!L187&gt;=12),'Model inputs'!L187&gt;=12,IF('Model inputs'!L187="","",'Model inputs'!L187&gt;=12))="",FALSE,IF(ISERROR('Model inputs'!L187&gt;=12),'Model inputs'!L187&gt;=12,IF('Model inputs'!L187="","",'Model inputs'!L187&gt;=12))),IF('Model inputs'!AJ88="","",'Model inputs'!AJ88),IF(IF(IF(ISERROR('Model inputs'!L187&gt;=9),'Model inputs'!L187&gt;=9,IF('Model inputs'!L187="","",'Model inputs'!L187&gt;=9))="",FALSE,IF(ISERROR('Model inputs'!L187&gt;=9),'Model inputs'!L187&gt;=9,IF('Model inputs'!L187="","",'Model inputs'!L187&gt;=9))),IF('Model inputs'!AJ95="","",'Model inputs'!AJ95),IF(IF(IF(ISERROR('Model inputs'!L187&gt;=6),'Model inputs'!L187&gt;=6,IF('Model inputs'!L187="","",'Model inputs'!L187&gt;=6))="",FALSE,IF(ISERROR('Model inputs'!L187&gt;=6),'Model inputs'!L187&gt;=6,IF('Model inputs'!L187="","",'Model inputs'!L187&gt;=6))),IF('Model inputs'!AJ94="","",'Model inputs'!AJ94),0))))))))</f>
        <v>0</v>
      </c>
      <c r="M445" s="8">
        <f>IF(IF(IF(ISERROR('Model inputs'!M187&gt;=24),'Model inputs'!M187&gt;=24,IF('Model inputs'!M187="","",'Model inputs'!M187&gt;=24))="",FALSE,IF(ISERROR('Model inputs'!M187&gt;=24),'Model inputs'!M187&gt;=24,IF('Model inputs'!M187="","",'Model inputs'!M187&gt;=24))),IF('Model inputs'!AJ93="","",'Model inputs'!AJ93),IF(IF(IF(ISERROR('Model inputs'!M187&gt;=23),'Model inputs'!M187&gt;=23,IF('Model inputs'!M187="","",'Model inputs'!M187&gt;=23))="",FALSE,IF(ISERROR('Model inputs'!M187&gt;=23),'Model inputs'!M187&gt;=23,IF('Model inputs'!M187="","",'Model inputs'!M187&gt;=23))),IF('Model inputs'!AJ92="","",'Model inputs'!AJ92),IF(IF(IF(ISERROR('Model inputs'!M187&gt;=21),'Model inputs'!M187&gt;=21,IF('Model inputs'!M187="","",'Model inputs'!M187&gt;=21))="",FALSE,IF(ISERROR('Model inputs'!M187&gt;=21),'Model inputs'!M187&gt;=21,IF('Model inputs'!M187="","",'Model inputs'!M187&gt;=21))),IF('Model inputs'!AJ91="","",'Model inputs'!AJ91),IF(IF(IF(ISERROR('Model inputs'!M187&gt;=18),'Model inputs'!M187&gt;=18,IF('Model inputs'!M187="","",'Model inputs'!M187&gt;=18))="",FALSE,IF(ISERROR('Model inputs'!M187&gt;=18),'Model inputs'!M187&gt;=18,IF('Model inputs'!M187="","",'Model inputs'!M187&gt;=18))),IF('Model inputs'!AJ90="","",'Model inputs'!AJ90),IF(IF(IF(ISERROR('Model inputs'!M187&gt;=15),'Model inputs'!M187&gt;=15,IF('Model inputs'!M187="","",'Model inputs'!M187&gt;=15))="",FALSE,IF(ISERROR('Model inputs'!M187&gt;=15),'Model inputs'!M187&gt;=15,IF('Model inputs'!M187="","",'Model inputs'!M187&gt;=15))),IF('Model inputs'!AJ89="","",'Model inputs'!AJ89),IF(IF(IF(ISERROR('Model inputs'!M187&gt;=12),'Model inputs'!M187&gt;=12,IF('Model inputs'!M187="","",'Model inputs'!M187&gt;=12))="",FALSE,IF(ISERROR('Model inputs'!M187&gt;=12),'Model inputs'!M187&gt;=12,IF('Model inputs'!M187="","",'Model inputs'!M187&gt;=12))),IF('Model inputs'!AJ88="","",'Model inputs'!AJ88),IF(IF(IF(ISERROR('Model inputs'!M187&gt;=9),'Model inputs'!M187&gt;=9,IF('Model inputs'!M187="","",'Model inputs'!M187&gt;=9))="",FALSE,IF(ISERROR('Model inputs'!M187&gt;=9),'Model inputs'!M187&gt;=9,IF('Model inputs'!M187="","",'Model inputs'!M187&gt;=9))),IF('Model inputs'!AJ95="","",'Model inputs'!AJ95),IF(IF(IF(ISERROR('Model inputs'!M187&gt;=6),'Model inputs'!M187&gt;=6,IF('Model inputs'!M187="","",'Model inputs'!M187&gt;=6))="",FALSE,IF(ISERROR('Model inputs'!M187&gt;=6),'Model inputs'!M187&gt;=6,IF('Model inputs'!M187="","",'Model inputs'!M187&gt;=6))),IF('Model inputs'!AJ94="","",'Model inputs'!AJ94),0))))))))</f>
        <v>0</v>
      </c>
      <c r="N445" s="8">
        <f>IF(IF(IF(ISERROR('Model inputs'!N187&gt;=24),'Model inputs'!N187&gt;=24,IF('Model inputs'!N187="","",'Model inputs'!N187&gt;=24))="",FALSE,IF(ISERROR('Model inputs'!N187&gt;=24),'Model inputs'!N187&gt;=24,IF('Model inputs'!N187="","",'Model inputs'!N187&gt;=24))),IF('Model inputs'!AJ93="","",'Model inputs'!AJ93),IF(IF(IF(ISERROR('Model inputs'!N187&gt;=23),'Model inputs'!N187&gt;=23,IF('Model inputs'!N187="","",'Model inputs'!N187&gt;=23))="",FALSE,IF(ISERROR('Model inputs'!N187&gt;=23),'Model inputs'!N187&gt;=23,IF('Model inputs'!N187="","",'Model inputs'!N187&gt;=23))),IF('Model inputs'!AJ92="","",'Model inputs'!AJ92),IF(IF(IF(ISERROR('Model inputs'!N187&gt;=21),'Model inputs'!N187&gt;=21,IF('Model inputs'!N187="","",'Model inputs'!N187&gt;=21))="",FALSE,IF(ISERROR('Model inputs'!N187&gt;=21),'Model inputs'!N187&gt;=21,IF('Model inputs'!N187="","",'Model inputs'!N187&gt;=21))),IF('Model inputs'!AJ91="","",'Model inputs'!AJ91),IF(IF(IF(ISERROR('Model inputs'!N187&gt;=18),'Model inputs'!N187&gt;=18,IF('Model inputs'!N187="","",'Model inputs'!N187&gt;=18))="",FALSE,IF(ISERROR('Model inputs'!N187&gt;=18),'Model inputs'!N187&gt;=18,IF('Model inputs'!N187="","",'Model inputs'!N187&gt;=18))),IF('Model inputs'!AJ90="","",'Model inputs'!AJ90),IF(IF(IF(ISERROR('Model inputs'!N187&gt;=15),'Model inputs'!N187&gt;=15,IF('Model inputs'!N187="","",'Model inputs'!N187&gt;=15))="",FALSE,IF(ISERROR('Model inputs'!N187&gt;=15),'Model inputs'!N187&gt;=15,IF('Model inputs'!N187="","",'Model inputs'!N187&gt;=15))),IF('Model inputs'!AJ89="","",'Model inputs'!AJ89),IF(IF(IF(ISERROR('Model inputs'!N187&gt;=12),'Model inputs'!N187&gt;=12,IF('Model inputs'!N187="","",'Model inputs'!N187&gt;=12))="",FALSE,IF(ISERROR('Model inputs'!N187&gt;=12),'Model inputs'!N187&gt;=12,IF('Model inputs'!N187="","",'Model inputs'!N187&gt;=12))),IF('Model inputs'!AJ88="","",'Model inputs'!AJ88),IF(IF(IF(ISERROR('Model inputs'!N187&gt;=9),'Model inputs'!N187&gt;=9,IF('Model inputs'!N187="","",'Model inputs'!N187&gt;=9))="",FALSE,IF(ISERROR('Model inputs'!N187&gt;=9),'Model inputs'!N187&gt;=9,IF('Model inputs'!N187="","",'Model inputs'!N187&gt;=9))),IF('Model inputs'!AJ95="","",'Model inputs'!AJ95),IF(IF(IF(ISERROR('Model inputs'!N187&gt;=6),'Model inputs'!N187&gt;=6,IF('Model inputs'!N187="","",'Model inputs'!N187&gt;=6))="",FALSE,IF(ISERROR('Model inputs'!N187&gt;=6),'Model inputs'!N187&gt;=6,IF('Model inputs'!N187="","",'Model inputs'!N187&gt;=6))),IF('Model inputs'!AJ94="","",'Model inputs'!AJ94),0))))))))</f>
        <v>0</v>
      </c>
      <c r="O445" s="8">
        <f>IF(IF(IF(ISERROR('Model inputs'!O187&gt;=24),'Model inputs'!O187&gt;=24,IF('Model inputs'!O187="","",'Model inputs'!O187&gt;=24))="",FALSE,IF(ISERROR('Model inputs'!O187&gt;=24),'Model inputs'!O187&gt;=24,IF('Model inputs'!O187="","",'Model inputs'!O187&gt;=24))),IF('Model inputs'!AJ93="","",'Model inputs'!AJ93),IF(IF(IF(ISERROR('Model inputs'!O187&gt;=23),'Model inputs'!O187&gt;=23,IF('Model inputs'!O187="","",'Model inputs'!O187&gt;=23))="",FALSE,IF(ISERROR('Model inputs'!O187&gt;=23),'Model inputs'!O187&gt;=23,IF('Model inputs'!O187="","",'Model inputs'!O187&gt;=23))),IF('Model inputs'!AJ92="","",'Model inputs'!AJ92),IF(IF(IF(ISERROR('Model inputs'!O187&gt;=21),'Model inputs'!O187&gt;=21,IF('Model inputs'!O187="","",'Model inputs'!O187&gt;=21))="",FALSE,IF(ISERROR('Model inputs'!O187&gt;=21),'Model inputs'!O187&gt;=21,IF('Model inputs'!O187="","",'Model inputs'!O187&gt;=21))),IF('Model inputs'!AJ91="","",'Model inputs'!AJ91),IF(IF(IF(ISERROR('Model inputs'!O187&gt;=18),'Model inputs'!O187&gt;=18,IF('Model inputs'!O187="","",'Model inputs'!O187&gt;=18))="",FALSE,IF(ISERROR('Model inputs'!O187&gt;=18),'Model inputs'!O187&gt;=18,IF('Model inputs'!O187="","",'Model inputs'!O187&gt;=18))),IF('Model inputs'!AJ90="","",'Model inputs'!AJ90),IF(IF(IF(ISERROR('Model inputs'!O187&gt;=15),'Model inputs'!O187&gt;=15,IF('Model inputs'!O187="","",'Model inputs'!O187&gt;=15))="",FALSE,IF(ISERROR('Model inputs'!O187&gt;=15),'Model inputs'!O187&gt;=15,IF('Model inputs'!O187="","",'Model inputs'!O187&gt;=15))),IF('Model inputs'!AJ89="","",'Model inputs'!AJ89),IF(IF(IF(ISERROR('Model inputs'!O187&gt;=12),'Model inputs'!O187&gt;=12,IF('Model inputs'!O187="","",'Model inputs'!O187&gt;=12))="",FALSE,IF(ISERROR('Model inputs'!O187&gt;=12),'Model inputs'!O187&gt;=12,IF('Model inputs'!O187="","",'Model inputs'!O187&gt;=12))),IF('Model inputs'!AJ88="","",'Model inputs'!AJ88),IF(IF(IF(ISERROR('Model inputs'!O187&gt;=9),'Model inputs'!O187&gt;=9,IF('Model inputs'!O187="","",'Model inputs'!O187&gt;=9))="",FALSE,IF(ISERROR('Model inputs'!O187&gt;=9),'Model inputs'!O187&gt;=9,IF('Model inputs'!O187="","",'Model inputs'!O187&gt;=9))),IF('Model inputs'!AJ95="","",'Model inputs'!AJ95),IF(IF(IF(ISERROR('Model inputs'!O187&gt;=6),'Model inputs'!O187&gt;=6,IF('Model inputs'!O187="","",'Model inputs'!O187&gt;=6))="",FALSE,IF(ISERROR('Model inputs'!O187&gt;=6),'Model inputs'!O187&gt;=6,IF('Model inputs'!O187="","",'Model inputs'!O187&gt;=6))),IF('Model inputs'!AJ94="","",'Model inputs'!AJ94),0))))))))</f>
        <v>0</v>
      </c>
      <c r="P445" s="8">
        <f>IF(IF(IF(ISERROR('Model inputs'!P187&gt;=24),'Model inputs'!P187&gt;=24,IF('Model inputs'!P187="","",'Model inputs'!P187&gt;=24))="",FALSE,IF(ISERROR('Model inputs'!P187&gt;=24),'Model inputs'!P187&gt;=24,IF('Model inputs'!P187="","",'Model inputs'!P187&gt;=24))),IF('Model inputs'!AJ93="","",'Model inputs'!AJ93),IF(IF(IF(ISERROR('Model inputs'!P187&gt;=23),'Model inputs'!P187&gt;=23,IF('Model inputs'!P187="","",'Model inputs'!P187&gt;=23))="",FALSE,IF(ISERROR('Model inputs'!P187&gt;=23),'Model inputs'!P187&gt;=23,IF('Model inputs'!P187="","",'Model inputs'!P187&gt;=23))),IF('Model inputs'!AJ92="","",'Model inputs'!AJ92),IF(IF(IF(ISERROR('Model inputs'!P187&gt;=21),'Model inputs'!P187&gt;=21,IF('Model inputs'!P187="","",'Model inputs'!P187&gt;=21))="",FALSE,IF(ISERROR('Model inputs'!P187&gt;=21),'Model inputs'!P187&gt;=21,IF('Model inputs'!P187="","",'Model inputs'!P187&gt;=21))),IF('Model inputs'!AJ91="","",'Model inputs'!AJ91),IF(IF(IF(ISERROR('Model inputs'!P187&gt;=18),'Model inputs'!P187&gt;=18,IF('Model inputs'!P187="","",'Model inputs'!P187&gt;=18))="",FALSE,IF(ISERROR('Model inputs'!P187&gt;=18),'Model inputs'!P187&gt;=18,IF('Model inputs'!P187="","",'Model inputs'!P187&gt;=18))),IF('Model inputs'!AJ90="","",'Model inputs'!AJ90),IF(IF(IF(ISERROR('Model inputs'!P187&gt;=15),'Model inputs'!P187&gt;=15,IF('Model inputs'!P187="","",'Model inputs'!P187&gt;=15))="",FALSE,IF(ISERROR('Model inputs'!P187&gt;=15),'Model inputs'!P187&gt;=15,IF('Model inputs'!P187="","",'Model inputs'!P187&gt;=15))),IF('Model inputs'!AJ89="","",'Model inputs'!AJ89),IF(IF(IF(ISERROR('Model inputs'!P187&gt;=12),'Model inputs'!P187&gt;=12,IF('Model inputs'!P187="","",'Model inputs'!P187&gt;=12))="",FALSE,IF(ISERROR('Model inputs'!P187&gt;=12),'Model inputs'!P187&gt;=12,IF('Model inputs'!P187="","",'Model inputs'!P187&gt;=12))),IF('Model inputs'!AJ88="","",'Model inputs'!AJ88),IF(IF(IF(ISERROR('Model inputs'!P187&gt;=9),'Model inputs'!P187&gt;=9,IF('Model inputs'!P187="","",'Model inputs'!P187&gt;=9))="",FALSE,IF(ISERROR('Model inputs'!P187&gt;=9),'Model inputs'!P187&gt;=9,IF('Model inputs'!P187="","",'Model inputs'!P187&gt;=9))),IF('Model inputs'!AJ95="","",'Model inputs'!AJ95),IF(IF(IF(ISERROR('Model inputs'!P187&gt;=6),'Model inputs'!P187&gt;=6,IF('Model inputs'!P187="","",'Model inputs'!P187&gt;=6))="",FALSE,IF(ISERROR('Model inputs'!P187&gt;=6),'Model inputs'!P187&gt;=6,IF('Model inputs'!P187="","",'Model inputs'!P187&gt;=6))),IF('Model inputs'!AJ94="","",'Model inputs'!AJ94),0))))))))</f>
        <v>0</v>
      </c>
      <c r="Q445" s="8">
        <f>IF(IF(IF(ISERROR('Model inputs'!Q187&gt;=24),'Model inputs'!Q187&gt;=24,IF('Model inputs'!Q187="","",'Model inputs'!Q187&gt;=24))="",FALSE,IF(ISERROR('Model inputs'!Q187&gt;=24),'Model inputs'!Q187&gt;=24,IF('Model inputs'!Q187="","",'Model inputs'!Q187&gt;=24))),IF('Model inputs'!AJ93="","",'Model inputs'!AJ93),IF(IF(IF(ISERROR('Model inputs'!Q187&gt;=23),'Model inputs'!Q187&gt;=23,IF('Model inputs'!Q187="","",'Model inputs'!Q187&gt;=23))="",FALSE,IF(ISERROR('Model inputs'!Q187&gt;=23),'Model inputs'!Q187&gt;=23,IF('Model inputs'!Q187="","",'Model inputs'!Q187&gt;=23))),IF('Model inputs'!AJ92="","",'Model inputs'!AJ92),IF(IF(IF(ISERROR('Model inputs'!Q187&gt;=21),'Model inputs'!Q187&gt;=21,IF('Model inputs'!Q187="","",'Model inputs'!Q187&gt;=21))="",FALSE,IF(ISERROR('Model inputs'!Q187&gt;=21),'Model inputs'!Q187&gt;=21,IF('Model inputs'!Q187="","",'Model inputs'!Q187&gt;=21))),IF('Model inputs'!AJ91="","",'Model inputs'!AJ91),IF(IF(IF(ISERROR('Model inputs'!Q187&gt;=18),'Model inputs'!Q187&gt;=18,IF('Model inputs'!Q187="","",'Model inputs'!Q187&gt;=18))="",FALSE,IF(ISERROR('Model inputs'!Q187&gt;=18),'Model inputs'!Q187&gt;=18,IF('Model inputs'!Q187="","",'Model inputs'!Q187&gt;=18))),IF('Model inputs'!AJ90="","",'Model inputs'!AJ90),IF(IF(IF(ISERROR('Model inputs'!Q187&gt;=15),'Model inputs'!Q187&gt;=15,IF('Model inputs'!Q187="","",'Model inputs'!Q187&gt;=15))="",FALSE,IF(ISERROR('Model inputs'!Q187&gt;=15),'Model inputs'!Q187&gt;=15,IF('Model inputs'!Q187="","",'Model inputs'!Q187&gt;=15))),IF('Model inputs'!AJ89="","",'Model inputs'!AJ89),IF(IF(IF(ISERROR('Model inputs'!Q187&gt;=12),'Model inputs'!Q187&gt;=12,IF('Model inputs'!Q187="","",'Model inputs'!Q187&gt;=12))="",FALSE,IF(ISERROR('Model inputs'!Q187&gt;=12),'Model inputs'!Q187&gt;=12,IF('Model inputs'!Q187="","",'Model inputs'!Q187&gt;=12))),IF('Model inputs'!AJ88="","",'Model inputs'!AJ88),IF(IF(IF(ISERROR('Model inputs'!Q187&gt;=9),'Model inputs'!Q187&gt;=9,IF('Model inputs'!Q187="","",'Model inputs'!Q187&gt;=9))="",FALSE,IF(ISERROR('Model inputs'!Q187&gt;=9),'Model inputs'!Q187&gt;=9,IF('Model inputs'!Q187="","",'Model inputs'!Q187&gt;=9))),IF('Model inputs'!AJ95="","",'Model inputs'!AJ95),IF(IF(IF(ISERROR('Model inputs'!Q187&gt;=6),'Model inputs'!Q187&gt;=6,IF('Model inputs'!Q187="","",'Model inputs'!Q187&gt;=6))="",FALSE,IF(ISERROR('Model inputs'!Q187&gt;=6),'Model inputs'!Q187&gt;=6,IF('Model inputs'!Q187="","",'Model inputs'!Q187&gt;=6))),IF('Model inputs'!AJ94="","",'Model inputs'!AJ94),0))))))))</f>
        <v>2</v>
      </c>
      <c r="R445" s="8">
        <f>IF(IF(IF(ISERROR('Model inputs'!R187&gt;=24),'Model inputs'!R187&gt;=24,IF('Model inputs'!R187="","",'Model inputs'!R187&gt;=24))="",FALSE,IF(ISERROR('Model inputs'!R187&gt;=24),'Model inputs'!R187&gt;=24,IF('Model inputs'!R187="","",'Model inputs'!R187&gt;=24))),IF('Model inputs'!AJ93="","",'Model inputs'!AJ93),IF(IF(IF(ISERROR('Model inputs'!R187&gt;=23),'Model inputs'!R187&gt;=23,IF('Model inputs'!R187="","",'Model inputs'!R187&gt;=23))="",FALSE,IF(ISERROR('Model inputs'!R187&gt;=23),'Model inputs'!R187&gt;=23,IF('Model inputs'!R187="","",'Model inputs'!R187&gt;=23))),IF('Model inputs'!AJ92="","",'Model inputs'!AJ92),IF(IF(IF(ISERROR('Model inputs'!R187&gt;=21),'Model inputs'!R187&gt;=21,IF('Model inputs'!R187="","",'Model inputs'!R187&gt;=21))="",FALSE,IF(ISERROR('Model inputs'!R187&gt;=21),'Model inputs'!R187&gt;=21,IF('Model inputs'!R187="","",'Model inputs'!R187&gt;=21))),IF('Model inputs'!AJ91="","",'Model inputs'!AJ91),IF(IF(IF(ISERROR('Model inputs'!R187&gt;=18),'Model inputs'!R187&gt;=18,IF('Model inputs'!R187="","",'Model inputs'!R187&gt;=18))="",FALSE,IF(ISERROR('Model inputs'!R187&gt;=18),'Model inputs'!R187&gt;=18,IF('Model inputs'!R187="","",'Model inputs'!R187&gt;=18))),IF('Model inputs'!AJ90="","",'Model inputs'!AJ90),IF(IF(IF(ISERROR('Model inputs'!R187&gt;=15),'Model inputs'!R187&gt;=15,IF('Model inputs'!R187="","",'Model inputs'!R187&gt;=15))="",FALSE,IF(ISERROR('Model inputs'!R187&gt;=15),'Model inputs'!R187&gt;=15,IF('Model inputs'!R187="","",'Model inputs'!R187&gt;=15))),IF('Model inputs'!AJ89="","",'Model inputs'!AJ89),IF(IF(IF(ISERROR('Model inputs'!R187&gt;=12),'Model inputs'!R187&gt;=12,IF('Model inputs'!R187="","",'Model inputs'!R187&gt;=12))="",FALSE,IF(ISERROR('Model inputs'!R187&gt;=12),'Model inputs'!R187&gt;=12,IF('Model inputs'!R187="","",'Model inputs'!R187&gt;=12))),IF('Model inputs'!AJ88="","",'Model inputs'!AJ88),IF(IF(IF(ISERROR('Model inputs'!R187&gt;=9),'Model inputs'!R187&gt;=9,IF('Model inputs'!R187="","",'Model inputs'!R187&gt;=9))="",FALSE,IF(ISERROR('Model inputs'!R187&gt;=9),'Model inputs'!R187&gt;=9,IF('Model inputs'!R187="","",'Model inputs'!R187&gt;=9))),IF('Model inputs'!AJ95="","",'Model inputs'!AJ95),IF(IF(IF(ISERROR('Model inputs'!R187&gt;=6),'Model inputs'!R187&gt;=6,IF('Model inputs'!R187="","",'Model inputs'!R187&gt;=6))="",FALSE,IF(ISERROR('Model inputs'!R187&gt;=6),'Model inputs'!R187&gt;=6,IF('Model inputs'!R187="","",'Model inputs'!R187&gt;=6))),IF('Model inputs'!AJ94="","",'Model inputs'!AJ94),0))))))))</f>
        <v>2</v>
      </c>
      <c r="S445" s="8">
        <f>IF(IF(IF(ISERROR('Model inputs'!S187&gt;=24),'Model inputs'!S187&gt;=24,IF('Model inputs'!S187="","",'Model inputs'!S187&gt;=24))="",FALSE,IF(ISERROR('Model inputs'!S187&gt;=24),'Model inputs'!S187&gt;=24,IF('Model inputs'!S187="","",'Model inputs'!S187&gt;=24))),IF('Model inputs'!AJ93="","",'Model inputs'!AJ93),IF(IF(IF(ISERROR('Model inputs'!S187&gt;=23),'Model inputs'!S187&gt;=23,IF('Model inputs'!S187="","",'Model inputs'!S187&gt;=23))="",FALSE,IF(ISERROR('Model inputs'!S187&gt;=23),'Model inputs'!S187&gt;=23,IF('Model inputs'!S187="","",'Model inputs'!S187&gt;=23))),IF('Model inputs'!AJ92="","",'Model inputs'!AJ92),IF(IF(IF(ISERROR('Model inputs'!S187&gt;=21),'Model inputs'!S187&gt;=21,IF('Model inputs'!S187="","",'Model inputs'!S187&gt;=21))="",FALSE,IF(ISERROR('Model inputs'!S187&gt;=21),'Model inputs'!S187&gt;=21,IF('Model inputs'!S187="","",'Model inputs'!S187&gt;=21))),IF('Model inputs'!AJ91="","",'Model inputs'!AJ91),IF(IF(IF(ISERROR('Model inputs'!S187&gt;=18),'Model inputs'!S187&gt;=18,IF('Model inputs'!S187="","",'Model inputs'!S187&gt;=18))="",FALSE,IF(ISERROR('Model inputs'!S187&gt;=18),'Model inputs'!S187&gt;=18,IF('Model inputs'!S187="","",'Model inputs'!S187&gt;=18))),IF('Model inputs'!AJ90="","",'Model inputs'!AJ90),IF(IF(IF(ISERROR('Model inputs'!S187&gt;=15),'Model inputs'!S187&gt;=15,IF('Model inputs'!S187="","",'Model inputs'!S187&gt;=15))="",FALSE,IF(ISERROR('Model inputs'!S187&gt;=15),'Model inputs'!S187&gt;=15,IF('Model inputs'!S187="","",'Model inputs'!S187&gt;=15))),IF('Model inputs'!AJ89="","",'Model inputs'!AJ89),IF(IF(IF(ISERROR('Model inputs'!S187&gt;=12),'Model inputs'!S187&gt;=12,IF('Model inputs'!S187="","",'Model inputs'!S187&gt;=12))="",FALSE,IF(ISERROR('Model inputs'!S187&gt;=12),'Model inputs'!S187&gt;=12,IF('Model inputs'!S187="","",'Model inputs'!S187&gt;=12))),IF('Model inputs'!AJ88="","",'Model inputs'!AJ88),IF(IF(IF(ISERROR('Model inputs'!S187&gt;=9),'Model inputs'!S187&gt;=9,IF('Model inputs'!S187="","",'Model inputs'!S187&gt;=9))="",FALSE,IF(ISERROR('Model inputs'!S187&gt;=9),'Model inputs'!S187&gt;=9,IF('Model inputs'!S187="","",'Model inputs'!S187&gt;=9))),IF('Model inputs'!AJ95="","",'Model inputs'!AJ95),IF(IF(IF(ISERROR('Model inputs'!S187&gt;=6),'Model inputs'!S187&gt;=6,IF('Model inputs'!S187="","",'Model inputs'!S187&gt;=6))="",FALSE,IF(ISERROR('Model inputs'!S187&gt;=6),'Model inputs'!S187&gt;=6,IF('Model inputs'!S187="","",'Model inputs'!S187&gt;=6))),IF('Model inputs'!AJ94="","",'Model inputs'!AJ94),0))))))))</f>
        <v>2</v>
      </c>
      <c r="T445" s="8">
        <f>IF(IF(IF(ISERROR('Model inputs'!T187&gt;=24),'Model inputs'!T187&gt;=24,IF('Model inputs'!T187="","",'Model inputs'!T187&gt;=24))="",FALSE,IF(ISERROR('Model inputs'!T187&gt;=24),'Model inputs'!T187&gt;=24,IF('Model inputs'!T187="","",'Model inputs'!T187&gt;=24))),IF('Model inputs'!AJ93="","",'Model inputs'!AJ93),IF(IF(IF(ISERROR('Model inputs'!T187&gt;=23),'Model inputs'!T187&gt;=23,IF('Model inputs'!T187="","",'Model inputs'!T187&gt;=23))="",FALSE,IF(ISERROR('Model inputs'!T187&gt;=23),'Model inputs'!T187&gt;=23,IF('Model inputs'!T187="","",'Model inputs'!T187&gt;=23))),IF('Model inputs'!AJ92="","",'Model inputs'!AJ92),IF(IF(IF(ISERROR('Model inputs'!T187&gt;=21),'Model inputs'!T187&gt;=21,IF('Model inputs'!T187="","",'Model inputs'!T187&gt;=21))="",FALSE,IF(ISERROR('Model inputs'!T187&gt;=21),'Model inputs'!T187&gt;=21,IF('Model inputs'!T187="","",'Model inputs'!T187&gt;=21))),IF('Model inputs'!AJ91="","",'Model inputs'!AJ91),IF(IF(IF(ISERROR('Model inputs'!T187&gt;=18),'Model inputs'!T187&gt;=18,IF('Model inputs'!T187="","",'Model inputs'!T187&gt;=18))="",FALSE,IF(ISERROR('Model inputs'!T187&gt;=18),'Model inputs'!T187&gt;=18,IF('Model inputs'!T187="","",'Model inputs'!T187&gt;=18))),IF('Model inputs'!AJ90="","",'Model inputs'!AJ90),IF(IF(IF(ISERROR('Model inputs'!T187&gt;=15),'Model inputs'!T187&gt;=15,IF('Model inputs'!T187="","",'Model inputs'!T187&gt;=15))="",FALSE,IF(ISERROR('Model inputs'!T187&gt;=15),'Model inputs'!T187&gt;=15,IF('Model inputs'!T187="","",'Model inputs'!T187&gt;=15))),IF('Model inputs'!AJ89="","",'Model inputs'!AJ89),IF(IF(IF(ISERROR('Model inputs'!T187&gt;=12),'Model inputs'!T187&gt;=12,IF('Model inputs'!T187="","",'Model inputs'!T187&gt;=12))="",FALSE,IF(ISERROR('Model inputs'!T187&gt;=12),'Model inputs'!T187&gt;=12,IF('Model inputs'!T187="","",'Model inputs'!T187&gt;=12))),IF('Model inputs'!AJ88="","",'Model inputs'!AJ88),IF(IF(IF(ISERROR('Model inputs'!T187&gt;=9),'Model inputs'!T187&gt;=9,IF('Model inputs'!T187="","",'Model inputs'!T187&gt;=9))="",FALSE,IF(ISERROR('Model inputs'!T187&gt;=9),'Model inputs'!T187&gt;=9,IF('Model inputs'!T187="","",'Model inputs'!T187&gt;=9))),IF('Model inputs'!AJ95="","",'Model inputs'!AJ95),IF(IF(IF(ISERROR('Model inputs'!T187&gt;=6),'Model inputs'!T187&gt;=6,IF('Model inputs'!T187="","",'Model inputs'!T187&gt;=6))="",FALSE,IF(ISERROR('Model inputs'!T187&gt;=6),'Model inputs'!T187&gt;=6,IF('Model inputs'!T187="","",'Model inputs'!T187&gt;=6))),IF('Model inputs'!AJ94="","",'Model inputs'!AJ94),0))))))))</f>
        <v>4</v>
      </c>
      <c r="U445" s="8">
        <f>IF(IF(IF(ISERROR('Model inputs'!U187&gt;=24),'Model inputs'!U187&gt;=24,IF('Model inputs'!U187="","",'Model inputs'!U187&gt;=24))="",FALSE,IF(ISERROR('Model inputs'!U187&gt;=24),'Model inputs'!U187&gt;=24,IF('Model inputs'!U187="","",'Model inputs'!U187&gt;=24))),IF('Model inputs'!AJ93="","",'Model inputs'!AJ93),IF(IF(IF(ISERROR('Model inputs'!U187&gt;=23),'Model inputs'!U187&gt;=23,IF('Model inputs'!U187="","",'Model inputs'!U187&gt;=23))="",FALSE,IF(ISERROR('Model inputs'!U187&gt;=23),'Model inputs'!U187&gt;=23,IF('Model inputs'!U187="","",'Model inputs'!U187&gt;=23))),IF('Model inputs'!AJ92="","",'Model inputs'!AJ92),IF(IF(IF(ISERROR('Model inputs'!U187&gt;=21),'Model inputs'!U187&gt;=21,IF('Model inputs'!U187="","",'Model inputs'!U187&gt;=21))="",FALSE,IF(ISERROR('Model inputs'!U187&gt;=21),'Model inputs'!U187&gt;=21,IF('Model inputs'!U187="","",'Model inputs'!U187&gt;=21))),IF('Model inputs'!AJ91="","",'Model inputs'!AJ91),IF(IF(IF(ISERROR('Model inputs'!U187&gt;=18),'Model inputs'!U187&gt;=18,IF('Model inputs'!U187="","",'Model inputs'!U187&gt;=18))="",FALSE,IF(ISERROR('Model inputs'!U187&gt;=18),'Model inputs'!U187&gt;=18,IF('Model inputs'!U187="","",'Model inputs'!U187&gt;=18))),IF('Model inputs'!AJ90="","",'Model inputs'!AJ90),IF(IF(IF(ISERROR('Model inputs'!U187&gt;=15),'Model inputs'!U187&gt;=15,IF('Model inputs'!U187="","",'Model inputs'!U187&gt;=15))="",FALSE,IF(ISERROR('Model inputs'!U187&gt;=15),'Model inputs'!U187&gt;=15,IF('Model inputs'!U187="","",'Model inputs'!U187&gt;=15))),IF('Model inputs'!AJ89="","",'Model inputs'!AJ89),IF(IF(IF(ISERROR('Model inputs'!U187&gt;=12),'Model inputs'!U187&gt;=12,IF('Model inputs'!U187="","",'Model inputs'!U187&gt;=12))="",FALSE,IF(ISERROR('Model inputs'!U187&gt;=12),'Model inputs'!U187&gt;=12,IF('Model inputs'!U187="","",'Model inputs'!U187&gt;=12))),IF('Model inputs'!AJ88="","",'Model inputs'!AJ88),IF(IF(IF(ISERROR('Model inputs'!U187&gt;=9),'Model inputs'!U187&gt;=9,IF('Model inputs'!U187="","",'Model inputs'!U187&gt;=9))="",FALSE,IF(ISERROR('Model inputs'!U187&gt;=9),'Model inputs'!U187&gt;=9,IF('Model inputs'!U187="","",'Model inputs'!U187&gt;=9))),IF('Model inputs'!AJ95="","",'Model inputs'!AJ95),IF(IF(IF(ISERROR('Model inputs'!U187&gt;=6),'Model inputs'!U187&gt;=6,IF('Model inputs'!U187="","",'Model inputs'!U187&gt;=6))="",FALSE,IF(ISERROR('Model inputs'!U187&gt;=6),'Model inputs'!U187&gt;=6,IF('Model inputs'!U187="","",'Model inputs'!U187&gt;=6))),IF('Model inputs'!AJ94="","",'Model inputs'!AJ94),0))))))))</f>
        <v>4</v>
      </c>
      <c r="V445" s="8">
        <f>IF(IF(IF(ISERROR('Model inputs'!V187&gt;=24),'Model inputs'!V187&gt;=24,IF('Model inputs'!V187="","",'Model inputs'!V187&gt;=24))="",FALSE,IF(ISERROR('Model inputs'!V187&gt;=24),'Model inputs'!V187&gt;=24,IF('Model inputs'!V187="","",'Model inputs'!V187&gt;=24))),IF('Model inputs'!AJ93="","",'Model inputs'!AJ93),IF(IF(IF(ISERROR('Model inputs'!V187&gt;=23),'Model inputs'!V187&gt;=23,IF('Model inputs'!V187="","",'Model inputs'!V187&gt;=23))="",FALSE,IF(ISERROR('Model inputs'!V187&gt;=23),'Model inputs'!V187&gt;=23,IF('Model inputs'!V187="","",'Model inputs'!V187&gt;=23))),IF('Model inputs'!AJ92="","",'Model inputs'!AJ92),IF(IF(IF(ISERROR('Model inputs'!V187&gt;=21),'Model inputs'!V187&gt;=21,IF('Model inputs'!V187="","",'Model inputs'!V187&gt;=21))="",FALSE,IF(ISERROR('Model inputs'!V187&gt;=21),'Model inputs'!V187&gt;=21,IF('Model inputs'!V187="","",'Model inputs'!V187&gt;=21))),IF('Model inputs'!AJ91="","",'Model inputs'!AJ91),IF(IF(IF(ISERROR('Model inputs'!V187&gt;=18),'Model inputs'!V187&gt;=18,IF('Model inputs'!V187="","",'Model inputs'!V187&gt;=18))="",FALSE,IF(ISERROR('Model inputs'!V187&gt;=18),'Model inputs'!V187&gt;=18,IF('Model inputs'!V187="","",'Model inputs'!V187&gt;=18))),IF('Model inputs'!AJ90="","",'Model inputs'!AJ90),IF(IF(IF(ISERROR('Model inputs'!V187&gt;=15),'Model inputs'!V187&gt;=15,IF('Model inputs'!V187="","",'Model inputs'!V187&gt;=15))="",FALSE,IF(ISERROR('Model inputs'!V187&gt;=15),'Model inputs'!V187&gt;=15,IF('Model inputs'!V187="","",'Model inputs'!V187&gt;=15))),IF('Model inputs'!AJ89="","",'Model inputs'!AJ89),IF(IF(IF(ISERROR('Model inputs'!V187&gt;=12),'Model inputs'!V187&gt;=12,IF('Model inputs'!V187="","",'Model inputs'!V187&gt;=12))="",FALSE,IF(ISERROR('Model inputs'!V187&gt;=12),'Model inputs'!V187&gt;=12,IF('Model inputs'!V187="","",'Model inputs'!V187&gt;=12))),IF('Model inputs'!AJ88="","",'Model inputs'!AJ88),IF(IF(IF(ISERROR('Model inputs'!V187&gt;=9),'Model inputs'!V187&gt;=9,IF('Model inputs'!V187="","",'Model inputs'!V187&gt;=9))="",FALSE,IF(ISERROR('Model inputs'!V187&gt;=9),'Model inputs'!V187&gt;=9,IF('Model inputs'!V187="","",'Model inputs'!V187&gt;=9))),IF('Model inputs'!AJ95="","",'Model inputs'!AJ95),IF(IF(IF(ISERROR('Model inputs'!V187&gt;=6),'Model inputs'!V187&gt;=6,IF('Model inputs'!V187="","",'Model inputs'!V187&gt;=6))="",FALSE,IF(ISERROR('Model inputs'!V187&gt;=6),'Model inputs'!V187&gt;=6,IF('Model inputs'!V187="","",'Model inputs'!V187&gt;=6))),IF('Model inputs'!AJ94="","",'Model inputs'!AJ94),0))))))))</f>
        <v>4</v>
      </c>
      <c r="W445" s="8">
        <f>IF(IF(IF(ISERROR('Model inputs'!W187&gt;=24),'Model inputs'!W187&gt;=24,IF('Model inputs'!W187="","",'Model inputs'!W187&gt;=24))="",FALSE,IF(ISERROR('Model inputs'!W187&gt;=24),'Model inputs'!W187&gt;=24,IF('Model inputs'!W187="","",'Model inputs'!W187&gt;=24))),IF('Model inputs'!AJ93="","",'Model inputs'!AJ93),IF(IF(IF(ISERROR('Model inputs'!W187&gt;=23),'Model inputs'!W187&gt;=23,IF('Model inputs'!W187="","",'Model inputs'!W187&gt;=23))="",FALSE,IF(ISERROR('Model inputs'!W187&gt;=23),'Model inputs'!W187&gt;=23,IF('Model inputs'!W187="","",'Model inputs'!W187&gt;=23))),IF('Model inputs'!AJ92="","",'Model inputs'!AJ92),IF(IF(IF(ISERROR('Model inputs'!W187&gt;=21),'Model inputs'!W187&gt;=21,IF('Model inputs'!W187="","",'Model inputs'!W187&gt;=21))="",FALSE,IF(ISERROR('Model inputs'!W187&gt;=21),'Model inputs'!W187&gt;=21,IF('Model inputs'!W187="","",'Model inputs'!W187&gt;=21))),IF('Model inputs'!AJ91="","",'Model inputs'!AJ91),IF(IF(IF(ISERROR('Model inputs'!W187&gt;=18),'Model inputs'!W187&gt;=18,IF('Model inputs'!W187="","",'Model inputs'!W187&gt;=18))="",FALSE,IF(ISERROR('Model inputs'!W187&gt;=18),'Model inputs'!W187&gt;=18,IF('Model inputs'!W187="","",'Model inputs'!W187&gt;=18))),IF('Model inputs'!AJ90="","",'Model inputs'!AJ90),IF(IF(IF(ISERROR('Model inputs'!W187&gt;=15),'Model inputs'!W187&gt;=15,IF('Model inputs'!W187="","",'Model inputs'!W187&gt;=15))="",FALSE,IF(ISERROR('Model inputs'!W187&gt;=15),'Model inputs'!W187&gt;=15,IF('Model inputs'!W187="","",'Model inputs'!W187&gt;=15))),IF('Model inputs'!AJ89="","",'Model inputs'!AJ89),IF(IF(IF(ISERROR('Model inputs'!W187&gt;=12),'Model inputs'!W187&gt;=12,IF('Model inputs'!W187="","",'Model inputs'!W187&gt;=12))="",FALSE,IF(ISERROR('Model inputs'!W187&gt;=12),'Model inputs'!W187&gt;=12,IF('Model inputs'!W187="","",'Model inputs'!W187&gt;=12))),IF('Model inputs'!AJ88="","",'Model inputs'!AJ88),IF(IF(IF(ISERROR('Model inputs'!W187&gt;=9),'Model inputs'!W187&gt;=9,IF('Model inputs'!W187="","",'Model inputs'!W187&gt;=9))="",FALSE,IF(ISERROR('Model inputs'!W187&gt;=9),'Model inputs'!W187&gt;=9,IF('Model inputs'!W187="","",'Model inputs'!W187&gt;=9))),IF('Model inputs'!AJ95="","",'Model inputs'!AJ95),IF(IF(IF(ISERROR('Model inputs'!W187&gt;=6),'Model inputs'!W187&gt;=6,IF('Model inputs'!W187="","",'Model inputs'!W187&gt;=6))="",FALSE,IF(ISERROR('Model inputs'!W187&gt;=6),'Model inputs'!W187&gt;=6,IF('Model inputs'!W187="","",'Model inputs'!W187&gt;=6))),IF('Model inputs'!AJ94="","",'Model inputs'!AJ94),0))))))))</f>
        <v>6</v>
      </c>
      <c r="X445" s="8">
        <f>IF(IF(IF(ISERROR('Model inputs'!X187&gt;=24),'Model inputs'!X187&gt;=24,IF('Model inputs'!X187="","",'Model inputs'!X187&gt;=24))="",FALSE,IF(ISERROR('Model inputs'!X187&gt;=24),'Model inputs'!X187&gt;=24,IF('Model inputs'!X187="","",'Model inputs'!X187&gt;=24))),IF('Model inputs'!AJ93="","",'Model inputs'!AJ93),IF(IF(IF(ISERROR('Model inputs'!X187&gt;=23),'Model inputs'!X187&gt;=23,IF('Model inputs'!X187="","",'Model inputs'!X187&gt;=23))="",FALSE,IF(ISERROR('Model inputs'!X187&gt;=23),'Model inputs'!X187&gt;=23,IF('Model inputs'!X187="","",'Model inputs'!X187&gt;=23))),IF('Model inputs'!AJ92="","",'Model inputs'!AJ92),IF(IF(IF(ISERROR('Model inputs'!X187&gt;=21),'Model inputs'!X187&gt;=21,IF('Model inputs'!X187="","",'Model inputs'!X187&gt;=21))="",FALSE,IF(ISERROR('Model inputs'!X187&gt;=21),'Model inputs'!X187&gt;=21,IF('Model inputs'!X187="","",'Model inputs'!X187&gt;=21))),IF('Model inputs'!AJ91="","",'Model inputs'!AJ91),IF(IF(IF(ISERROR('Model inputs'!X187&gt;=18),'Model inputs'!X187&gt;=18,IF('Model inputs'!X187="","",'Model inputs'!X187&gt;=18))="",FALSE,IF(ISERROR('Model inputs'!X187&gt;=18),'Model inputs'!X187&gt;=18,IF('Model inputs'!X187="","",'Model inputs'!X187&gt;=18))),IF('Model inputs'!AJ90="","",'Model inputs'!AJ90),IF(IF(IF(ISERROR('Model inputs'!X187&gt;=15),'Model inputs'!X187&gt;=15,IF('Model inputs'!X187="","",'Model inputs'!X187&gt;=15))="",FALSE,IF(ISERROR('Model inputs'!X187&gt;=15),'Model inputs'!X187&gt;=15,IF('Model inputs'!X187="","",'Model inputs'!X187&gt;=15))),IF('Model inputs'!AJ89="","",'Model inputs'!AJ89),IF(IF(IF(ISERROR('Model inputs'!X187&gt;=12),'Model inputs'!X187&gt;=12,IF('Model inputs'!X187="","",'Model inputs'!X187&gt;=12))="",FALSE,IF(ISERROR('Model inputs'!X187&gt;=12),'Model inputs'!X187&gt;=12,IF('Model inputs'!X187="","",'Model inputs'!X187&gt;=12))),IF('Model inputs'!AJ88="","",'Model inputs'!AJ88),IF(IF(IF(ISERROR('Model inputs'!X187&gt;=9),'Model inputs'!X187&gt;=9,IF('Model inputs'!X187="","",'Model inputs'!X187&gt;=9))="",FALSE,IF(ISERROR('Model inputs'!X187&gt;=9),'Model inputs'!X187&gt;=9,IF('Model inputs'!X187="","",'Model inputs'!X187&gt;=9))),IF('Model inputs'!AJ95="","",'Model inputs'!AJ95),IF(IF(IF(ISERROR('Model inputs'!X187&gt;=6),'Model inputs'!X187&gt;=6,IF('Model inputs'!X187="","",'Model inputs'!X187&gt;=6))="",FALSE,IF(ISERROR('Model inputs'!X187&gt;=6),'Model inputs'!X187&gt;=6,IF('Model inputs'!X187="","",'Model inputs'!X187&gt;=6))),IF('Model inputs'!AJ94="","",'Model inputs'!AJ94),0))))))))</f>
        <v>6</v>
      </c>
      <c r="Y445" s="8">
        <f>IF(IF(IF(ISERROR('Model inputs'!Y187&gt;=24),'Model inputs'!Y187&gt;=24,IF('Model inputs'!Y187="","",'Model inputs'!Y187&gt;=24))="",FALSE,IF(ISERROR('Model inputs'!Y187&gt;=24),'Model inputs'!Y187&gt;=24,IF('Model inputs'!Y187="","",'Model inputs'!Y187&gt;=24))),IF('Model inputs'!AJ93="","",'Model inputs'!AJ93),IF(IF(IF(ISERROR('Model inputs'!Y187&gt;=23),'Model inputs'!Y187&gt;=23,IF('Model inputs'!Y187="","",'Model inputs'!Y187&gt;=23))="",FALSE,IF(ISERROR('Model inputs'!Y187&gt;=23),'Model inputs'!Y187&gt;=23,IF('Model inputs'!Y187="","",'Model inputs'!Y187&gt;=23))),IF('Model inputs'!AJ92="","",'Model inputs'!AJ92),IF(IF(IF(ISERROR('Model inputs'!Y187&gt;=21),'Model inputs'!Y187&gt;=21,IF('Model inputs'!Y187="","",'Model inputs'!Y187&gt;=21))="",FALSE,IF(ISERROR('Model inputs'!Y187&gt;=21),'Model inputs'!Y187&gt;=21,IF('Model inputs'!Y187="","",'Model inputs'!Y187&gt;=21))),IF('Model inputs'!AJ91="","",'Model inputs'!AJ91),IF(IF(IF(ISERROR('Model inputs'!Y187&gt;=18),'Model inputs'!Y187&gt;=18,IF('Model inputs'!Y187="","",'Model inputs'!Y187&gt;=18))="",FALSE,IF(ISERROR('Model inputs'!Y187&gt;=18),'Model inputs'!Y187&gt;=18,IF('Model inputs'!Y187="","",'Model inputs'!Y187&gt;=18))),IF('Model inputs'!AJ90="","",'Model inputs'!AJ90),IF(IF(IF(ISERROR('Model inputs'!Y187&gt;=15),'Model inputs'!Y187&gt;=15,IF('Model inputs'!Y187="","",'Model inputs'!Y187&gt;=15))="",FALSE,IF(ISERROR('Model inputs'!Y187&gt;=15),'Model inputs'!Y187&gt;=15,IF('Model inputs'!Y187="","",'Model inputs'!Y187&gt;=15))),IF('Model inputs'!AJ89="","",'Model inputs'!AJ89),IF(IF(IF(ISERROR('Model inputs'!Y187&gt;=12),'Model inputs'!Y187&gt;=12,IF('Model inputs'!Y187="","",'Model inputs'!Y187&gt;=12))="",FALSE,IF(ISERROR('Model inputs'!Y187&gt;=12),'Model inputs'!Y187&gt;=12,IF('Model inputs'!Y187="","",'Model inputs'!Y187&gt;=12))),IF('Model inputs'!AJ88="","",'Model inputs'!AJ88),IF(IF(IF(ISERROR('Model inputs'!Y187&gt;=9),'Model inputs'!Y187&gt;=9,IF('Model inputs'!Y187="","",'Model inputs'!Y187&gt;=9))="",FALSE,IF(ISERROR('Model inputs'!Y187&gt;=9),'Model inputs'!Y187&gt;=9,IF('Model inputs'!Y187="","",'Model inputs'!Y187&gt;=9))),IF('Model inputs'!AJ95="","",'Model inputs'!AJ95),IF(IF(IF(ISERROR('Model inputs'!Y187&gt;=6),'Model inputs'!Y187&gt;=6,IF('Model inputs'!Y187="","",'Model inputs'!Y187&gt;=6))="",FALSE,IF(ISERROR('Model inputs'!Y187&gt;=6),'Model inputs'!Y187&gt;=6,IF('Model inputs'!Y187="","",'Model inputs'!Y187&gt;=6))),IF('Model inputs'!AJ94="","",'Model inputs'!AJ94),0))))))))</f>
        <v>6</v>
      </c>
      <c r="Z445" s="8">
        <f>IF(IF(IF(ISERROR('Model inputs'!Z187&gt;=24),'Model inputs'!Z187&gt;=24,IF('Model inputs'!Z187="","",'Model inputs'!Z187&gt;=24))="",FALSE,IF(ISERROR('Model inputs'!Z187&gt;=24),'Model inputs'!Z187&gt;=24,IF('Model inputs'!Z187="","",'Model inputs'!Z187&gt;=24))),IF('Model inputs'!AJ93="","",'Model inputs'!AJ93),IF(IF(IF(ISERROR('Model inputs'!Z187&gt;=23),'Model inputs'!Z187&gt;=23,IF('Model inputs'!Z187="","",'Model inputs'!Z187&gt;=23))="",FALSE,IF(ISERROR('Model inputs'!Z187&gt;=23),'Model inputs'!Z187&gt;=23,IF('Model inputs'!Z187="","",'Model inputs'!Z187&gt;=23))),IF('Model inputs'!AJ92="","",'Model inputs'!AJ92),IF(IF(IF(ISERROR('Model inputs'!Z187&gt;=21),'Model inputs'!Z187&gt;=21,IF('Model inputs'!Z187="","",'Model inputs'!Z187&gt;=21))="",FALSE,IF(ISERROR('Model inputs'!Z187&gt;=21),'Model inputs'!Z187&gt;=21,IF('Model inputs'!Z187="","",'Model inputs'!Z187&gt;=21))),IF('Model inputs'!AJ91="","",'Model inputs'!AJ91),IF(IF(IF(ISERROR('Model inputs'!Z187&gt;=18),'Model inputs'!Z187&gt;=18,IF('Model inputs'!Z187="","",'Model inputs'!Z187&gt;=18))="",FALSE,IF(ISERROR('Model inputs'!Z187&gt;=18),'Model inputs'!Z187&gt;=18,IF('Model inputs'!Z187="","",'Model inputs'!Z187&gt;=18))),IF('Model inputs'!AJ90="","",'Model inputs'!AJ90),IF(IF(IF(ISERROR('Model inputs'!Z187&gt;=15),'Model inputs'!Z187&gt;=15,IF('Model inputs'!Z187="","",'Model inputs'!Z187&gt;=15))="",FALSE,IF(ISERROR('Model inputs'!Z187&gt;=15),'Model inputs'!Z187&gt;=15,IF('Model inputs'!Z187="","",'Model inputs'!Z187&gt;=15))),IF('Model inputs'!AJ89="","",'Model inputs'!AJ89),IF(IF(IF(ISERROR('Model inputs'!Z187&gt;=12),'Model inputs'!Z187&gt;=12,IF('Model inputs'!Z187="","",'Model inputs'!Z187&gt;=12))="",FALSE,IF(ISERROR('Model inputs'!Z187&gt;=12),'Model inputs'!Z187&gt;=12,IF('Model inputs'!Z187="","",'Model inputs'!Z187&gt;=12))),IF('Model inputs'!AJ88="","",'Model inputs'!AJ88),IF(IF(IF(ISERROR('Model inputs'!Z187&gt;=9),'Model inputs'!Z187&gt;=9,IF('Model inputs'!Z187="","",'Model inputs'!Z187&gt;=9))="",FALSE,IF(ISERROR('Model inputs'!Z187&gt;=9),'Model inputs'!Z187&gt;=9,IF('Model inputs'!Z187="","",'Model inputs'!Z187&gt;=9))),IF('Model inputs'!AJ95="","",'Model inputs'!AJ95),IF(IF(IF(ISERROR('Model inputs'!Z187&gt;=6),'Model inputs'!Z187&gt;=6,IF('Model inputs'!Z187="","",'Model inputs'!Z187&gt;=6))="",FALSE,IF(ISERROR('Model inputs'!Z187&gt;=6),'Model inputs'!Z187&gt;=6,IF('Model inputs'!Z187="","",'Model inputs'!Z187&gt;=6))),IF('Model inputs'!AJ94="","",'Model inputs'!AJ94),0))))))))</f>
        <v>8</v>
      </c>
      <c r="AA445" s="8">
        <f>IF(IF(IF(ISERROR('Model inputs'!AA187&gt;=24),'Model inputs'!AA187&gt;=24,IF('Model inputs'!AA187="","",'Model inputs'!AA187&gt;=24))="",FALSE,IF(ISERROR('Model inputs'!AA187&gt;=24),'Model inputs'!AA187&gt;=24,IF('Model inputs'!AA187="","",'Model inputs'!AA187&gt;=24))),IF('Model inputs'!AJ93="","",'Model inputs'!AJ93),IF(IF(IF(ISERROR('Model inputs'!AA187&gt;=23),'Model inputs'!AA187&gt;=23,IF('Model inputs'!AA187="","",'Model inputs'!AA187&gt;=23))="",FALSE,IF(ISERROR('Model inputs'!AA187&gt;=23),'Model inputs'!AA187&gt;=23,IF('Model inputs'!AA187="","",'Model inputs'!AA187&gt;=23))),IF('Model inputs'!AJ92="","",'Model inputs'!AJ92),IF(IF(IF(ISERROR('Model inputs'!AA187&gt;=21),'Model inputs'!AA187&gt;=21,IF('Model inputs'!AA187="","",'Model inputs'!AA187&gt;=21))="",FALSE,IF(ISERROR('Model inputs'!AA187&gt;=21),'Model inputs'!AA187&gt;=21,IF('Model inputs'!AA187="","",'Model inputs'!AA187&gt;=21))),IF('Model inputs'!AJ91="","",'Model inputs'!AJ91),IF(IF(IF(ISERROR('Model inputs'!AA187&gt;=18),'Model inputs'!AA187&gt;=18,IF('Model inputs'!AA187="","",'Model inputs'!AA187&gt;=18))="",FALSE,IF(ISERROR('Model inputs'!AA187&gt;=18),'Model inputs'!AA187&gt;=18,IF('Model inputs'!AA187="","",'Model inputs'!AA187&gt;=18))),IF('Model inputs'!AJ90="","",'Model inputs'!AJ90),IF(IF(IF(ISERROR('Model inputs'!AA187&gt;=15),'Model inputs'!AA187&gt;=15,IF('Model inputs'!AA187="","",'Model inputs'!AA187&gt;=15))="",FALSE,IF(ISERROR('Model inputs'!AA187&gt;=15),'Model inputs'!AA187&gt;=15,IF('Model inputs'!AA187="","",'Model inputs'!AA187&gt;=15))),IF('Model inputs'!AJ89="","",'Model inputs'!AJ89),IF(IF(IF(ISERROR('Model inputs'!AA187&gt;=12),'Model inputs'!AA187&gt;=12,IF('Model inputs'!AA187="","",'Model inputs'!AA187&gt;=12))="",FALSE,IF(ISERROR('Model inputs'!AA187&gt;=12),'Model inputs'!AA187&gt;=12,IF('Model inputs'!AA187="","",'Model inputs'!AA187&gt;=12))),IF('Model inputs'!AJ88="","",'Model inputs'!AJ88),IF(IF(IF(ISERROR('Model inputs'!AA187&gt;=9),'Model inputs'!AA187&gt;=9,IF('Model inputs'!AA187="","",'Model inputs'!AA187&gt;=9))="",FALSE,IF(ISERROR('Model inputs'!AA187&gt;=9),'Model inputs'!AA187&gt;=9,IF('Model inputs'!AA187="","",'Model inputs'!AA187&gt;=9))),IF('Model inputs'!AJ95="","",'Model inputs'!AJ95),IF(IF(IF(ISERROR('Model inputs'!AA187&gt;=6),'Model inputs'!AA187&gt;=6,IF('Model inputs'!AA187="","",'Model inputs'!AA187&gt;=6))="",FALSE,IF(ISERROR('Model inputs'!AA187&gt;=6),'Model inputs'!AA187&gt;=6,IF('Model inputs'!AA187="","",'Model inputs'!AA187&gt;=6))),IF('Model inputs'!AJ94="","",'Model inputs'!AJ94),0))))))))</f>
        <v>8</v>
      </c>
      <c r="AB445" s="8">
        <f>IF(IF(IF(ISERROR('Model inputs'!AB187&gt;=24),'Model inputs'!AB187&gt;=24,IF('Model inputs'!AB187="","",'Model inputs'!AB187&gt;=24))="",FALSE,IF(ISERROR('Model inputs'!AB187&gt;=24),'Model inputs'!AB187&gt;=24,IF('Model inputs'!AB187="","",'Model inputs'!AB187&gt;=24))),IF('Model inputs'!AJ93="","",'Model inputs'!AJ93),IF(IF(IF(ISERROR('Model inputs'!AB187&gt;=23),'Model inputs'!AB187&gt;=23,IF('Model inputs'!AB187="","",'Model inputs'!AB187&gt;=23))="",FALSE,IF(ISERROR('Model inputs'!AB187&gt;=23),'Model inputs'!AB187&gt;=23,IF('Model inputs'!AB187="","",'Model inputs'!AB187&gt;=23))),IF('Model inputs'!AJ92="","",'Model inputs'!AJ92),IF(IF(IF(ISERROR('Model inputs'!AB187&gt;=21),'Model inputs'!AB187&gt;=21,IF('Model inputs'!AB187="","",'Model inputs'!AB187&gt;=21))="",FALSE,IF(ISERROR('Model inputs'!AB187&gt;=21),'Model inputs'!AB187&gt;=21,IF('Model inputs'!AB187="","",'Model inputs'!AB187&gt;=21))),IF('Model inputs'!AJ91="","",'Model inputs'!AJ91),IF(IF(IF(ISERROR('Model inputs'!AB187&gt;=18),'Model inputs'!AB187&gt;=18,IF('Model inputs'!AB187="","",'Model inputs'!AB187&gt;=18))="",FALSE,IF(ISERROR('Model inputs'!AB187&gt;=18),'Model inputs'!AB187&gt;=18,IF('Model inputs'!AB187="","",'Model inputs'!AB187&gt;=18))),IF('Model inputs'!AJ90="","",'Model inputs'!AJ90),IF(IF(IF(ISERROR('Model inputs'!AB187&gt;=15),'Model inputs'!AB187&gt;=15,IF('Model inputs'!AB187="","",'Model inputs'!AB187&gt;=15))="",FALSE,IF(ISERROR('Model inputs'!AB187&gt;=15),'Model inputs'!AB187&gt;=15,IF('Model inputs'!AB187="","",'Model inputs'!AB187&gt;=15))),IF('Model inputs'!AJ89="","",'Model inputs'!AJ89),IF(IF(IF(ISERROR('Model inputs'!AB187&gt;=12),'Model inputs'!AB187&gt;=12,IF('Model inputs'!AB187="","",'Model inputs'!AB187&gt;=12))="",FALSE,IF(ISERROR('Model inputs'!AB187&gt;=12),'Model inputs'!AB187&gt;=12,IF('Model inputs'!AB187="","",'Model inputs'!AB187&gt;=12))),IF('Model inputs'!AJ88="","",'Model inputs'!AJ88),IF(IF(IF(ISERROR('Model inputs'!AB187&gt;=9),'Model inputs'!AB187&gt;=9,IF('Model inputs'!AB187="","",'Model inputs'!AB187&gt;=9))="",FALSE,IF(ISERROR('Model inputs'!AB187&gt;=9),'Model inputs'!AB187&gt;=9,IF('Model inputs'!AB187="","",'Model inputs'!AB187&gt;=9))),IF('Model inputs'!AJ95="","",'Model inputs'!AJ95),IF(IF(IF(ISERROR('Model inputs'!AB187&gt;=6),'Model inputs'!AB187&gt;=6,IF('Model inputs'!AB187="","",'Model inputs'!AB187&gt;=6))="",FALSE,IF(ISERROR('Model inputs'!AB187&gt;=6),'Model inputs'!AB187&gt;=6,IF('Model inputs'!AB187="","",'Model inputs'!AB187&gt;=6))),IF('Model inputs'!AJ94="","",'Model inputs'!AJ94),0))))))))</f>
        <v>8</v>
      </c>
      <c r="AC445" s="8">
        <f>IF(IF(IF(ISERROR('Model inputs'!AC187&gt;=24),'Model inputs'!AC187&gt;=24,IF('Model inputs'!AC187="","",'Model inputs'!AC187&gt;=24))="",FALSE,IF(ISERROR('Model inputs'!AC187&gt;=24),'Model inputs'!AC187&gt;=24,IF('Model inputs'!AC187="","",'Model inputs'!AC187&gt;=24))),IF('Model inputs'!AJ93="","",'Model inputs'!AJ93),IF(IF(IF(ISERROR('Model inputs'!AC187&gt;=23),'Model inputs'!AC187&gt;=23,IF('Model inputs'!AC187="","",'Model inputs'!AC187&gt;=23))="",FALSE,IF(ISERROR('Model inputs'!AC187&gt;=23),'Model inputs'!AC187&gt;=23,IF('Model inputs'!AC187="","",'Model inputs'!AC187&gt;=23))),IF('Model inputs'!AJ92="","",'Model inputs'!AJ92),IF(IF(IF(ISERROR('Model inputs'!AC187&gt;=21),'Model inputs'!AC187&gt;=21,IF('Model inputs'!AC187="","",'Model inputs'!AC187&gt;=21))="",FALSE,IF(ISERROR('Model inputs'!AC187&gt;=21),'Model inputs'!AC187&gt;=21,IF('Model inputs'!AC187="","",'Model inputs'!AC187&gt;=21))),IF('Model inputs'!AJ91="","",'Model inputs'!AJ91),IF(IF(IF(ISERROR('Model inputs'!AC187&gt;=18),'Model inputs'!AC187&gt;=18,IF('Model inputs'!AC187="","",'Model inputs'!AC187&gt;=18))="",FALSE,IF(ISERROR('Model inputs'!AC187&gt;=18),'Model inputs'!AC187&gt;=18,IF('Model inputs'!AC187="","",'Model inputs'!AC187&gt;=18))),IF('Model inputs'!AJ90="","",'Model inputs'!AJ90),IF(IF(IF(ISERROR('Model inputs'!AC187&gt;=15),'Model inputs'!AC187&gt;=15,IF('Model inputs'!AC187="","",'Model inputs'!AC187&gt;=15))="",FALSE,IF(ISERROR('Model inputs'!AC187&gt;=15),'Model inputs'!AC187&gt;=15,IF('Model inputs'!AC187="","",'Model inputs'!AC187&gt;=15))),IF('Model inputs'!AJ89="","",'Model inputs'!AJ89),IF(IF(IF(ISERROR('Model inputs'!AC187&gt;=12),'Model inputs'!AC187&gt;=12,IF('Model inputs'!AC187="","",'Model inputs'!AC187&gt;=12))="",FALSE,IF(ISERROR('Model inputs'!AC187&gt;=12),'Model inputs'!AC187&gt;=12,IF('Model inputs'!AC187="","",'Model inputs'!AC187&gt;=12))),IF('Model inputs'!AJ88="","",'Model inputs'!AJ88),IF(IF(IF(ISERROR('Model inputs'!AC187&gt;=9),'Model inputs'!AC187&gt;=9,IF('Model inputs'!AC187="","",'Model inputs'!AC187&gt;=9))="",FALSE,IF(ISERROR('Model inputs'!AC187&gt;=9),'Model inputs'!AC187&gt;=9,IF('Model inputs'!AC187="","",'Model inputs'!AC187&gt;=9))),IF('Model inputs'!AJ95="","",'Model inputs'!AJ95),IF(IF(IF(ISERROR('Model inputs'!AC187&gt;=6),'Model inputs'!AC187&gt;=6,IF('Model inputs'!AC187="","",'Model inputs'!AC187&gt;=6))="",FALSE,IF(ISERROR('Model inputs'!AC187&gt;=6),'Model inputs'!AC187&gt;=6,IF('Model inputs'!AC187="","",'Model inputs'!AC187&gt;=6))),IF('Model inputs'!AJ94="","",'Model inputs'!AJ94),0))))))))</f>
        <v>10</v>
      </c>
      <c r="AD445" s="8">
        <f>IF(IF(IF(ISERROR('Model inputs'!AD187&gt;=24),'Model inputs'!AD187&gt;=24,IF('Model inputs'!AD187="","",'Model inputs'!AD187&gt;=24))="",FALSE,IF(ISERROR('Model inputs'!AD187&gt;=24),'Model inputs'!AD187&gt;=24,IF('Model inputs'!AD187="","",'Model inputs'!AD187&gt;=24))),IF('Model inputs'!AJ93="","",'Model inputs'!AJ93),IF(IF(IF(ISERROR('Model inputs'!AD187&gt;=23),'Model inputs'!AD187&gt;=23,IF('Model inputs'!AD187="","",'Model inputs'!AD187&gt;=23))="",FALSE,IF(ISERROR('Model inputs'!AD187&gt;=23),'Model inputs'!AD187&gt;=23,IF('Model inputs'!AD187="","",'Model inputs'!AD187&gt;=23))),IF('Model inputs'!AJ92="","",'Model inputs'!AJ92),IF(IF(IF(ISERROR('Model inputs'!AD187&gt;=21),'Model inputs'!AD187&gt;=21,IF('Model inputs'!AD187="","",'Model inputs'!AD187&gt;=21))="",FALSE,IF(ISERROR('Model inputs'!AD187&gt;=21),'Model inputs'!AD187&gt;=21,IF('Model inputs'!AD187="","",'Model inputs'!AD187&gt;=21))),IF('Model inputs'!AJ91="","",'Model inputs'!AJ91),IF(IF(IF(ISERROR('Model inputs'!AD187&gt;=18),'Model inputs'!AD187&gt;=18,IF('Model inputs'!AD187="","",'Model inputs'!AD187&gt;=18))="",FALSE,IF(ISERROR('Model inputs'!AD187&gt;=18),'Model inputs'!AD187&gt;=18,IF('Model inputs'!AD187="","",'Model inputs'!AD187&gt;=18))),IF('Model inputs'!AJ90="","",'Model inputs'!AJ90),IF(IF(IF(ISERROR('Model inputs'!AD187&gt;=15),'Model inputs'!AD187&gt;=15,IF('Model inputs'!AD187="","",'Model inputs'!AD187&gt;=15))="",FALSE,IF(ISERROR('Model inputs'!AD187&gt;=15),'Model inputs'!AD187&gt;=15,IF('Model inputs'!AD187="","",'Model inputs'!AD187&gt;=15))),IF('Model inputs'!AJ89="","",'Model inputs'!AJ89),IF(IF(IF(ISERROR('Model inputs'!AD187&gt;=12),'Model inputs'!AD187&gt;=12,IF('Model inputs'!AD187="","",'Model inputs'!AD187&gt;=12))="",FALSE,IF(ISERROR('Model inputs'!AD187&gt;=12),'Model inputs'!AD187&gt;=12,IF('Model inputs'!AD187="","",'Model inputs'!AD187&gt;=12))),IF('Model inputs'!AJ88="","",'Model inputs'!AJ88),IF(IF(IF(ISERROR('Model inputs'!AD187&gt;=9),'Model inputs'!AD187&gt;=9,IF('Model inputs'!AD187="","",'Model inputs'!AD187&gt;=9))="",FALSE,IF(ISERROR('Model inputs'!AD187&gt;=9),'Model inputs'!AD187&gt;=9,IF('Model inputs'!AD187="","",'Model inputs'!AD187&gt;=9))),IF('Model inputs'!AJ95="","",'Model inputs'!AJ95),IF(IF(IF(ISERROR('Model inputs'!AD187&gt;=6),'Model inputs'!AD187&gt;=6,IF('Model inputs'!AD187="","",'Model inputs'!AD187&gt;=6))="",FALSE,IF(ISERROR('Model inputs'!AD187&gt;=6),'Model inputs'!AD187&gt;=6,IF('Model inputs'!AD187="","",'Model inputs'!AD187&gt;=6))),IF('Model inputs'!AJ94="","",'Model inputs'!AJ94),0))))))))</f>
        <v>10</v>
      </c>
      <c r="AE445" s="8">
        <f>IF(IF(IF(ISERROR('Model inputs'!AE187&gt;=24),'Model inputs'!AE187&gt;=24,IF('Model inputs'!AE187="","",'Model inputs'!AE187&gt;=24))="",FALSE,IF(ISERROR('Model inputs'!AE187&gt;=24),'Model inputs'!AE187&gt;=24,IF('Model inputs'!AE187="","",'Model inputs'!AE187&gt;=24))),IF('Model inputs'!AJ93="","",'Model inputs'!AJ93),IF(IF(IF(ISERROR('Model inputs'!AE187&gt;=23),'Model inputs'!AE187&gt;=23,IF('Model inputs'!AE187="","",'Model inputs'!AE187&gt;=23))="",FALSE,IF(ISERROR('Model inputs'!AE187&gt;=23),'Model inputs'!AE187&gt;=23,IF('Model inputs'!AE187="","",'Model inputs'!AE187&gt;=23))),IF('Model inputs'!AJ92="","",'Model inputs'!AJ92),IF(IF(IF(ISERROR('Model inputs'!AE187&gt;=21),'Model inputs'!AE187&gt;=21,IF('Model inputs'!AE187="","",'Model inputs'!AE187&gt;=21))="",FALSE,IF(ISERROR('Model inputs'!AE187&gt;=21),'Model inputs'!AE187&gt;=21,IF('Model inputs'!AE187="","",'Model inputs'!AE187&gt;=21))),IF('Model inputs'!AJ91="","",'Model inputs'!AJ91),IF(IF(IF(ISERROR('Model inputs'!AE187&gt;=18),'Model inputs'!AE187&gt;=18,IF('Model inputs'!AE187="","",'Model inputs'!AE187&gt;=18))="",FALSE,IF(ISERROR('Model inputs'!AE187&gt;=18),'Model inputs'!AE187&gt;=18,IF('Model inputs'!AE187="","",'Model inputs'!AE187&gt;=18))),IF('Model inputs'!AJ90="","",'Model inputs'!AJ90),IF(IF(IF(ISERROR('Model inputs'!AE187&gt;=15),'Model inputs'!AE187&gt;=15,IF('Model inputs'!AE187="","",'Model inputs'!AE187&gt;=15))="",FALSE,IF(ISERROR('Model inputs'!AE187&gt;=15),'Model inputs'!AE187&gt;=15,IF('Model inputs'!AE187="","",'Model inputs'!AE187&gt;=15))),IF('Model inputs'!AJ89="","",'Model inputs'!AJ89),IF(IF(IF(ISERROR('Model inputs'!AE187&gt;=12),'Model inputs'!AE187&gt;=12,IF('Model inputs'!AE187="","",'Model inputs'!AE187&gt;=12))="",FALSE,IF(ISERROR('Model inputs'!AE187&gt;=12),'Model inputs'!AE187&gt;=12,IF('Model inputs'!AE187="","",'Model inputs'!AE187&gt;=12))),IF('Model inputs'!AJ88="","",'Model inputs'!AJ88),IF(IF(IF(ISERROR('Model inputs'!AE187&gt;=9),'Model inputs'!AE187&gt;=9,IF('Model inputs'!AE187="","",'Model inputs'!AE187&gt;=9))="",FALSE,IF(ISERROR('Model inputs'!AE187&gt;=9),'Model inputs'!AE187&gt;=9,IF('Model inputs'!AE187="","",'Model inputs'!AE187&gt;=9))),IF('Model inputs'!AJ95="","",'Model inputs'!AJ95),IF(IF(IF(ISERROR('Model inputs'!AE187&gt;=6),'Model inputs'!AE187&gt;=6,IF('Model inputs'!AE187="","",'Model inputs'!AE187&gt;=6))="",FALSE,IF(ISERROR('Model inputs'!AE187&gt;=6),'Model inputs'!AE187&gt;=6,IF('Model inputs'!AE187="","",'Model inputs'!AE187&gt;=6))),IF('Model inputs'!AJ94="","",'Model inputs'!AJ94),0))))))))</f>
        <v>10</v>
      </c>
      <c r="AF445" s="8">
        <f>IF(IF(IF(ISERROR('Model inputs'!AF187&gt;=24),'Model inputs'!AF187&gt;=24,IF('Model inputs'!AF187="","",'Model inputs'!AF187&gt;=24))="",FALSE,IF(ISERROR('Model inputs'!AF187&gt;=24),'Model inputs'!AF187&gt;=24,IF('Model inputs'!AF187="","",'Model inputs'!AF187&gt;=24))),IF('Model inputs'!AJ93="","",'Model inputs'!AJ93),IF(IF(IF(ISERROR('Model inputs'!AF187&gt;=23),'Model inputs'!AF187&gt;=23,IF('Model inputs'!AF187="","",'Model inputs'!AF187&gt;=23))="",FALSE,IF(ISERROR('Model inputs'!AF187&gt;=23),'Model inputs'!AF187&gt;=23,IF('Model inputs'!AF187="","",'Model inputs'!AF187&gt;=23))),IF('Model inputs'!AJ92="","",'Model inputs'!AJ92),IF(IF(IF(ISERROR('Model inputs'!AF187&gt;=21),'Model inputs'!AF187&gt;=21,IF('Model inputs'!AF187="","",'Model inputs'!AF187&gt;=21))="",FALSE,IF(ISERROR('Model inputs'!AF187&gt;=21),'Model inputs'!AF187&gt;=21,IF('Model inputs'!AF187="","",'Model inputs'!AF187&gt;=21))),IF('Model inputs'!AJ91="","",'Model inputs'!AJ91),IF(IF(IF(ISERROR('Model inputs'!AF187&gt;=18),'Model inputs'!AF187&gt;=18,IF('Model inputs'!AF187="","",'Model inputs'!AF187&gt;=18))="",FALSE,IF(ISERROR('Model inputs'!AF187&gt;=18),'Model inputs'!AF187&gt;=18,IF('Model inputs'!AF187="","",'Model inputs'!AF187&gt;=18))),IF('Model inputs'!AJ90="","",'Model inputs'!AJ90),IF(IF(IF(ISERROR('Model inputs'!AF187&gt;=15),'Model inputs'!AF187&gt;=15,IF('Model inputs'!AF187="","",'Model inputs'!AF187&gt;=15))="",FALSE,IF(ISERROR('Model inputs'!AF187&gt;=15),'Model inputs'!AF187&gt;=15,IF('Model inputs'!AF187="","",'Model inputs'!AF187&gt;=15))),IF('Model inputs'!AJ89="","",'Model inputs'!AJ89),IF(IF(IF(ISERROR('Model inputs'!AF187&gt;=12),'Model inputs'!AF187&gt;=12,IF('Model inputs'!AF187="","",'Model inputs'!AF187&gt;=12))="",FALSE,IF(ISERROR('Model inputs'!AF187&gt;=12),'Model inputs'!AF187&gt;=12,IF('Model inputs'!AF187="","",'Model inputs'!AF187&gt;=12))),IF('Model inputs'!AJ88="","",'Model inputs'!AJ88),IF(IF(IF(ISERROR('Model inputs'!AF187&gt;=9),'Model inputs'!AF187&gt;=9,IF('Model inputs'!AF187="","",'Model inputs'!AF187&gt;=9))="",FALSE,IF(ISERROR('Model inputs'!AF187&gt;=9),'Model inputs'!AF187&gt;=9,IF('Model inputs'!AF187="","",'Model inputs'!AF187&gt;=9))),IF('Model inputs'!AJ95="","",'Model inputs'!AJ95),IF(IF(IF(ISERROR('Model inputs'!AF187&gt;=6),'Model inputs'!AF187&gt;=6,IF('Model inputs'!AF187="","",'Model inputs'!AF187&gt;=6))="",FALSE,IF(ISERROR('Model inputs'!AF187&gt;=6),'Model inputs'!AF187&gt;=6,IF('Model inputs'!AF187="","",'Model inputs'!AF187&gt;=6))),IF('Model inputs'!AJ94="","",'Model inputs'!AJ94),0))))))))</f>
        <v>12</v>
      </c>
      <c r="AG445" s="8">
        <f>IF(IF(IF(ISERROR('Model inputs'!AG187&gt;=24),'Model inputs'!AG187&gt;=24,IF('Model inputs'!AG187="","",'Model inputs'!AG187&gt;=24))="",FALSE,IF(ISERROR('Model inputs'!AG187&gt;=24),'Model inputs'!AG187&gt;=24,IF('Model inputs'!AG187="","",'Model inputs'!AG187&gt;=24))),IF('Model inputs'!AJ93="","",'Model inputs'!AJ93),IF(IF(IF(ISERROR('Model inputs'!AG187&gt;=23),'Model inputs'!AG187&gt;=23,IF('Model inputs'!AG187="","",'Model inputs'!AG187&gt;=23))="",FALSE,IF(ISERROR('Model inputs'!AG187&gt;=23),'Model inputs'!AG187&gt;=23,IF('Model inputs'!AG187="","",'Model inputs'!AG187&gt;=23))),IF('Model inputs'!AJ92="","",'Model inputs'!AJ92),IF(IF(IF(ISERROR('Model inputs'!AG187&gt;=21),'Model inputs'!AG187&gt;=21,IF('Model inputs'!AG187="","",'Model inputs'!AG187&gt;=21))="",FALSE,IF(ISERROR('Model inputs'!AG187&gt;=21),'Model inputs'!AG187&gt;=21,IF('Model inputs'!AG187="","",'Model inputs'!AG187&gt;=21))),IF('Model inputs'!AJ91="","",'Model inputs'!AJ91),IF(IF(IF(ISERROR('Model inputs'!AG187&gt;=18),'Model inputs'!AG187&gt;=18,IF('Model inputs'!AG187="","",'Model inputs'!AG187&gt;=18))="",FALSE,IF(ISERROR('Model inputs'!AG187&gt;=18),'Model inputs'!AG187&gt;=18,IF('Model inputs'!AG187="","",'Model inputs'!AG187&gt;=18))),IF('Model inputs'!AJ90="","",'Model inputs'!AJ90),IF(IF(IF(ISERROR('Model inputs'!AG187&gt;=15),'Model inputs'!AG187&gt;=15,IF('Model inputs'!AG187="","",'Model inputs'!AG187&gt;=15))="",FALSE,IF(ISERROR('Model inputs'!AG187&gt;=15),'Model inputs'!AG187&gt;=15,IF('Model inputs'!AG187="","",'Model inputs'!AG187&gt;=15))),IF('Model inputs'!AJ89="","",'Model inputs'!AJ89),IF(IF(IF(ISERROR('Model inputs'!AG187&gt;=12),'Model inputs'!AG187&gt;=12,IF('Model inputs'!AG187="","",'Model inputs'!AG187&gt;=12))="",FALSE,IF(ISERROR('Model inputs'!AG187&gt;=12),'Model inputs'!AG187&gt;=12,IF('Model inputs'!AG187="","",'Model inputs'!AG187&gt;=12))),IF('Model inputs'!AJ88="","",'Model inputs'!AJ88),IF(IF(IF(ISERROR('Model inputs'!AG187&gt;=9),'Model inputs'!AG187&gt;=9,IF('Model inputs'!AG187="","",'Model inputs'!AG187&gt;=9))="",FALSE,IF(ISERROR('Model inputs'!AG187&gt;=9),'Model inputs'!AG187&gt;=9,IF('Model inputs'!AG187="","",'Model inputs'!AG187&gt;=9))),IF('Model inputs'!AJ95="","",'Model inputs'!AJ95),IF(IF(IF(ISERROR('Model inputs'!AG187&gt;=6),'Model inputs'!AG187&gt;=6,IF('Model inputs'!AG187="","",'Model inputs'!AG187&gt;=6))="",FALSE,IF(ISERROR('Model inputs'!AG187&gt;=6),'Model inputs'!AG187&gt;=6,IF('Model inputs'!AG187="","",'Model inputs'!AG187&gt;=6))),IF('Model inputs'!AJ94="","",'Model inputs'!AJ94),0))))))))</f>
        <v>12</v>
      </c>
      <c r="AH445" s="8">
        <f>IF(IF(IF(ISERROR('Model inputs'!AH187&gt;=24),'Model inputs'!AH187&gt;=24,IF('Model inputs'!AH187="","",'Model inputs'!AH187&gt;=24))="",FALSE,IF(ISERROR('Model inputs'!AH187&gt;=24),'Model inputs'!AH187&gt;=24,IF('Model inputs'!AH187="","",'Model inputs'!AH187&gt;=24))),IF('Model inputs'!AJ93="","",'Model inputs'!AJ93),IF(IF(IF(ISERROR('Model inputs'!AH187&gt;=23),'Model inputs'!AH187&gt;=23,IF('Model inputs'!AH187="","",'Model inputs'!AH187&gt;=23))="",FALSE,IF(ISERROR('Model inputs'!AH187&gt;=23),'Model inputs'!AH187&gt;=23,IF('Model inputs'!AH187="","",'Model inputs'!AH187&gt;=23))),IF('Model inputs'!AJ92="","",'Model inputs'!AJ92),IF(IF(IF(ISERROR('Model inputs'!AH187&gt;=21),'Model inputs'!AH187&gt;=21,IF('Model inputs'!AH187="","",'Model inputs'!AH187&gt;=21))="",FALSE,IF(ISERROR('Model inputs'!AH187&gt;=21),'Model inputs'!AH187&gt;=21,IF('Model inputs'!AH187="","",'Model inputs'!AH187&gt;=21))),IF('Model inputs'!AJ91="","",'Model inputs'!AJ91),IF(IF(IF(ISERROR('Model inputs'!AH187&gt;=18),'Model inputs'!AH187&gt;=18,IF('Model inputs'!AH187="","",'Model inputs'!AH187&gt;=18))="",FALSE,IF(ISERROR('Model inputs'!AH187&gt;=18),'Model inputs'!AH187&gt;=18,IF('Model inputs'!AH187="","",'Model inputs'!AH187&gt;=18))),IF('Model inputs'!AJ90="","",'Model inputs'!AJ90),IF(IF(IF(ISERROR('Model inputs'!AH187&gt;=15),'Model inputs'!AH187&gt;=15,IF('Model inputs'!AH187="","",'Model inputs'!AH187&gt;=15))="",FALSE,IF(ISERROR('Model inputs'!AH187&gt;=15),'Model inputs'!AH187&gt;=15,IF('Model inputs'!AH187="","",'Model inputs'!AH187&gt;=15))),IF('Model inputs'!AJ89="","",'Model inputs'!AJ89),IF(IF(IF(ISERROR('Model inputs'!AH187&gt;=12),'Model inputs'!AH187&gt;=12,IF('Model inputs'!AH187="","",'Model inputs'!AH187&gt;=12))="",FALSE,IF(ISERROR('Model inputs'!AH187&gt;=12),'Model inputs'!AH187&gt;=12,IF('Model inputs'!AH187="","",'Model inputs'!AH187&gt;=12))),IF('Model inputs'!AJ88="","",'Model inputs'!AJ88),IF(IF(IF(ISERROR('Model inputs'!AH187&gt;=9),'Model inputs'!AH187&gt;=9,IF('Model inputs'!AH187="","",'Model inputs'!AH187&gt;=9))="",FALSE,IF(ISERROR('Model inputs'!AH187&gt;=9),'Model inputs'!AH187&gt;=9,IF('Model inputs'!AH187="","",'Model inputs'!AH187&gt;=9))),IF('Model inputs'!AJ95="","",'Model inputs'!AJ95),IF(IF(IF(ISERROR('Model inputs'!AH187&gt;=6),'Model inputs'!AH187&gt;=6,IF('Model inputs'!AH187="","",'Model inputs'!AH187&gt;=6))="",FALSE,IF(ISERROR('Model inputs'!AH187&gt;=6),'Model inputs'!AH187&gt;=6,IF('Model inputs'!AH187="","",'Model inputs'!AH187&gt;=6))),IF('Model inputs'!AJ94="","",'Model inputs'!AJ94),0))))))))</f>
        <v>14</v>
      </c>
      <c r="AI445" s="8">
        <f>IF(IF(IF(ISERROR('Model inputs'!AI187&gt;=24),'Model inputs'!AI187&gt;=24,IF('Model inputs'!AI187="","",'Model inputs'!AI187&gt;=24))="",FALSE,IF(ISERROR('Model inputs'!AI187&gt;=24),'Model inputs'!AI187&gt;=24,IF('Model inputs'!AI187="","",'Model inputs'!AI187&gt;=24))),IF('Model inputs'!AJ93="","",'Model inputs'!AJ93),IF(IF(IF(ISERROR('Model inputs'!AI187&gt;=23),'Model inputs'!AI187&gt;=23,IF('Model inputs'!AI187="","",'Model inputs'!AI187&gt;=23))="",FALSE,IF(ISERROR('Model inputs'!AI187&gt;=23),'Model inputs'!AI187&gt;=23,IF('Model inputs'!AI187="","",'Model inputs'!AI187&gt;=23))),IF('Model inputs'!AJ92="","",'Model inputs'!AJ92),IF(IF(IF(ISERROR('Model inputs'!AI187&gt;=21),'Model inputs'!AI187&gt;=21,IF('Model inputs'!AI187="","",'Model inputs'!AI187&gt;=21))="",FALSE,IF(ISERROR('Model inputs'!AI187&gt;=21),'Model inputs'!AI187&gt;=21,IF('Model inputs'!AI187="","",'Model inputs'!AI187&gt;=21))),IF('Model inputs'!AJ91="","",'Model inputs'!AJ91),IF(IF(IF(ISERROR('Model inputs'!AI187&gt;=18),'Model inputs'!AI187&gt;=18,IF('Model inputs'!AI187="","",'Model inputs'!AI187&gt;=18))="",FALSE,IF(ISERROR('Model inputs'!AI187&gt;=18),'Model inputs'!AI187&gt;=18,IF('Model inputs'!AI187="","",'Model inputs'!AI187&gt;=18))),IF('Model inputs'!AJ90="","",'Model inputs'!AJ90),IF(IF(IF(ISERROR('Model inputs'!AI187&gt;=15),'Model inputs'!AI187&gt;=15,IF('Model inputs'!AI187="","",'Model inputs'!AI187&gt;=15))="",FALSE,IF(ISERROR('Model inputs'!AI187&gt;=15),'Model inputs'!AI187&gt;=15,IF('Model inputs'!AI187="","",'Model inputs'!AI187&gt;=15))),IF('Model inputs'!AJ89="","",'Model inputs'!AJ89),IF(IF(IF(ISERROR('Model inputs'!AI187&gt;=12),'Model inputs'!AI187&gt;=12,IF('Model inputs'!AI187="","",'Model inputs'!AI187&gt;=12))="",FALSE,IF(ISERROR('Model inputs'!AI187&gt;=12),'Model inputs'!AI187&gt;=12,IF('Model inputs'!AI187="","",'Model inputs'!AI187&gt;=12))),IF('Model inputs'!AJ88="","",'Model inputs'!AJ88),IF(IF(IF(ISERROR('Model inputs'!AI187&gt;=9),'Model inputs'!AI187&gt;=9,IF('Model inputs'!AI187="","",'Model inputs'!AI187&gt;=9))="",FALSE,IF(ISERROR('Model inputs'!AI187&gt;=9),'Model inputs'!AI187&gt;=9,IF('Model inputs'!AI187="","",'Model inputs'!AI187&gt;=9))),IF('Model inputs'!AJ95="","",'Model inputs'!AJ95),IF(IF(IF(ISERROR('Model inputs'!AI187&gt;=6),'Model inputs'!AI187&gt;=6,IF('Model inputs'!AI187="","",'Model inputs'!AI187&gt;=6))="",FALSE,IF(ISERROR('Model inputs'!AI187&gt;=6),'Model inputs'!AI187&gt;=6,IF('Model inputs'!AI187="","",'Model inputs'!AI187&gt;=6))),IF('Model inputs'!AJ94="","",'Model inputs'!AJ94),0))))))))</f>
        <v>16</v>
      </c>
    </row>
    <row r="446">
      <c r="A446" t="inlineStr" s="13">
        <is>
          <t xml:space="preserve">Haq CSR districts · Haq Ending cash · Conservative · Conservative</t>
        </is>
      </c>
      <c r="B446" s="8">
        <f>IF(IF(IF(ISERROR('Model inputs'!B188&gt;=24),'Model inputs'!B188&gt;=24,IF('Model inputs'!B188="","",'Model inputs'!B188&gt;=24))="",FALSE,IF(ISERROR('Model inputs'!B188&gt;=24),'Model inputs'!B188&gt;=24,IF('Model inputs'!B188="","",'Model inputs'!B188&gt;=24))),IF('Model inputs'!AJ149="","",'Model inputs'!AJ149),IF(IF(IF(ISERROR('Model inputs'!B188&gt;=23),'Model inputs'!B188&gt;=23,IF('Model inputs'!B188="","",'Model inputs'!B188&gt;=23))="",FALSE,IF(ISERROR('Model inputs'!B188&gt;=23),'Model inputs'!B188&gt;=23,IF('Model inputs'!B188="","",'Model inputs'!B188&gt;=23))),IF('Model inputs'!AJ148="","",'Model inputs'!AJ148),IF(IF(IF(ISERROR('Model inputs'!B188&gt;=21),'Model inputs'!B188&gt;=21,IF('Model inputs'!B188="","",'Model inputs'!B188&gt;=21))="",FALSE,IF(ISERROR('Model inputs'!B188&gt;=21),'Model inputs'!B188&gt;=21,IF('Model inputs'!B188="","",'Model inputs'!B188&gt;=21))),IF('Model inputs'!AJ147="","",'Model inputs'!AJ147),IF(IF(IF(ISERROR('Model inputs'!B188&gt;=18),'Model inputs'!B188&gt;=18,IF('Model inputs'!B188="","",'Model inputs'!B188&gt;=18))="",FALSE,IF(ISERROR('Model inputs'!B188&gt;=18),'Model inputs'!B188&gt;=18,IF('Model inputs'!B188="","",'Model inputs'!B188&gt;=18))),IF('Model inputs'!AJ146="","",'Model inputs'!AJ146),IF(IF(IF(ISERROR('Model inputs'!B188&gt;=15),'Model inputs'!B188&gt;=15,IF('Model inputs'!B188="","",'Model inputs'!B188&gt;=15))="",FALSE,IF(ISERROR('Model inputs'!B188&gt;=15),'Model inputs'!B188&gt;=15,IF('Model inputs'!B188="","",'Model inputs'!B188&gt;=15))),IF('Model inputs'!AJ145="","",'Model inputs'!AJ145),IF(IF(IF(ISERROR('Model inputs'!B188&gt;=12),'Model inputs'!B188&gt;=12,IF('Model inputs'!B188="","",'Model inputs'!B188&gt;=12))="",FALSE,IF(ISERROR('Model inputs'!B188&gt;=12),'Model inputs'!B188&gt;=12,IF('Model inputs'!B188="","",'Model inputs'!B188&gt;=12))),IF('Model inputs'!AJ144="","",'Model inputs'!AJ144),IF(IF(IF(ISERROR('Model inputs'!B188&gt;=9),'Model inputs'!B188&gt;=9,IF('Model inputs'!B188="","",'Model inputs'!B188&gt;=9))="",FALSE,IF(ISERROR('Model inputs'!B188&gt;=9),'Model inputs'!B188&gt;=9,IF('Model inputs'!B188="","",'Model inputs'!B188&gt;=9))),IF('Model inputs'!AJ151="","",'Model inputs'!AJ151),IF(IF(IF(ISERROR('Model inputs'!B188&gt;=6),'Model inputs'!B188&gt;=6,IF('Model inputs'!B188="","",'Model inputs'!B188&gt;=6))="",FALSE,IF(ISERROR('Model inputs'!B188&gt;=6),'Model inputs'!B188&gt;=6,IF('Model inputs'!B188="","",'Model inputs'!B188&gt;=6))),IF('Model inputs'!AJ150="","",'Model inputs'!AJ150),0))))))))</f>
        <v>0</v>
      </c>
      <c r="C446" s="8">
        <f>IF(IF(IF(ISERROR('Model inputs'!C188&gt;=24),'Model inputs'!C188&gt;=24,IF('Model inputs'!C188="","",'Model inputs'!C188&gt;=24))="",FALSE,IF(ISERROR('Model inputs'!C188&gt;=24),'Model inputs'!C188&gt;=24,IF('Model inputs'!C188="","",'Model inputs'!C188&gt;=24))),IF('Model inputs'!AJ149="","",'Model inputs'!AJ149),IF(IF(IF(ISERROR('Model inputs'!C188&gt;=23),'Model inputs'!C188&gt;=23,IF('Model inputs'!C188="","",'Model inputs'!C188&gt;=23))="",FALSE,IF(ISERROR('Model inputs'!C188&gt;=23),'Model inputs'!C188&gt;=23,IF('Model inputs'!C188="","",'Model inputs'!C188&gt;=23))),IF('Model inputs'!AJ148="","",'Model inputs'!AJ148),IF(IF(IF(ISERROR('Model inputs'!C188&gt;=21),'Model inputs'!C188&gt;=21,IF('Model inputs'!C188="","",'Model inputs'!C188&gt;=21))="",FALSE,IF(ISERROR('Model inputs'!C188&gt;=21),'Model inputs'!C188&gt;=21,IF('Model inputs'!C188="","",'Model inputs'!C188&gt;=21))),IF('Model inputs'!AJ147="","",'Model inputs'!AJ147),IF(IF(IF(ISERROR('Model inputs'!C188&gt;=18),'Model inputs'!C188&gt;=18,IF('Model inputs'!C188="","",'Model inputs'!C188&gt;=18))="",FALSE,IF(ISERROR('Model inputs'!C188&gt;=18),'Model inputs'!C188&gt;=18,IF('Model inputs'!C188="","",'Model inputs'!C188&gt;=18))),IF('Model inputs'!AJ146="","",'Model inputs'!AJ146),IF(IF(IF(ISERROR('Model inputs'!C188&gt;=15),'Model inputs'!C188&gt;=15,IF('Model inputs'!C188="","",'Model inputs'!C188&gt;=15))="",FALSE,IF(ISERROR('Model inputs'!C188&gt;=15),'Model inputs'!C188&gt;=15,IF('Model inputs'!C188="","",'Model inputs'!C188&gt;=15))),IF('Model inputs'!AJ145="","",'Model inputs'!AJ145),IF(IF(IF(ISERROR('Model inputs'!C188&gt;=12),'Model inputs'!C188&gt;=12,IF('Model inputs'!C188="","",'Model inputs'!C188&gt;=12))="",FALSE,IF(ISERROR('Model inputs'!C188&gt;=12),'Model inputs'!C188&gt;=12,IF('Model inputs'!C188="","",'Model inputs'!C188&gt;=12))),IF('Model inputs'!AJ144="","",'Model inputs'!AJ144),IF(IF(IF(ISERROR('Model inputs'!C188&gt;=9),'Model inputs'!C188&gt;=9,IF('Model inputs'!C188="","",'Model inputs'!C188&gt;=9))="",FALSE,IF(ISERROR('Model inputs'!C188&gt;=9),'Model inputs'!C188&gt;=9,IF('Model inputs'!C188="","",'Model inputs'!C188&gt;=9))),IF('Model inputs'!AJ151="","",'Model inputs'!AJ151),IF(IF(IF(ISERROR('Model inputs'!C188&gt;=6),'Model inputs'!C188&gt;=6,IF('Model inputs'!C188="","",'Model inputs'!C188&gt;=6))="",FALSE,IF(ISERROR('Model inputs'!C188&gt;=6),'Model inputs'!C188&gt;=6,IF('Model inputs'!C188="","",'Model inputs'!C188&gt;=6))),IF('Model inputs'!AJ150="","",'Model inputs'!AJ150),0))))))))</f>
        <v>0</v>
      </c>
      <c r="D446" s="8">
        <f>IF(IF(IF(ISERROR('Model inputs'!D188&gt;=24),'Model inputs'!D188&gt;=24,IF('Model inputs'!D188="","",'Model inputs'!D188&gt;=24))="",FALSE,IF(ISERROR('Model inputs'!D188&gt;=24),'Model inputs'!D188&gt;=24,IF('Model inputs'!D188="","",'Model inputs'!D188&gt;=24))),IF('Model inputs'!AJ149="","",'Model inputs'!AJ149),IF(IF(IF(ISERROR('Model inputs'!D188&gt;=23),'Model inputs'!D188&gt;=23,IF('Model inputs'!D188="","",'Model inputs'!D188&gt;=23))="",FALSE,IF(ISERROR('Model inputs'!D188&gt;=23),'Model inputs'!D188&gt;=23,IF('Model inputs'!D188="","",'Model inputs'!D188&gt;=23))),IF('Model inputs'!AJ148="","",'Model inputs'!AJ148),IF(IF(IF(ISERROR('Model inputs'!D188&gt;=21),'Model inputs'!D188&gt;=21,IF('Model inputs'!D188="","",'Model inputs'!D188&gt;=21))="",FALSE,IF(ISERROR('Model inputs'!D188&gt;=21),'Model inputs'!D188&gt;=21,IF('Model inputs'!D188="","",'Model inputs'!D188&gt;=21))),IF('Model inputs'!AJ147="","",'Model inputs'!AJ147),IF(IF(IF(ISERROR('Model inputs'!D188&gt;=18),'Model inputs'!D188&gt;=18,IF('Model inputs'!D188="","",'Model inputs'!D188&gt;=18))="",FALSE,IF(ISERROR('Model inputs'!D188&gt;=18),'Model inputs'!D188&gt;=18,IF('Model inputs'!D188="","",'Model inputs'!D188&gt;=18))),IF('Model inputs'!AJ146="","",'Model inputs'!AJ146),IF(IF(IF(ISERROR('Model inputs'!D188&gt;=15),'Model inputs'!D188&gt;=15,IF('Model inputs'!D188="","",'Model inputs'!D188&gt;=15))="",FALSE,IF(ISERROR('Model inputs'!D188&gt;=15),'Model inputs'!D188&gt;=15,IF('Model inputs'!D188="","",'Model inputs'!D188&gt;=15))),IF('Model inputs'!AJ145="","",'Model inputs'!AJ145),IF(IF(IF(ISERROR('Model inputs'!D188&gt;=12),'Model inputs'!D188&gt;=12,IF('Model inputs'!D188="","",'Model inputs'!D188&gt;=12))="",FALSE,IF(ISERROR('Model inputs'!D188&gt;=12),'Model inputs'!D188&gt;=12,IF('Model inputs'!D188="","",'Model inputs'!D188&gt;=12))),IF('Model inputs'!AJ144="","",'Model inputs'!AJ144),IF(IF(IF(ISERROR('Model inputs'!D188&gt;=9),'Model inputs'!D188&gt;=9,IF('Model inputs'!D188="","",'Model inputs'!D188&gt;=9))="",FALSE,IF(ISERROR('Model inputs'!D188&gt;=9),'Model inputs'!D188&gt;=9,IF('Model inputs'!D188="","",'Model inputs'!D188&gt;=9))),IF('Model inputs'!AJ151="","",'Model inputs'!AJ151),IF(IF(IF(ISERROR('Model inputs'!D188&gt;=6),'Model inputs'!D188&gt;=6,IF('Model inputs'!D188="","",'Model inputs'!D188&gt;=6))="",FALSE,IF(ISERROR('Model inputs'!D188&gt;=6),'Model inputs'!D188&gt;=6,IF('Model inputs'!D188="","",'Model inputs'!D188&gt;=6))),IF('Model inputs'!AJ150="","",'Model inputs'!AJ150),0))))))))</f>
        <v>0</v>
      </c>
      <c r="E446" s="8">
        <f>IF(IF(IF(ISERROR('Model inputs'!E188&gt;=24),'Model inputs'!E188&gt;=24,IF('Model inputs'!E188="","",'Model inputs'!E188&gt;=24))="",FALSE,IF(ISERROR('Model inputs'!E188&gt;=24),'Model inputs'!E188&gt;=24,IF('Model inputs'!E188="","",'Model inputs'!E188&gt;=24))),IF('Model inputs'!AJ149="","",'Model inputs'!AJ149),IF(IF(IF(ISERROR('Model inputs'!E188&gt;=23),'Model inputs'!E188&gt;=23,IF('Model inputs'!E188="","",'Model inputs'!E188&gt;=23))="",FALSE,IF(ISERROR('Model inputs'!E188&gt;=23),'Model inputs'!E188&gt;=23,IF('Model inputs'!E188="","",'Model inputs'!E188&gt;=23))),IF('Model inputs'!AJ148="","",'Model inputs'!AJ148),IF(IF(IF(ISERROR('Model inputs'!E188&gt;=21),'Model inputs'!E188&gt;=21,IF('Model inputs'!E188="","",'Model inputs'!E188&gt;=21))="",FALSE,IF(ISERROR('Model inputs'!E188&gt;=21),'Model inputs'!E188&gt;=21,IF('Model inputs'!E188="","",'Model inputs'!E188&gt;=21))),IF('Model inputs'!AJ147="","",'Model inputs'!AJ147),IF(IF(IF(ISERROR('Model inputs'!E188&gt;=18),'Model inputs'!E188&gt;=18,IF('Model inputs'!E188="","",'Model inputs'!E188&gt;=18))="",FALSE,IF(ISERROR('Model inputs'!E188&gt;=18),'Model inputs'!E188&gt;=18,IF('Model inputs'!E188="","",'Model inputs'!E188&gt;=18))),IF('Model inputs'!AJ146="","",'Model inputs'!AJ146),IF(IF(IF(ISERROR('Model inputs'!E188&gt;=15),'Model inputs'!E188&gt;=15,IF('Model inputs'!E188="","",'Model inputs'!E188&gt;=15))="",FALSE,IF(ISERROR('Model inputs'!E188&gt;=15),'Model inputs'!E188&gt;=15,IF('Model inputs'!E188="","",'Model inputs'!E188&gt;=15))),IF('Model inputs'!AJ145="","",'Model inputs'!AJ145),IF(IF(IF(ISERROR('Model inputs'!E188&gt;=12),'Model inputs'!E188&gt;=12,IF('Model inputs'!E188="","",'Model inputs'!E188&gt;=12))="",FALSE,IF(ISERROR('Model inputs'!E188&gt;=12),'Model inputs'!E188&gt;=12,IF('Model inputs'!E188="","",'Model inputs'!E188&gt;=12))),IF('Model inputs'!AJ144="","",'Model inputs'!AJ144),IF(IF(IF(ISERROR('Model inputs'!E188&gt;=9),'Model inputs'!E188&gt;=9,IF('Model inputs'!E188="","",'Model inputs'!E188&gt;=9))="",FALSE,IF(ISERROR('Model inputs'!E188&gt;=9),'Model inputs'!E188&gt;=9,IF('Model inputs'!E188="","",'Model inputs'!E188&gt;=9))),IF('Model inputs'!AJ151="","",'Model inputs'!AJ151),IF(IF(IF(ISERROR('Model inputs'!E188&gt;=6),'Model inputs'!E188&gt;=6,IF('Model inputs'!E188="","",'Model inputs'!E188&gt;=6))="",FALSE,IF(ISERROR('Model inputs'!E188&gt;=6),'Model inputs'!E188&gt;=6,IF('Model inputs'!E188="","",'Model inputs'!E188&gt;=6))),IF('Model inputs'!AJ150="","",'Model inputs'!AJ150),0))))))))</f>
        <v>0</v>
      </c>
      <c r="F446" s="8">
        <f>IF(IF(IF(ISERROR('Model inputs'!F188&gt;=24),'Model inputs'!F188&gt;=24,IF('Model inputs'!F188="","",'Model inputs'!F188&gt;=24))="",FALSE,IF(ISERROR('Model inputs'!F188&gt;=24),'Model inputs'!F188&gt;=24,IF('Model inputs'!F188="","",'Model inputs'!F188&gt;=24))),IF('Model inputs'!AJ149="","",'Model inputs'!AJ149),IF(IF(IF(ISERROR('Model inputs'!F188&gt;=23),'Model inputs'!F188&gt;=23,IF('Model inputs'!F188="","",'Model inputs'!F188&gt;=23))="",FALSE,IF(ISERROR('Model inputs'!F188&gt;=23),'Model inputs'!F188&gt;=23,IF('Model inputs'!F188="","",'Model inputs'!F188&gt;=23))),IF('Model inputs'!AJ148="","",'Model inputs'!AJ148),IF(IF(IF(ISERROR('Model inputs'!F188&gt;=21),'Model inputs'!F188&gt;=21,IF('Model inputs'!F188="","",'Model inputs'!F188&gt;=21))="",FALSE,IF(ISERROR('Model inputs'!F188&gt;=21),'Model inputs'!F188&gt;=21,IF('Model inputs'!F188="","",'Model inputs'!F188&gt;=21))),IF('Model inputs'!AJ147="","",'Model inputs'!AJ147),IF(IF(IF(ISERROR('Model inputs'!F188&gt;=18),'Model inputs'!F188&gt;=18,IF('Model inputs'!F188="","",'Model inputs'!F188&gt;=18))="",FALSE,IF(ISERROR('Model inputs'!F188&gt;=18),'Model inputs'!F188&gt;=18,IF('Model inputs'!F188="","",'Model inputs'!F188&gt;=18))),IF('Model inputs'!AJ146="","",'Model inputs'!AJ146),IF(IF(IF(ISERROR('Model inputs'!F188&gt;=15),'Model inputs'!F188&gt;=15,IF('Model inputs'!F188="","",'Model inputs'!F188&gt;=15))="",FALSE,IF(ISERROR('Model inputs'!F188&gt;=15),'Model inputs'!F188&gt;=15,IF('Model inputs'!F188="","",'Model inputs'!F188&gt;=15))),IF('Model inputs'!AJ145="","",'Model inputs'!AJ145),IF(IF(IF(ISERROR('Model inputs'!F188&gt;=12),'Model inputs'!F188&gt;=12,IF('Model inputs'!F188="","",'Model inputs'!F188&gt;=12))="",FALSE,IF(ISERROR('Model inputs'!F188&gt;=12),'Model inputs'!F188&gt;=12,IF('Model inputs'!F188="","",'Model inputs'!F188&gt;=12))),IF('Model inputs'!AJ144="","",'Model inputs'!AJ144),IF(IF(IF(ISERROR('Model inputs'!F188&gt;=9),'Model inputs'!F188&gt;=9,IF('Model inputs'!F188="","",'Model inputs'!F188&gt;=9))="",FALSE,IF(ISERROR('Model inputs'!F188&gt;=9),'Model inputs'!F188&gt;=9,IF('Model inputs'!F188="","",'Model inputs'!F188&gt;=9))),IF('Model inputs'!AJ151="","",'Model inputs'!AJ151),IF(IF(IF(ISERROR('Model inputs'!F188&gt;=6),'Model inputs'!F188&gt;=6,IF('Model inputs'!F188="","",'Model inputs'!F188&gt;=6))="",FALSE,IF(ISERROR('Model inputs'!F188&gt;=6),'Model inputs'!F188&gt;=6,IF('Model inputs'!F188="","",'Model inputs'!F188&gt;=6))),IF('Model inputs'!AJ150="","",'Model inputs'!AJ150),0))))))))</f>
        <v>0</v>
      </c>
      <c r="G446" s="8">
        <f>IF(IF(IF(ISERROR('Model inputs'!G188&gt;=24),'Model inputs'!G188&gt;=24,IF('Model inputs'!G188="","",'Model inputs'!G188&gt;=24))="",FALSE,IF(ISERROR('Model inputs'!G188&gt;=24),'Model inputs'!G188&gt;=24,IF('Model inputs'!G188="","",'Model inputs'!G188&gt;=24))),IF('Model inputs'!AJ149="","",'Model inputs'!AJ149),IF(IF(IF(ISERROR('Model inputs'!G188&gt;=23),'Model inputs'!G188&gt;=23,IF('Model inputs'!G188="","",'Model inputs'!G188&gt;=23))="",FALSE,IF(ISERROR('Model inputs'!G188&gt;=23),'Model inputs'!G188&gt;=23,IF('Model inputs'!G188="","",'Model inputs'!G188&gt;=23))),IF('Model inputs'!AJ148="","",'Model inputs'!AJ148),IF(IF(IF(ISERROR('Model inputs'!G188&gt;=21),'Model inputs'!G188&gt;=21,IF('Model inputs'!G188="","",'Model inputs'!G188&gt;=21))="",FALSE,IF(ISERROR('Model inputs'!G188&gt;=21),'Model inputs'!G188&gt;=21,IF('Model inputs'!G188="","",'Model inputs'!G188&gt;=21))),IF('Model inputs'!AJ147="","",'Model inputs'!AJ147),IF(IF(IF(ISERROR('Model inputs'!G188&gt;=18),'Model inputs'!G188&gt;=18,IF('Model inputs'!G188="","",'Model inputs'!G188&gt;=18))="",FALSE,IF(ISERROR('Model inputs'!G188&gt;=18),'Model inputs'!G188&gt;=18,IF('Model inputs'!G188="","",'Model inputs'!G188&gt;=18))),IF('Model inputs'!AJ146="","",'Model inputs'!AJ146),IF(IF(IF(ISERROR('Model inputs'!G188&gt;=15),'Model inputs'!G188&gt;=15,IF('Model inputs'!G188="","",'Model inputs'!G188&gt;=15))="",FALSE,IF(ISERROR('Model inputs'!G188&gt;=15),'Model inputs'!G188&gt;=15,IF('Model inputs'!G188="","",'Model inputs'!G188&gt;=15))),IF('Model inputs'!AJ145="","",'Model inputs'!AJ145),IF(IF(IF(ISERROR('Model inputs'!G188&gt;=12),'Model inputs'!G188&gt;=12,IF('Model inputs'!G188="","",'Model inputs'!G188&gt;=12))="",FALSE,IF(ISERROR('Model inputs'!G188&gt;=12),'Model inputs'!G188&gt;=12,IF('Model inputs'!G188="","",'Model inputs'!G188&gt;=12))),IF('Model inputs'!AJ144="","",'Model inputs'!AJ144),IF(IF(IF(ISERROR('Model inputs'!G188&gt;=9),'Model inputs'!G188&gt;=9,IF('Model inputs'!G188="","",'Model inputs'!G188&gt;=9))="",FALSE,IF(ISERROR('Model inputs'!G188&gt;=9),'Model inputs'!G188&gt;=9,IF('Model inputs'!G188="","",'Model inputs'!G188&gt;=9))),IF('Model inputs'!AJ151="","",'Model inputs'!AJ151),IF(IF(IF(ISERROR('Model inputs'!G188&gt;=6),'Model inputs'!G188&gt;=6,IF('Model inputs'!G188="","",'Model inputs'!G188&gt;=6))="",FALSE,IF(ISERROR('Model inputs'!G188&gt;=6),'Model inputs'!G188&gt;=6,IF('Model inputs'!G188="","",'Model inputs'!G188&gt;=6))),IF('Model inputs'!AJ150="","",'Model inputs'!AJ150),0))))))))</f>
        <v>0</v>
      </c>
      <c r="H446" s="8">
        <f>IF(IF(IF(ISERROR('Model inputs'!H188&gt;=24),'Model inputs'!H188&gt;=24,IF('Model inputs'!H188="","",'Model inputs'!H188&gt;=24))="",FALSE,IF(ISERROR('Model inputs'!H188&gt;=24),'Model inputs'!H188&gt;=24,IF('Model inputs'!H188="","",'Model inputs'!H188&gt;=24))),IF('Model inputs'!AJ149="","",'Model inputs'!AJ149),IF(IF(IF(ISERROR('Model inputs'!H188&gt;=23),'Model inputs'!H188&gt;=23,IF('Model inputs'!H188="","",'Model inputs'!H188&gt;=23))="",FALSE,IF(ISERROR('Model inputs'!H188&gt;=23),'Model inputs'!H188&gt;=23,IF('Model inputs'!H188="","",'Model inputs'!H188&gt;=23))),IF('Model inputs'!AJ148="","",'Model inputs'!AJ148),IF(IF(IF(ISERROR('Model inputs'!H188&gt;=21),'Model inputs'!H188&gt;=21,IF('Model inputs'!H188="","",'Model inputs'!H188&gt;=21))="",FALSE,IF(ISERROR('Model inputs'!H188&gt;=21),'Model inputs'!H188&gt;=21,IF('Model inputs'!H188="","",'Model inputs'!H188&gt;=21))),IF('Model inputs'!AJ147="","",'Model inputs'!AJ147),IF(IF(IF(ISERROR('Model inputs'!H188&gt;=18),'Model inputs'!H188&gt;=18,IF('Model inputs'!H188="","",'Model inputs'!H188&gt;=18))="",FALSE,IF(ISERROR('Model inputs'!H188&gt;=18),'Model inputs'!H188&gt;=18,IF('Model inputs'!H188="","",'Model inputs'!H188&gt;=18))),IF('Model inputs'!AJ146="","",'Model inputs'!AJ146),IF(IF(IF(ISERROR('Model inputs'!H188&gt;=15),'Model inputs'!H188&gt;=15,IF('Model inputs'!H188="","",'Model inputs'!H188&gt;=15))="",FALSE,IF(ISERROR('Model inputs'!H188&gt;=15),'Model inputs'!H188&gt;=15,IF('Model inputs'!H188="","",'Model inputs'!H188&gt;=15))),IF('Model inputs'!AJ145="","",'Model inputs'!AJ145),IF(IF(IF(ISERROR('Model inputs'!H188&gt;=12),'Model inputs'!H188&gt;=12,IF('Model inputs'!H188="","",'Model inputs'!H188&gt;=12))="",FALSE,IF(ISERROR('Model inputs'!H188&gt;=12),'Model inputs'!H188&gt;=12,IF('Model inputs'!H188="","",'Model inputs'!H188&gt;=12))),IF('Model inputs'!AJ144="","",'Model inputs'!AJ144),IF(IF(IF(ISERROR('Model inputs'!H188&gt;=9),'Model inputs'!H188&gt;=9,IF('Model inputs'!H188="","",'Model inputs'!H188&gt;=9))="",FALSE,IF(ISERROR('Model inputs'!H188&gt;=9),'Model inputs'!H188&gt;=9,IF('Model inputs'!H188="","",'Model inputs'!H188&gt;=9))),IF('Model inputs'!AJ151="","",'Model inputs'!AJ151),IF(IF(IF(ISERROR('Model inputs'!H188&gt;=6),'Model inputs'!H188&gt;=6,IF('Model inputs'!H188="","",'Model inputs'!H188&gt;=6))="",FALSE,IF(ISERROR('Model inputs'!H188&gt;=6),'Model inputs'!H188&gt;=6,IF('Model inputs'!H188="","",'Model inputs'!H188&gt;=6))),IF('Model inputs'!AJ150="","",'Model inputs'!AJ150),0))))))))</f>
        <v>0</v>
      </c>
      <c r="I446" s="8">
        <f>IF(IF(IF(ISERROR('Model inputs'!I188&gt;=24),'Model inputs'!I188&gt;=24,IF('Model inputs'!I188="","",'Model inputs'!I188&gt;=24))="",FALSE,IF(ISERROR('Model inputs'!I188&gt;=24),'Model inputs'!I188&gt;=24,IF('Model inputs'!I188="","",'Model inputs'!I188&gt;=24))),IF('Model inputs'!AJ149="","",'Model inputs'!AJ149),IF(IF(IF(ISERROR('Model inputs'!I188&gt;=23),'Model inputs'!I188&gt;=23,IF('Model inputs'!I188="","",'Model inputs'!I188&gt;=23))="",FALSE,IF(ISERROR('Model inputs'!I188&gt;=23),'Model inputs'!I188&gt;=23,IF('Model inputs'!I188="","",'Model inputs'!I188&gt;=23))),IF('Model inputs'!AJ148="","",'Model inputs'!AJ148),IF(IF(IF(ISERROR('Model inputs'!I188&gt;=21),'Model inputs'!I188&gt;=21,IF('Model inputs'!I188="","",'Model inputs'!I188&gt;=21))="",FALSE,IF(ISERROR('Model inputs'!I188&gt;=21),'Model inputs'!I188&gt;=21,IF('Model inputs'!I188="","",'Model inputs'!I188&gt;=21))),IF('Model inputs'!AJ147="","",'Model inputs'!AJ147),IF(IF(IF(ISERROR('Model inputs'!I188&gt;=18),'Model inputs'!I188&gt;=18,IF('Model inputs'!I188="","",'Model inputs'!I188&gt;=18))="",FALSE,IF(ISERROR('Model inputs'!I188&gt;=18),'Model inputs'!I188&gt;=18,IF('Model inputs'!I188="","",'Model inputs'!I188&gt;=18))),IF('Model inputs'!AJ146="","",'Model inputs'!AJ146),IF(IF(IF(ISERROR('Model inputs'!I188&gt;=15),'Model inputs'!I188&gt;=15,IF('Model inputs'!I188="","",'Model inputs'!I188&gt;=15))="",FALSE,IF(ISERROR('Model inputs'!I188&gt;=15),'Model inputs'!I188&gt;=15,IF('Model inputs'!I188="","",'Model inputs'!I188&gt;=15))),IF('Model inputs'!AJ145="","",'Model inputs'!AJ145),IF(IF(IF(ISERROR('Model inputs'!I188&gt;=12),'Model inputs'!I188&gt;=12,IF('Model inputs'!I188="","",'Model inputs'!I188&gt;=12))="",FALSE,IF(ISERROR('Model inputs'!I188&gt;=12),'Model inputs'!I188&gt;=12,IF('Model inputs'!I188="","",'Model inputs'!I188&gt;=12))),IF('Model inputs'!AJ144="","",'Model inputs'!AJ144),IF(IF(IF(ISERROR('Model inputs'!I188&gt;=9),'Model inputs'!I188&gt;=9,IF('Model inputs'!I188="","",'Model inputs'!I188&gt;=9))="",FALSE,IF(ISERROR('Model inputs'!I188&gt;=9),'Model inputs'!I188&gt;=9,IF('Model inputs'!I188="","",'Model inputs'!I188&gt;=9))),IF('Model inputs'!AJ151="","",'Model inputs'!AJ151),IF(IF(IF(ISERROR('Model inputs'!I188&gt;=6),'Model inputs'!I188&gt;=6,IF('Model inputs'!I188="","",'Model inputs'!I188&gt;=6))="",FALSE,IF(ISERROR('Model inputs'!I188&gt;=6),'Model inputs'!I188&gt;=6,IF('Model inputs'!I188="","",'Model inputs'!I188&gt;=6))),IF('Model inputs'!AJ150="","",'Model inputs'!AJ150),0))))))))</f>
        <v>0</v>
      </c>
      <c r="J446" s="8">
        <f>IF(IF(IF(ISERROR('Model inputs'!J188&gt;=24),'Model inputs'!J188&gt;=24,IF('Model inputs'!J188="","",'Model inputs'!J188&gt;=24))="",FALSE,IF(ISERROR('Model inputs'!J188&gt;=24),'Model inputs'!J188&gt;=24,IF('Model inputs'!J188="","",'Model inputs'!J188&gt;=24))),IF('Model inputs'!AJ149="","",'Model inputs'!AJ149),IF(IF(IF(ISERROR('Model inputs'!J188&gt;=23),'Model inputs'!J188&gt;=23,IF('Model inputs'!J188="","",'Model inputs'!J188&gt;=23))="",FALSE,IF(ISERROR('Model inputs'!J188&gt;=23),'Model inputs'!J188&gt;=23,IF('Model inputs'!J188="","",'Model inputs'!J188&gt;=23))),IF('Model inputs'!AJ148="","",'Model inputs'!AJ148),IF(IF(IF(ISERROR('Model inputs'!J188&gt;=21),'Model inputs'!J188&gt;=21,IF('Model inputs'!J188="","",'Model inputs'!J188&gt;=21))="",FALSE,IF(ISERROR('Model inputs'!J188&gt;=21),'Model inputs'!J188&gt;=21,IF('Model inputs'!J188="","",'Model inputs'!J188&gt;=21))),IF('Model inputs'!AJ147="","",'Model inputs'!AJ147),IF(IF(IF(ISERROR('Model inputs'!J188&gt;=18),'Model inputs'!J188&gt;=18,IF('Model inputs'!J188="","",'Model inputs'!J188&gt;=18))="",FALSE,IF(ISERROR('Model inputs'!J188&gt;=18),'Model inputs'!J188&gt;=18,IF('Model inputs'!J188="","",'Model inputs'!J188&gt;=18))),IF('Model inputs'!AJ146="","",'Model inputs'!AJ146),IF(IF(IF(ISERROR('Model inputs'!J188&gt;=15),'Model inputs'!J188&gt;=15,IF('Model inputs'!J188="","",'Model inputs'!J188&gt;=15))="",FALSE,IF(ISERROR('Model inputs'!J188&gt;=15),'Model inputs'!J188&gt;=15,IF('Model inputs'!J188="","",'Model inputs'!J188&gt;=15))),IF('Model inputs'!AJ145="","",'Model inputs'!AJ145),IF(IF(IF(ISERROR('Model inputs'!J188&gt;=12),'Model inputs'!J188&gt;=12,IF('Model inputs'!J188="","",'Model inputs'!J188&gt;=12))="",FALSE,IF(ISERROR('Model inputs'!J188&gt;=12),'Model inputs'!J188&gt;=12,IF('Model inputs'!J188="","",'Model inputs'!J188&gt;=12))),IF('Model inputs'!AJ144="","",'Model inputs'!AJ144),IF(IF(IF(ISERROR('Model inputs'!J188&gt;=9),'Model inputs'!J188&gt;=9,IF('Model inputs'!J188="","",'Model inputs'!J188&gt;=9))="",FALSE,IF(ISERROR('Model inputs'!J188&gt;=9),'Model inputs'!J188&gt;=9,IF('Model inputs'!J188="","",'Model inputs'!J188&gt;=9))),IF('Model inputs'!AJ151="","",'Model inputs'!AJ151),IF(IF(IF(ISERROR('Model inputs'!J188&gt;=6),'Model inputs'!J188&gt;=6,IF('Model inputs'!J188="","",'Model inputs'!J188&gt;=6))="",FALSE,IF(ISERROR('Model inputs'!J188&gt;=6),'Model inputs'!J188&gt;=6,IF('Model inputs'!J188="","",'Model inputs'!J188&gt;=6))),IF('Model inputs'!AJ150="","",'Model inputs'!AJ150),0))))))))</f>
        <v>0</v>
      </c>
      <c r="K446" s="8">
        <f>IF(IF(IF(ISERROR('Model inputs'!K188&gt;=24),'Model inputs'!K188&gt;=24,IF('Model inputs'!K188="","",'Model inputs'!K188&gt;=24))="",FALSE,IF(ISERROR('Model inputs'!K188&gt;=24),'Model inputs'!K188&gt;=24,IF('Model inputs'!K188="","",'Model inputs'!K188&gt;=24))),IF('Model inputs'!AJ149="","",'Model inputs'!AJ149),IF(IF(IF(ISERROR('Model inputs'!K188&gt;=23),'Model inputs'!K188&gt;=23,IF('Model inputs'!K188="","",'Model inputs'!K188&gt;=23))="",FALSE,IF(ISERROR('Model inputs'!K188&gt;=23),'Model inputs'!K188&gt;=23,IF('Model inputs'!K188="","",'Model inputs'!K188&gt;=23))),IF('Model inputs'!AJ148="","",'Model inputs'!AJ148),IF(IF(IF(ISERROR('Model inputs'!K188&gt;=21),'Model inputs'!K188&gt;=21,IF('Model inputs'!K188="","",'Model inputs'!K188&gt;=21))="",FALSE,IF(ISERROR('Model inputs'!K188&gt;=21),'Model inputs'!K188&gt;=21,IF('Model inputs'!K188="","",'Model inputs'!K188&gt;=21))),IF('Model inputs'!AJ147="","",'Model inputs'!AJ147),IF(IF(IF(ISERROR('Model inputs'!K188&gt;=18),'Model inputs'!K188&gt;=18,IF('Model inputs'!K188="","",'Model inputs'!K188&gt;=18))="",FALSE,IF(ISERROR('Model inputs'!K188&gt;=18),'Model inputs'!K188&gt;=18,IF('Model inputs'!K188="","",'Model inputs'!K188&gt;=18))),IF('Model inputs'!AJ146="","",'Model inputs'!AJ146),IF(IF(IF(ISERROR('Model inputs'!K188&gt;=15),'Model inputs'!K188&gt;=15,IF('Model inputs'!K188="","",'Model inputs'!K188&gt;=15))="",FALSE,IF(ISERROR('Model inputs'!K188&gt;=15),'Model inputs'!K188&gt;=15,IF('Model inputs'!K188="","",'Model inputs'!K188&gt;=15))),IF('Model inputs'!AJ145="","",'Model inputs'!AJ145),IF(IF(IF(ISERROR('Model inputs'!K188&gt;=12),'Model inputs'!K188&gt;=12,IF('Model inputs'!K188="","",'Model inputs'!K188&gt;=12))="",FALSE,IF(ISERROR('Model inputs'!K188&gt;=12),'Model inputs'!K188&gt;=12,IF('Model inputs'!K188="","",'Model inputs'!K188&gt;=12))),IF('Model inputs'!AJ144="","",'Model inputs'!AJ144),IF(IF(IF(ISERROR('Model inputs'!K188&gt;=9),'Model inputs'!K188&gt;=9,IF('Model inputs'!K188="","",'Model inputs'!K188&gt;=9))="",FALSE,IF(ISERROR('Model inputs'!K188&gt;=9),'Model inputs'!K188&gt;=9,IF('Model inputs'!K188="","",'Model inputs'!K188&gt;=9))),IF('Model inputs'!AJ151="","",'Model inputs'!AJ151),IF(IF(IF(ISERROR('Model inputs'!K188&gt;=6),'Model inputs'!K188&gt;=6,IF('Model inputs'!K188="","",'Model inputs'!K188&gt;=6))="",FALSE,IF(ISERROR('Model inputs'!K188&gt;=6),'Model inputs'!K188&gt;=6,IF('Model inputs'!K188="","",'Model inputs'!K188&gt;=6))),IF('Model inputs'!AJ150="","",'Model inputs'!AJ150),0))))))))</f>
        <v>0</v>
      </c>
      <c r="L446" s="8">
        <f>IF(IF(IF(ISERROR('Model inputs'!L188&gt;=24),'Model inputs'!L188&gt;=24,IF('Model inputs'!L188="","",'Model inputs'!L188&gt;=24))="",FALSE,IF(ISERROR('Model inputs'!L188&gt;=24),'Model inputs'!L188&gt;=24,IF('Model inputs'!L188="","",'Model inputs'!L188&gt;=24))),IF('Model inputs'!AJ149="","",'Model inputs'!AJ149),IF(IF(IF(ISERROR('Model inputs'!L188&gt;=23),'Model inputs'!L188&gt;=23,IF('Model inputs'!L188="","",'Model inputs'!L188&gt;=23))="",FALSE,IF(ISERROR('Model inputs'!L188&gt;=23),'Model inputs'!L188&gt;=23,IF('Model inputs'!L188="","",'Model inputs'!L188&gt;=23))),IF('Model inputs'!AJ148="","",'Model inputs'!AJ148),IF(IF(IF(ISERROR('Model inputs'!L188&gt;=21),'Model inputs'!L188&gt;=21,IF('Model inputs'!L188="","",'Model inputs'!L188&gt;=21))="",FALSE,IF(ISERROR('Model inputs'!L188&gt;=21),'Model inputs'!L188&gt;=21,IF('Model inputs'!L188="","",'Model inputs'!L188&gt;=21))),IF('Model inputs'!AJ147="","",'Model inputs'!AJ147),IF(IF(IF(ISERROR('Model inputs'!L188&gt;=18),'Model inputs'!L188&gt;=18,IF('Model inputs'!L188="","",'Model inputs'!L188&gt;=18))="",FALSE,IF(ISERROR('Model inputs'!L188&gt;=18),'Model inputs'!L188&gt;=18,IF('Model inputs'!L188="","",'Model inputs'!L188&gt;=18))),IF('Model inputs'!AJ146="","",'Model inputs'!AJ146),IF(IF(IF(ISERROR('Model inputs'!L188&gt;=15),'Model inputs'!L188&gt;=15,IF('Model inputs'!L188="","",'Model inputs'!L188&gt;=15))="",FALSE,IF(ISERROR('Model inputs'!L188&gt;=15),'Model inputs'!L188&gt;=15,IF('Model inputs'!L188="","",'Model inputs'!L188&gt;=15))),IF('Model inputs'!AJ145="","",'Model inputs'!AJ145),IF(IF(IF(ISERROR('Model inputs'!L188&gt;=12),'Model inputs'!L188&gt;=12,IF('Model inputs'!L188="","",'Model inputs'!L188&gt;=12))="",FALSE,IF(ISERROR('Model inputs'!L188&gt;=12),'Model inputs'!L188&gt;=12,IF('Model inputs'!L188="","",'Model inputs'!L188&gt;=12))),IF('Model inputs'!AJ144="","",'Model inputs'!AJ144),IF(IF(IF(ISERROR('Model inputs'!L188&gt;=9),'Model inputs'!L188&gt;=9,IF('Model inputs'!L188="","",'Model inputs'!L188&gt;=9))="",FALSE,IF(ISERROR('Model inputs'!L188&gt;=9),'Model inputs'!L188&gt;=9,IF('Model inputs'!L188="","",'Model inputs'!L188&gt;=9))),IF('Model inputs'!AJ151="","",'Model inputs'!AJ151),IF(IF(IF(ISERROR('Model inputs'!L188&gt;=6),'Model inputs'!L188&gt;=6,IF('Model inputs'!L188="","",'Model inputs'!L188&gt;=6))="",FALSE,IF(ISERROR('Model inputs'!L188&gt;=6),'Model inputs'!L188&gt;=6,IF('Model inputs'!L188="","",'Model inputs'!L188&gt;=6))),IF('Model inputs'!AJ150="","",'Model inputs'!AJ150),0))))))))</f>
        <v>0</v>
      </c>
      <c r="M446" s="8">
        <f>IF(IF(IF(ISERROR('Model inputs'!M188&gt;=24),'Model inputs'!M188&gt;=24,IF('Model inputs'!M188="","",'Model inputs'!M188&gt;=24))="",FALSE,IF(ISERROR('Model inputs'!M188&gt;=24),'Model inputs'!M188&gt;=24,IF('Model inputs'!M188="","",'Model inputs'!M188&gt;=24))),IF('Model inputs'!AJ149="","",'Model inputs'!AJ149),IF(IF(IF(ISERROR('Model inputs'!M188&gt;=23),'Model inputs'!M188&gt;=23,IF('Model inputs'!M188="","",'Model inputs'!M188&gt;=23))="",FALSE,IF(ISERROR('Model inputs'!M188&gt;=23),'Model inputs'!M188&gt;=23,IF('Model inputs'!M188="","",'Model inputs'!M188&gt;=23))),IF('Model inputs'!AJ148="","",'Model inputs'!AJ148),IF(IF(IF(ISERROR('Model inputs'!M188&gt;=21),'Model inputs'!M188&gt;=21,IF('Model inputs'!M188="","",'Model inputs'!M188&gt;=21))="",FALSE,IF(ISERROR('Model inputs'!M188&gt;=21),'Model inputs'!M188&gt;=21,IF('Model inputs'!M188="","",'Model inputs'!M188&gt;=21))),IF('Model inputs'!AJ147="","",'Model inputs'!AJ147),IF(IF(IF(ISERROR('Model inputs'!M188&gt;=18),'Model inputs'!M188&gt;=18,IF('Model inputs'!M188="","",'Model inputs'!M188&gt;=18))="",FALSE,IF(ISERROR('Model inputs'!M188&gt;=18),'Model inputs'!M188&gt;=18,IF('Model inputs'!M188="","",'Model inputs'!M188&gt;=18))),IF('Model inputs'!AJ146="","",'Model inputs'!AJ146),IF(IF(IF(ISERROR('Model inputs'!M188&gt;=15),'Model inputs'!M188&gt;=15,IF('Model inputs'!M188="","",'Model inputs'!M188&gt;=15))="",FALSE,IF(ISERROR('Model inputs'!M188&gt;=15),'Model inputs'!M188&gt;=15,IF('Model inputs'!M188="","",'Model inputs'!M188&gt;=15))),IF('Model inputs'!AJ145="","",'Model inputs'!AJ145),IF(IF(IF(ISERROR('Model inputs'!M188&gt;=12),'Model inputs'!M188&gt;=12,IF('Model inputs'!M188="","",'Model inputs'!M188&gt;=12))="",FALSE,IF(ISERROR('Model inputs'!M188&gt;=12),'Model inputs'!M188&gt;=12,IF('Model inputs'!M188="","",'Model inputs'!M188&gt;=12))),IF('Model inputs'!AJ144="","",'Model inputs'!AJ144),IF(IF(IF(ISERROR('Model inputs'!M188&gt;=9),'Model inputs'!M188&gt;=9,IF('Model inputs'!M188="","",'Model inputs'!M188&gt;=9))="",FALSE,IF(ISERROR('Model inputs'!M188&gt;=9),'Model inputs'!M188&gt;=9,IF('Model inputs'!M188="","",'Model inputs'!M188&gt;=9))),IF('Model inputs'!AJ151="","",'Model inputs'!AJ151),IF(IF(IF(ISERROR('Model inputs'!M188&gt;=6),'Model inputs'!M188&gt;=6,IF('Model inputs'!M188="","",'Model inputs'!M188&gt;=6))="",FALSE,IF(ISERROR('Model inputs'!M188&gt;=6),'Model inputs'!M188&gt;=6,IF('Model inputs'!M188="","",'Model inputs'!M188&gt;=6))),IF('Model inputs'!AJ150="","",'Model inputs'!AJ150),0))))))))</f>
        <v>0</v>
      </c>
      <c r="N446" s="8">
        <f>IF(IF(IF(ISERROR('Model inputs'!N188&gt;=24),'Model inputs'!N188&gt;=24,IF('Model inputs'!N188="","",'Model inputs'!N188&gt;=24))="",FALSE,IF(ISERROR('Model inputs'!N188&gt;=24),'Model inputs'!N188&gt;=24,IF('Model inputs'!N188="","",'Model inputs'!N188&gt;=24))),IF('Model inputs'!AJ149="","",'Model inputs'!AJ149),IF(IF(IF(ISERROR('Model inputs'!N188&gt;=23),'Model inputs'!N188&gt;=23,IF('Model inputs'!N188="","",'Model inputs'!N188&gt;=23))="",FALSE,IF(ISERROR('Model inputs'!N188&gt;=23),'Model inputs'!N188&gt;=23,IF('Model inputs'!N188="","",'Model inputs'!N188&gt;=23))),IF('Model inputs'!AJ148="","",'Model inputs'!AJ148),IF(IF(IF(ISERROR('Model inputs'!N188&gt;=21),'Model inputs'!N188&gt;=21,IF('Model inputs'!N188="","",'Model inputs'!N188&gt;=21))="",FALSE,IF(ISERROR('Model inputs'!N188&gt;=21),'Model inputs'!N188&gt;=21,IF('Model inputs'!N188="","",'Model inputs'!N188&gt;=21))),IF('Model inputs'!AJ147="","",'Model inputs'!AJ147),IF(IF(IF(ISERROR('Model inputs'!N188&gt;=18),'Model inputs'!N188&gt;=18,IF('Model inputs'!N188="","",'Model inputs'!N188&gt;=18))="",FALSE,IF(ISERROR('Model inputs'!N188&gt;=18),'Model inputs'!N188&gt;=18,IF('Model inputs'!N188="","",'Model inputs'!N188&gt;=18))),IF('Model inputs'!AJ146="","",'Model inputs'!AJ146),IF(IF(IF(ISERROR('Model inputs'!N188&gt;=15),'Model inputs'!N188&gt;=15,IF('Model inputs'!N188="","",'Model inputs'!N188&gt;=15))="",FALSE,IF(ISERROR('Model inputs'!N188&gt;=15),'Model inputs'!N188&gt;=15,IF('Model inputs'!N188="","",'Model inputs'!N188&gt;=15))),IF('Model inputs'!AJ145="","",'Model inputs'!AJ145),IF(IF(IF(ISERROR('Model inputs'!N188&gt;=12),'Model inputs'!N188&gt;=12,IF('Model inputs'!N188="","",'Model inputs'!N188&gt;=12))="",FALSE,IF(ISERROR('Model inputs'!N188&gt;=12),'Model inputs'!N188&gt;=12,IF('Model inputs'!N188="","",'Model inputs'!N188&gt;=12))),IF('Model inputs'!AJ144="","",'Model inputs'!AJ144),IF(IF(IF(ISERROR('Model inputs'!N188&gt;=9),'Model inputs'!N188&gt;=9,IF('Model inputs'!N188="","",'Model inputs'!N188&gt;=9))="",FALSE,IF(ISERROR('Model inputs'!N188&gt;=9),'Model inputs'!N188&gt;=9,IF('Model inputs'!N188="","",'Model inputs'!N188&gt;=9))),IF('Model inputs'!AJ151="","",'Model inputs'!AJ151),IF(IF(IF(ISERROR('Model inputs'!N188&gt;=6),'Model inputs'!N188&gt;=6,IF('Model inputs'!N188="","",'Model inputs'!N188&gt;=6))="",FALSE,IF(ISERROR('Model inputs'!N188&gt;=6),'Model inputs'!N188&gt;=6,IF('Model inputs'!N188="","",'Model inputs'!N188&gt;=6))),IF('Model inputs'!AJ150="","",'Model inputs'!AJ150),0))))))))</f>
        <v>0</v>
      </c>
      <c r="O446" s="8">
        <f>IF(IF(IF(ISERROR('Model inputs'!O188&gt;=24),'Model inputs'!O188&gt;=24,IF('Model inputs'!O188="","",'Model inputs'!O188&gt;=24))="",FALSE,IF(ISERROR('Model inputs'!O188&gt;=24),'Model inputs'!O188&gt;=24,IF('Model inputs'!O188="","",'Model inputs'!O188&gt;=24))),IF('Model inputs'!AJ149="","",'Model inputs'!AJ149),IF(IF(IF(ISERROR('Model inputs'!O188&gt;=23),'Model inputs'!O188&gt;=23,IF('Model inputs'!O188="","",'Model inputs'!O188&gt;=23))="",FALSE,IF(ISERROR('Model inputs'!O188&gt;=23),'Model inputs'!O188&gt;=23,IF('Model inputs'!O188="","",'Model inputs'!O188&gt;=23))),IF('Model inputs'!AJ148="","",'Model inputs'!AJ148),IF(IF(IF(ISERROR('Model inputs'!O188&gt;=21),'Model inputs'!O188&gt;=21,IF('Model inputs'!O188="","",'Model inputs'!O188&gt;=21))="",FALSE,IF(ISERROR('Model inputs'!O188&gt;=21),'Model inputs'!O188&gt;=21,IF('Model inputs'!O188="","",'Model inputs'!O188&gt;=21))),IF('Model inputs'!AJ147="","",'Model inputs'!AJ147),IF(IF(IF(ISERROR('Model inputs'!O188&gt;=18),'Model inputs'!O188&gt;=18,IF('Model inputs'!O188="","",'Model inputs'!O188&gt;=18))="",FALSE,IF(ISERROR('Model inputs'!O188&gt;=18),'Model inputs'!O188&gt;=18,IF('Model inputs'!O188="","",'Model inputs'!O188&gt;=18))),IF('Model inputs'!AJ146="","",'Model inputs'!AJ146),IF(IF(IF(ISERROR('Model inputs'!O188&gt;=15),'Model inputs'!O188&gt;=15,IF('Model inputs'!O188="","",'Model inputs'!O188&gt;=15))="",FALSE,IF(ISERROR('Model inputs'!O188&gt;=15),'Model inputs'!O188&gt;=15,IF('Model inputs'!O188="","",'Model inputs'!O188&gt;=15))),IF('Model inputs'!AJ145="","",'Model inputs'!AJ145),IF(IF(IF(ISERROR('Model inputs'!O188&gt;=12),'Model inputs'!O188&gt;=12,IF('Model inputs'!O188="","",'Model inputs'!O188&gt;=12))="",FALSE,IF(ISERROR('Model inputs'!O188&gt;=12),'Model inputs'!O188&gt;=12,IF('Model inputs'!O188="","",'Model inputs'!O188&gt;=12))),IF('Model inputs'!AJ144="","",'Model inputs'!AJ144),IF(IF(IF(ISERROR('Model inputs'!O188&gt;=9),'Model inputs'!O188&gt;=9,IF('Model inputs'!O188="","",'Model inputs'!O188&gt;=9))="",FALSE,IF(ISERROR('Model inputs'!O188&gt;=9),'Model inputs'!O188&gt;=9,IF('Model inputs'!O188="","",'Model inputs'!O188&gt;=9))),IF('Model inputs'!AJ151="","",'Model inputs'!AJ151),IF(IF(IF(ISERROR('Model inputs'!O188&gt;=6),'Model inputs'!O188&gt;=6,IF('Model inputs'!O188="","",'Model inputs'!O188&gt;=6))="",FALSE,IF(ISERROR('Model inputs'!O188&gt;=6),'Model inputs'!O188&gt;=6,IF('Model inputs'!O188="","",'Model inputs'!O188&gt;=6))),IF('Model inputs'!AJ150="","",'Model inputs'!AJ150),0))))))))</f>
        <v>0</v>
      </c>
      <c r="P446" s="8">
        <f>IF(IF(IF(ISERROR('Model inputs'!P188&gt;=24),'Model inputs'!P188&gt;=24,IF('Model inputs'!P188="","",'Model inputs'!P188&gt;=24))="",FALSE,IF(ISERROR('Model inputs'!P188&gt;=24),'Model inputs'!P188&gt;=24,IF('Model inputs'!P188="","",'Model inputs'!P188&gt;=24))),IF('Model inputs'!AJ149="","",'Model inputs'!AJ149),IF(IF(IF(ISERROR('Model inputs'!P188&gt;=23),'Model inputs'!P188&gt;=23,IF('Model inputs'!P188="","",'Model inputs'!P188&gt;=23))="",FALSE,IF(ISERROR('Model inputs'!P188&gt;=23),'Model inputs'!P188&gt;=23,IF('Model inputs'!P188="","",'Model inputs'!P188&gt;=23))),IF('Model inputs'!AJ148="","",'Model inputs'!AJ148),IF(IF(IF(ISERROR('Model inputs'!P188&gt;=21),'Model inputs'!P188&gt;=21,IF('Model inputs'!P188="","",'Model inputs'!P188&gt;=21))="",FALSE,IF(ISERROR('Model inputs'!P188&gt;=21),'Model inputs'!P188&gt;=21,IF('Model inputs'!P188="","",'Model inputs'!P188&gt;=21))),IF('Model inputs'!AJ147="","",'Model inputs'!AJ147),IF(IF(IF(ISERROR('Model inputs'!P188&gt;=18),'Model inputs'!P188&gt;=18,IF('Model inputs'!P188="","",'Model inputs'!P188&gt;=18))="",FALSE,IF(ISERROR('Model inputs'!P188&gt;=18),'Model inputs'!P188&gt;=18,IF('Model inputs'!P188="","",'Model inputs'!P188&gt;=18))),IF('Model inputs'!AJ146="","",'Model inputs'!AJ146),IF(IF(IF(ISERROR('Model inputs'!P188&gt;=15),'Model inputs'!P188&gt;=15,IF('Model inputs'!P188="","",'Model inputs'!P188&gt;=15))="",FALSE,IF(ISERROR('Model inputs'!P188&gt;=15),'Model inputs'!P188&gt;=15,IF('Model inputs'!P188="","",'Model inputs'!P188&gt;=15))),IF('Model inputs'!AJ145="","",'Model inputs'!AJ145),IF(IF(IF(ISERROR('Model inputs'!P188&gt;=12),'Model inputs'!P188&gt;=12,IF('Model inputs'!P188="","",'Model inputs'!P188&gt;=12))="",FALSE,IF(ISERROR('Model inputs'!P188&gt;=12),'Model inputs'!P188&gt;=12,IF('Model inputs'!P188="","",'Model inputs'!P188&gt;=12))),IF('Model inputs'!AJ144="","",'Model inputs'!AJ144),IF(IF(IF(ISERROR('Model inputs'!P188&gt;=9),'Model inputs'!P188&gt;=9,IF('Model inputs'!P188="","",'Model inputs'!P188&gt;=9))="",FALSE,IF(ISERROR('Model inputs'!P188&gt;=9),'Model inputs'!P188&gt;=9,IF('Model inputs'!P188="","",'Model inputs'!P188&gt;=9))),IF('Model inputs'!AJ151="","",'Model inputs'!AJ151),IF(IF(IF(ISERROR('Model inputs'!P188&gt;=6),'Model inputs'!P188&gt;=6,IF('Model inputs'!P188="","",'Model inputs'!P188&gt;=6))="",FALSE,IF(ISERROR('Model inputs'!P188&gt;=6),'Model inputs'!P188&gt;=6,IF('Model inputs'!P188="","",'Model inputs'!P188&gt;=6))),IF('Model inputs'!AJ150="","",'Model inputs'!AJ150),0))))))))</f>
        <v>0</v>
      </c>
      <c r="Q446" s="8">
        <f>IF(IF(IF(ISERROR('Model inputs'!Q188&gt;=24),'Model inputs'!Q188&gt;=24,IF('Model inputs'!Q188="","",'Model inputs'!Q188&gt;=24))="",FALSE,IF(ISERROR('Model inputs'!Q188&gt;=24),'Model inputs'!Q188&gt;=24,IF('Model inputs'!Q188="","",'Model inputs'!Q188&gt;=24))),IF('Model inputs'!AJ149="","",'Model inputs'!AJ149),IF(IF(IF(ISERROR('Model inputs'!Q188&gt;=23),'Model inputs'!Q188&gt;=23,IF('Model inputs'!Q188="","",'Model inputs'!Q188&gt;=23))="",FALSE,IF(ISERROR('Model inputs'!Q188&gt;=23),'Model inputs'!Q188&gt;=23,IF('Model inputs'!Q188="","",'Model inputs'!Q188&gt;=23))),IF('Model inputs'!AJ148="","",'Model inputs'!AJ148),IF(IF(IF(ISERROR('Model inputs'!Q188&gt;=21),'Model inputs'!Q188&gt;=21,IF('Model inputs'!Q188="","",'Model inputs'!Q188&gt;=21))="",FALSE,IF(ISERROR('Model inputs'!Q188&gt;=21),'Model inputs'!Q188&gt;=21,IF('Model inputs'!Q188="","",'Model inputs'!Q188&gt;=21))),IF('Model inputs'!AJ147="","",'Model inputs'!AJ147),IF(IF(IF(ISERROR('Model inputs'!Q188&gt;=18),'Model inputs'!Q188&gt;=18,IF('Model inputs'!Q188="","",'Model inputs'!Q188&gt;=18))="",FALSE,IF(ISERROR('Model inputs'!Q188&gt;=18),'Model inputs'!Q188&gt;=18,IF('Model inputs'!Q188="","",'Model inputs'!Q188&gt;=18))),IF('Model inputs'!AJ146="","",'Model inputs'!AJ146),IF(IF(IF(ISERROR('Model inputs'!Q188&gt;=15),'Model inputs'!Q188&gt;=15,IF('Model inputs'!Q188="","",'Model inputs'!Q188&gt;=15))="",FALSE,IF(ISERROR('Model inputs'!Q188&gt;=15),'Model inputs'!Q188&gt;=15,IF('Model inputs'!Q188="","",'Model inputs'!Q188&gt;=15))),IF('Model inputs'!AJ145="","",'Model inputs'!AJ145),IF(IF(IF(ISERROR('Model inputs'!Q188&gt;=12),'Model inputs'!Q188&gt;=12,IF('Model inputs'!Q188="","",'Model inputs'!Q188&gt;=12))="",FALSE,IF(ISERROR('Model inputs'!Q188&gt;=12),'Model inputs'!Q188&gt;=12,IF('Model inputs'!Q188="","",'Model inputs'!Q188&gt;=12))),IF('Model inputs'!AJ144="","",'Model inputs'!AJ144),IF(IF(IF(ISERROR('Model inputs'!Q188&gt;=9),'Model inputs'!Q188&gt;=9,IF('Model inputs'!Q188="","",'Model inputs'!Q188&gt;=9))="",FALSE,IF(ISERROR('Model inputs'!Q188&gt;=9),'Model inputs'!Q188&gt;=9,IF('Model inputs'!Q188="","",'Model inputs'!Q188&gt;=9))),IF('Model inputs'!AJ151="","",'Model inputs'!AJ151),IF(IF(IF(ISERROR('Model inputs'!Q188&gt;=6),'Model inputs'!Q188&gt;=6,IF('Model inputs'!Q188="","",'Model inputs'!Q188&gt;=6))="",FALSE,IF(ISERROR('Model inputs'!Q188&gt;=6),'Model inputs'!Q188&gt;=6,IF('Model inputs'!Q188="","",'Model inputs'!Q188&gt;=6))),IF('Model inputs'!AJ150="","",'Model inputs'!AJ150),0))))))))</f>
        <v>0.5</v>
      </c>
      <c r="R446" s="8">
        <f>IF(IF(IF(ISERROR('Model inputs'!R188&gt;=24),'Model inputs'!R188&gt;=24,IF('Model inputs'!R188="","",'Model inputs'!R188&gt;=24))="",FALSE,IF(ISERROR('Model inputs'!R188&gt;=24),'Model inputs'!R188&gt;=24,IF('Model inputs'!R188="","",'Model inputs'!R188&gt;=24))),IF('Model inputs'!AJ149="","",'Model inputs'!AJ149),IF(IF(IF(ISERROR('Model inputs'!R188&gt;=23),'Model inputs'!R188&gt;=23,IF('Model inputs'!R188="","",'Model inputs'!R188&gt;=23))="",FALSE,IF(ISERROR('Model inputs'!R188&gt;=23),'Model inputs'!R188&gt;=23,IF('Model inputs'!R188="","",'Model inputs'!R188&gt;=23))),IF('Model inputs'!AJ148="","",'Model inputs'!AJ148),IF(IF(IF(ISERROR('Model inputs'!R188&gt;=21),'Model inputs'!R188&gt;=21,IF('Model inputs'!R188="","",'Model inputs'!R188&gt;=21))="",FALSE,IF(ISERROR('Model inputs'!R188&gt;=21),'Model inputs'!R188&gt;=21,IF('Model inputs'!R188="","",'Model inputs'!R188&gt;=21))),IF('Model inputs'!AJ147="","",'Model inputs'!AJ147),IF(IF(IF(ISERROR('Model inputs'!R188&gt;=18),'Model inputs'!R188&gt;=18,IF('Model inputs'!R188="","",'Model inputs'!R188&gt;=18))="",FALSE,IF(ISERROR('Model inputs'!R188&gt;=18),'Model inputs'!R188&gt;=18,IF('Model inputs'!R188="","",'Model inputs'!R188&gt;=18))),IF('Model inputs'!AJ146="","",'Model inputs'!AJ146),IF(IF(IF(ISERROR('Model inputs'!R188&gt;=15),'Model inputs'!R188&gt;=15,IF('Model inputs'!R188="","",'Model inputs'!R188&gt;=15))="",FALSE,IF(ISERROR('Model inputs'!R188&gt;=15),'Model inputs'!R188&gt;=15,IF('Model inputs'!R188="","",'Model inputs'!R188&gt;=15))),IF('Model inputs'!AJ145="","",'Model inputs'!AJ145),IF(IF(IF(ISERROR('Model inputs'!R188&gt;=12),'Model inputs'!R188&gt;=12,IF('Model inputs'!R188="","",'Model inputs'!R188&gt;=12))="",FALSE,IF(ISERROR('Model inputs'!R188&gt;=12),'Model inputs'!R188&gt;=12,IF('Model inputs'!R188="","",'Model inputs'!R188&gt;=12))),IF('Model inputs'!AJ144="","",'Model inputs'!AJ144),IF(IF(IF(ISERROR('Model inputs'!R188&gt;=9),'Model inputs'!R188&gt;=9,IF('Model inputs'!R188="","",'Model inputs'!R188&gt;=9))="",FALSE,IF(ISERROR('Model inputs'!R188&gt;=9),'Model inputs'!R188&gt;=9,IF('Model inputs'!R188="","",'Model inputs'!R188&gt;=9))),IF('Model inputs'!AJ151="","",'Model inputs'!AJ151),IF(IF(IF(ISERROR('Model inputs'!R188&gt;=6),'Model inputs'!R188&gt;=6,IF('Model inputs'!R188="","",'Model inputs'!R188&gt;=6))="",FALSE,IF(ISERROR('Model inputs'!R188&gt;=6),'Model inputs'!R188&gt;=6,IF('Model inputs'!R188="","",'Model inputs'!R188&gt;=6))),IF('Model inputs'!AJ150="","",'Model inputs'!AJ150),0))))))))</f>
        <v>0.5</v>
      </c>
      <c r="S446" s="8">
        <f>IF(IF(IF(ISERROR('Model inputs'!S188&gt;=24),'Model inputs'!S188&gt;=24,IF('Model inputs'!S188="","",'Model inputs'!S188&gt;=24))="",FALSE,IF(ISERROR('Model inputs'!S188&gt;=24),'Model inputs'!S188&gt;=24,IF('Model inputs'!S188="","",'Model inputs'!S188&gt;=24))),IF('Model inputs'!AJ149="","",'Model inputs'!AJ149),IF(IF(IF(ISERROR('Model inputs'!S188&gt;=23),'Model inputs'!S188&gt;=23,IF('Model inputs'!S188="","",'Model inputs'!S188&gt;=23))="",FALSE,IF(ISERROR('Model inputs'!S188&gt;=23),'Model inputs'!S188&gt;=23,IF('Model inputs'!S188="","",'Model inputs'!S188&gt;=23))),IF('Model inputs'!AJ148="","",'Model inputs'!AJ148),IF(IF(IF(ISERROR('Model inputs'!S188&gt;=21),'Model inputs'!S188&gt;=21,IF('Model inputs'!S188="","",'Model inputs'!S188&gt;=21))="",FALSE,IF(ISERROR('Model inputs'!S188&gt;=21),'Model inputs'!S188&gt;=21,IF('Model inputs'!S188="","",'Model inputs'!S188&gt;=21))),IF('Model inputs'!AJ147="","",'Model inputs'!AJ147),IF(IF(IF(ISERROR('Model inputs'!S188&gt;=18),'Model inputs'!S188&gt;=18,IF('Model inputs'!S188="","",'Model inputs'!S188&gt;=18))="",FALSE,IF(ISERROR('Model inputs'!S188&gt;=18),'Model inputs'!S188&gt;=18,IF('Model inputs'!S188="","",'Model inputs'!S188&gt;=18))),IF('Model inputs'!AJ146="","",'Model inputs'!AJ146),IF(IF(IF(ISERROR('Model inputs'!S188&gt;=15),'Model inputs'!S188&gt;=15,IF('Model inputs'!S188="","",'Model inputs'!S188&gt;=15))="",FALSE,IF(ISERROR('Model inputs'!S188&gt;=15),'Model inputs'!S188&gt;=15,IF('Model inputs'!S188="","",'Model inputs'!S188&gt;=15))),IF('Model inputs'!AJ145="","",'Model inputs'!AJ145),IF(IF(IF(ISERROR('Model inputs'!S188&gt;=12),'Model inputs'!S188&gt;=12,IF('Model inputs'!S188="","",'Model inputs'!S188&gt;=12))="",FALSE,IF(ISERROR('Model inputs'!S188&gt;=12),'Model inputs'!S188&gt;=12,IF('Model inputs'!S188="","",'Model inputs'!S188&gt;=12))),IF('Model inputs'!AJ144="","",'Model inputs'!AJ144),IF(IF(IF(ISERROR('Model inputs'!S188&gt;=9),'Model inputs'!S188&gt;=9,IF('Model inputs'!S188="","",'Model inputs'!S188&gt;=9))="",FALSE,IF(ISERROR('Model inputs'!S188&gt;=9),'Model inputs'!S188&gt;=9,IF('Model inputs'!S188="","",'Model inputs'!S188&gt;=9))),IF('Model inputs'!AJ151="","",'Model inputs'!AJ151),IF(IF(IF(ISERROR('Model inputs'!S188&gt;=6),'Model inputs'!S188&gt;=6,IF('Model inputs'!S188="","",'Model inputs'!S188&gt;=6))="",FALSE,IF(ISERROR('Model inputs'!S188&gt;=6),'Model inputs'!S188&gt;=6,IF('Model inputs'!S188="","",'Model inputs'!S188&gt;=6))),IF('Model inputs'!AJ150="","",'Model inputs'!AJ150),0))))))))</f>
        <v>0.5</v>
      </c>
      <c r="T446" s="8">
        <f>IF(IF(IF(ISERROR('Model inputs'!T188&gt;=24),'Model inputs'!T188&gt;=24,IF('Model inputs'!T188="","",'Model inputs'!T188&gt;=24))="",FALSE,IF(ISERROR('Model inputs'!T188&gt;=24),'Model inputs'!T188&gt;=24,IF('Model inputs'!T188="","",'Model inputs'!T188&gt;=24))),IF('Model inputs'!AJ149="","",'Model inputs'!AJ149),IF(IF(IF(ISERROR('Model inputs'!T188&gt;=23),'Model inputs'!T188&gt;=23,IF('Model inputs'!T188="","",'Model inputs'!T188&gt;=23))="",FALSE,IF(ISERROR('Model inputs'!T188&gt;=23),'Model inputs'!T188&gt;=23,IF('Model inputs'!T188="","",'Model inputs'!T188&gt;=23))),IF('Model inputs'!AJ148="","",'Model inputs'!AJ148),IF(IF(IF(ISERROR('Model inputs'!T188&gt;=21),'Model inputs'!T188&gt;=21,IF('Model inputs'!T188="","",'Model inputs'!T188&gt;=21))="",FALSE,IF(ISERROR('Model inputs'!T188&gt;=21),'Model inputs'!T188&gt;=21,IF('Model inputs'!T188="","",'Model inputs'!T188&gt;=21))),IF('Model inputs'!AJ147="","",'Model inputs'!AJ147),IF(IF(IF(ISERROR('Model inputs'!T188&gt;=18),'Model inputs'!T188&gt;=18,IF('Model inputs'!T188="","",'Model inputs'!T188&gt;=18))="",FALSE,IF(ISERROR('Model inputs'!T188&gt;=18),'Model inputs'!T188&gt;=18,IF('Model inputs'!T188="","",'Model inputs'!T188&gt;=18))),IF('Model inputs'!AJ146="","",'Model inputs'!AJ146),IF(IF(IF(ISERROR('Model inputs'!T188&gt;=15),'Model inputs'!T188&gt;=15,IF('Model inputs'!T188="","",'Model inputs'!T188&gt;=15))="",FALSE,IF(ISERROR('Model inputs'!T188&gt;=15),'Model inputs'!T188&gt;=15,IF('Model inputs'!T188="","",'Model inputs'!T188&gt;=15))),IF('Model inputs'!AJ145="","",'Model inputs'!AJ145),IF(IF(IF(ISERROR('Model inputs'!T188&gt;=12),'Model inputs'!T188&gt;=12,IF('Model inputs'!T188="","",'Model inputs'!T188&gt;=12))="",FALSE,IF(ISERROR('Model inputs'!T188&gt;=12),'Model inputs'!T188&gt;=12,IF('Model inputs'!T188="","",'Model inputs'!T188&gt;=12))),IF('Model inputs'!AJ144="","",'Model inputs'!AJ144),IF(IF(IF(ISERROR('Model inputs'!T188&gt;=9),'Model inputs'!T188&gt;=9,IF('Model inputs'!T188="","",'Model inputs'!T188&gt;=9))="",FALSE,IF(ISERROR('Model inputs'!T188&gt;=9),'Model inputs'!T188&gt;=9,IF('Model inputs'!T188="","",'Model inputs'!T188&gt;=9))),IF('Model inputs'!AJ151="","",'Model inputs'!AJ151),IF(IF(IF(ISERROR('Model inputs'!T188&gt;=6),'Model inputs'!T188&gt;=6,IF('Model inputs'!T188="","",'Model inputs'!T188&gt;=6))="",FALSE,IF(ISERROR('Model inputs'!T188&gt;=6),'Model inputs'!T188&gt;=6,IF('Model inputs'!T188="","",'Model inputs'!T188&gt;=6))),IF('Model inputs'!AJ150="","",'Model inputs'!AJ150),0))))))))</f>
        <v>1</v>
      </c>
      <c r="U446" s="8">
        <f>IF(IF(IF(ISERROR('Model inputs'!U188&gt;=24),'Model inputs'!U188&gt;=24,IF('Model inputs'!U188="","",'Model inputs'!U188&gt;=24))="",FALSE,IF(ISERROR('Model inputs'!U188&gt;=24),'Model inputs'!U188&gt;=24,IF('Model inputs'!U188="","",'Model inputs'!U188&gt;=24))),IF('Model inputs'!AJ149="","",'Model inputs'!AJ149),IF(IF(IF(ISERROR('Model inputs'!U188&gt;=23),'Model inputs'!U188&gt;=23,IF('Model inputs'!U188="","",'Model inputs'!U188&gt;=23))="",FALSE,IF(ISERROR('Model inputs'!U188&gt;=23),'Model inputs'!U188&gt;=23,IF('Model inputs'!U188="","",'Model inputs'!U188&gt;=23))),IF('Model inputs'!AJ148="","",'Model inputs'!AJ148),IF(IF(IF(ISERROR('Model inputs'!U188&gt;=21),'Model inputs'!U188&gt;=21,IF('Model inputs'!U188="","",'Model inputs'!U188&gt;=21))="",FALSE,IF(ISERROR('Model inputs'!U188&gt;=21),'Model inputs'!U188&gt;=21,IF('Model inputs'!U188="","",'Model inputs'!U188&gt;=21))),IF('Model inputs'!AJ147="","",'Model inputs'!AJ147),IF(IF(IF(ISERROR('Model inputs'!U188&gt;=18),'Model inputs'!U188&gt;=18,IF('Model inputs'!U188="","",'Model inputs'!U188&gt;=18))="",FALSE,IF(ISERROR('Model inputs'!U188&gt;=18),'Model inputs'!U188&gt;=18,IF('Model inputs'!U188="","",'Model inputs'!U188&gt;=18))),IF('Model inputs'!AJ146="","",'Model inputs'!AJ146),IF(IF(IF(ISERROR('Model inputs'!U188&gt;=15),'Model inputs'!U188&gt;=15,IF('Model inputs'!U188="","",'Model inputs'!U188&gt;=15))="",FALSE,IF(ISERROR('Model inputs'!U188&gt;=15),'Model inputs'!U188&gt;=15,IF('Model inputs'!U188="","",'Model inputs'!U188&gt;=15))),IF('Model inputs'!AJ145="","",'Model inputs'!AJ145),IF(IF(IF(ISERROR('Model inputs'!U188&gt;=12),'Model inputs'!U188&gt;=12,IF('Model inputs'!U188="","",'Model inputs'!U188&gt;=12))="",FALSE,IF(ISERROR('Model inputs'!U188&gt;=12),'Model inputs'!U188&gt;=12,IF('Model inputs'!U188="","",'Model inputs'!U188&gt;=12))),IF('Model inputs'!AJ144="","",'Model inputs'!AJ144),IF(IF(IF(ISERROR('Model inputs'!U188&gt;=9),'Model inputs'!U188&gt;=9,IF('Model inputs'!U188="","",'Model inputs'!U188&gt;=9))="",FALSE,IF(ISERROR('Model inputs'!U188&gt;=9),'Model inputs'!U188&gt;=9,IF('Model inputs'!U188="","",'Model inputs'!U188&gt;=9))),IF('Model inputs'!AJ151="","",'Model inputs'!AJ151),IF(IF(IF(ISERROR('Model inputs'!U188&gt;=6),'Model inputs'!U188&gt;=6,IF('Model inputs'!U188="","",'Model inputs'!U188&gt;=6))="",FALSE,IF(ISERROR('Model inputs'!U188&gt;=6),'Model inputs'!U188&gt;=6,IF('Model inputs'!U188="","",'Model inputs'!U188&gt;=6))),IF('Model inputs'!AJ150="","",'Model inputs'!AJ150),0))))))))</f>
        <v>1</v>
      </c>
      <c r="V446" s="8">
        <f>IF(IF(IF(ISERROR('Model inputs'!V188&gt;=24),'Model inputs'!V188&gt;=24,IF('Model inputs'!V188="","",'Model inputs'!V188&gt;=24))="",FALSE,IF(ISERROR('Model inputs'!V188&gt;=24),'Model inputs'!V188&gt;=24,IF('Model inputs'!V188="","",'Model inputs'!V188&gt;=24))),IF('Model inputs'!AJ149="","",'Model inputs'!AJ149),IF(IF(IF(ISERROR('Model inputs'!V188&gt;=23),'Model inputs'!V188&gt;=23,IF('Model inputs'!V188="","",'Model inputs'!V188&gt;=23))="",FALSE,IF(ISERROR('Model inputs'!V188&gt;=23),'Model inputs'!V188&gt;=23,IF('Model inputs'!V188="","",'Model inputs'!V188&gt;=23))),IF('Model inputs'!AJ148="","",'Model inputs'!AJ148),IF(IF(IF(ISERROR('Model inputs'!V188&gt;=21),'Model inputs'!V188&gt;=21,IF('Model inputs'!V188="","",'Model inputs'!V188&gt;=21))="",FALSE,IF(ISERROR('Model inputs'!V188&gt;=21),'Model inputs'!V188&gt;=21,IF('Model inputs'!V188="","",'Model inputs'!V188&gt;=21))),IF('Model inputs'!AJ147="","",'Model inputs'!AJ147),IF(IF(IF(ISERROR('Model inputs'!V188&gt;=18),'Model inputs'!V188&gt;=18,IF('Model inputs'!V188="","",'Model inputs'!V188&gt;=18))="",FALSE,IF(ISERROR('Model inputs'!V188&gt;=18),'Model inputs'!V188&gt;=18,IF('Model inputs'!V188="","",'Model inputs'!V188&gt;=18))),IF('Model inputs'!AJ146="","",'Model inputs'!AJ146),IF(IF(IF(ISERROR('Model inputs'!V188&gt;=15),'Model inputs'!V188&gt;=15,IF('Model inputs'!V188="","",'Model inputs'!V188&gt;=15))="",FALSE,IF(ISERROR('Model inputs'!V188&gt;=15),'Model inputs'!V188&gt;=15,IF('Model inputs'!V188="","",'Model inputs'!V188&gt;=15))),IF('Model inputs'!AJ145="","",'Model inputs'!AJ145),IF(IF(IF(ISERROR('Model inputs'!V188&gt;=12),'Model inputs'!V188&gt;=12,IF('Model inputs'!V188="","",'Model inputs'!V188&gt;=12))="",FALSE,IF(ISERROR('Model inputs'!V188&gt;=12),'Model inputs'!V188&gt;=12,IF('Model inputs'!V188="","",'Model inputs'!V188&gt;=12))),IF('Model inputs'!AJ144="","",'Model inputs'!AJ144),IF(IF(IF(ISERROR('Model inputs'!V188&gt;=9),'Model inputs'!V188&gt;=9,IF('Model inputs'!V188="","",'Model inputs'!V188&gt;=9))="",FALSE,IF(ISERROR('Model inputs'!V188&gt;=9),'Model inputs'!V188&gt;=9,IF('Model inputs'!V188="","",'Model inputs'!V188&gt;=9))),IF('Model inputs'!AJ151="","",'Model inputs'!AJ151),IF(IF(IF(ISERROR('Model inputs'!V188&gt;=6),'Model inputs'!V188&gt;=6,IF('Model inputs'!V188="","",'Model inputs'!V188&gt;=6))="",FALSE,IF(ISERROR('Model inputs'!V188&gt;=6),'Model inputs'!V188&gt;=6,IF('Model inputs'!V188="","",'Model inputs'!V188&gt;=6))),IF('Model inputs'!AJ150="","",'Model inputs'!AJ150),0))))))))</f>
        <v>1</v>
      </c>
      <c r="W446" s="8">
        <f>IF(IF(IF(ISERROR('Model inputs'!W188&gt;=24),'Model inputs'!W188&gt;=24,IF('Model inputs'!W188="","",'Model inputs'!W188&gt;=24))="",FALSE,IF(ISERROR('Model inputs'!W188&gt;=24),'Model inputs'!W188&gt;=24,IF('Model inputs'!W188="","",'Model inputs'!W188&gt;=24))),IF('Model inputs'!AJ149="","",'Model inputs'!AJ149),IF(IF(IF(ISERROR('Model inputs'!W188&gt;=23),'Model inputs'!W188&gt;=23,IF('Model inputs'!W188="","",'Model inputs'!W188&gt;=23))="",FALSE,IF(ISERROR('Model inputs'!W188&gt;=23),'Model inputs'!W188&gt;=23,IF('Model inputs'!W188="","",'Model inputs'!W188&gt;=23))),IF('Model inputs'!AJ148="","",'Model inputs'!AJ148),IF(IF(IF(ISERROR('Model inputs'!W188&gt;=21),'Model inputs'!W188&gt;=21,IF('Model inputs'!W188="","",'Model inputs'!W188&gt;=21))="",FALSE,IF(ISERROR('Model inputs'!W188&gt;=21),'Model inputs'!W188&gt;=21,IF('Model inputs'!W188="","",'Model inputs'!W188&gt;=21))),IF('Model inputs'!AJ147="","",'Model inputs'!AJ147),IF(IF(IF(ISERROR('Model inputs'!W188&gt;=18),'Model inputs'!W188&gt;=18,IF('Model inputs'!W188="","",'Model inputs'!W188&gt;=18))="",FALSE,IF(ISERROR('Model inputs'!W188&gt;=18),'Model inputs'!W188&gt;=18,IF('Model inputs'!W188="","",'Model inputs'!W188&gt;=18))),IF('Model inputs'!AJ146="","",'Model inputs'!AJ146),IF(IF(IF(ISERROR('Model inputs'!W188&gt;=15),'Model inputs'!W188&gt;=15,IF('Model inputs'!W188="","",'Model inputs'!W188&gt;=15))="",FALSE,IF(ISERROR('Model inputs'!W188&gt;=15),'Model inputs'!W188&gt;=15,IF('Model inputs'!W188="","",'Model inputs'!W188&gt;=15))),IF('Model inputs'!AJ145="","",'Model inputs'!AJ145),IF(IF(IF(ISERROR('Model inputs'!W188&gt;=12),'Model inputs'!W188&gt;=12,IF('Model inputs'!W188="","",'Model inputs'!W188&gt;=12))="",FALSE,IF(ISERROR('Model inputs'!W188&gt;=12),'Model inputs'!W188&gt;=12,IF('Model inputs'!W188="","",'Model inputs'!W188&gt;=12))),IF('Model inputs'!AJ144="","",'Model inputs'!AJ144),IF(IF(IF(ISERROR('Model inputs'!W188&gt;=9),'Model inputs'!W188&gt;=9,IF('Model inputs'!W188="","",'Model inputs'!W188&gt;=9))="",FALSE,IF(ISERROR('Model inputs'!W188&gt;=9),'Model inputs'!W188&gt;=9,IF('Model inputs'!W188="","",'Model inputs'!W188&gt;=9))),IF('Model inputs'!AJ151="","",'Model inputs'!AJ151),IF(IF(IF(ISERROR('Model inputs'!W188&gt;=6),'Model inputs'!W188&gt;=6,IF('Model inputs'!W188="","",'Model inputs'!W188&gt;=6))="",FALSE,IF(ISERROR('Model inputs'!W188&gt;=6),'Model inputs'!W188&gt;=6,IF('Model inputs'!W188="","",'Model inputs'!W188&gt;=6))),IF('Model inputs'!AJ150="","",'Model inputs'!AJ150),0))))))))</f>
        <v>1.5</v>
      </c>
      <c r="X446" s="8">
        <f>IF(IF(IF(ISERROR('Model inputs'!X188&gt;=24),'Model inputs'!X188&gt;=24,IF('Model inputs'!X188="","",'Model inputs'!X188&gt;=24))="",FALSE,IF(ISERROR('Model inputs'!X188&gt;=24),'Model inputs'!X188&gt;=24,IF('Model inputs'!X188="","",'Model inputs'!X188&gt;=24))),IF('Model inputs'!AJ149="","",'Model inputs'!AJ149),IF(IF(IF(ISERROR('Model inputs'!X188&gt;=23),'Model inputs'!X188&gt;=23,IF('Model inputs'!X188="","",'Model inputs'!X188&gt;=23))="",FALSE,IF(ISERROR('Model inputs'!X188&gt;=23),'Model inputs'!X188&gt;=23,IF('Model inputs'!X188="","",'Model inputs'!X188&gt;=23))),IF('Model inputs'!AJ148="","",'Model inputs'!AJ148),IF(IF(IF(ISERROR('Model inputs'!X188&gt;=21),'Model inputs'!X188&gt;=21,IF('Model inputs'!X188="","",'Model inputs'!X188&gt;=21))="",FALSE,IF(ISERROR('Model inputs'!X188&gt;=21),'Model inputs'!X188&gt;=21,IF('Model inputs'!X188="","",'Model inputs'!X188&gt;=21))),IF('Model inputs'!AJ147="","",'Model inputs'!AJ147),IF(IF(IF(ISERROR('Model inputs'!X188&gt;=18),'Model inputs'!X188&gt;=18,IF('Model inputs'!X188="","",'Model inputs'!X188&gt;=18))="",FALSE,IF(ISERROR('Model inputs'!X188&gt;=18),'Model inputs'!X188&gt;=18,IF('Model inputs'!X188="","",'Model inputs'!X188&gt;=18))),IF('Model inputs'!AJ146="","",'Model inputs'!AJ146),IF(IF(IF(ISERROR('Model inputs'!X188&gt;=15),'Model inputs'!X188&gt;=15,IF('Model inputs'!X188="","",'Model inputs'!X188&gt;=15))="",FALSE,IF(ISERROR('Model inputs'!X188&gt;=15),'Model inputs'!X188&gt;=15,IF('Model inputs'!X188="","",'Model inputs'!X188&gt;=15))),IF('Model inputs'!AJ145="","",'Model inputs'!AJ145),IF(IF(IF(ISERROR('Model inputs'!X188&gt;=12),'Model inputs'!X188&gt;=12,IF('Model inputs'!X188="","",'Model inputs'!X188&gt;=12))="",FALSE,IF(ISERROR('Model inputs'!X188&gt;=12),'Model inputs'!X188&gt;=12,IF('Model inputs'!X188="","",'Model inputs'!X188&gt;=12))),IF('Model inputs'!AJ144="","",'Model inputs'!AJ144),IF(IF(IF(ISERROR('Model inputs'!X188&gt;=9),'Model inputs'!X188&gt;=9,IF('Model inputs'!X188="","",'Model inputs'!X188&gt;=9))="",FALSE,IF(ISERROR('Model inputs'!X188&gt;=9),'Model inputs'!X188&gt;=9,IF('Model inputs'!X188="","",'Model inputs'!X188&gt;=9))),IF('Model inputs'!AJ151="","",'Model inputs'!AJ151),IF(IF(IF(ISERROR('Model inputs'!X188&gt;=6),'Model inputs'!X188&gt;=6,IF('Model inputs'!X188="","",'Model inputs'!X188&gt;=6))="",FALSE,IF(ISERROR('Model inputs'!X188&gt;=6),'Model inputs'!X188&gt;=6,IF('Model inputs'!X188="","",'Model inputs'!X188&gt;=6))),IF('Model inputs'!AJ150="","",'Model inputs'!AJ150),0))))))))</f>
        <v>1.5</v>
      </c>
      <c r="Y446" s="8">
        <f>IF(IF(IF(ISERROR('Model inputs'!Y188&gt;=24),'Model inputs'!Y188&gt;=24,IF('Model inputs'!Y188="","",'Model inputs'!Y188&gt;=24))="",FALSE,IF(ISERROR('Model inputs'!Y188&gt;=24),'Model inputs'!Y188&gt;=24,IF('Model inputs'!Y188="","",'Model inputs'!Y188&gt;=24))),IF('Model inputs'!AJ149="","",'Model inputs'!AJ149),IF(IF(IF(ISERROR('Model inputs'!Y188&gt;=23),'Model inputs'!Y188&gt;=23,IF('Model inputs'!Y188="","",'Model inputs'!Y188&gt;=23))="",FALSE,IF(ISERROR('Model inputs'!Y188&gt;=23),'Model inputs'!Y188&gt;=23,IF('Model inputs'!Y188="","",'Model inputs'!Y188&gt;=23))),IF('Model inputs'!AJ148="","",'Model inputs'!AJ148),IF(IF(IF(ISERROR('Model inputs'!Y188&gt;=21),'Model inputs'!Y188&gt;=21,IF('Model inputs'!Y188="","",'Model inputs'!Y188&gt;=21))="",FALSE,IF(ISERROR('Model inputs'!Y188&gt;=21),'Model inputs'!Y188&gt;=21,IF('Model inputs'!Y188="","",'Model inputs'!Y188&gt;=21))),IF('Model inputs'!AJ147="","",'Model inputs'!AJ147),IF(IF(IF(ISERROR('Model inputs'!Y188&gt;=18),'Model inputs'!Y188&gt;=18,IF('Model inputs'!Y188="","",'Model inputs'!Y188&gt;=18))="",FALSE,IF(ISERROR('Model inputs'!Y188&gt;=18),'Model inputs'!Y188&gt;=18,IF('Model inputs'!Y188="","",'Model inputs'!Y188&gt;=18))),IF('Model inputs'!AJ146="","",'Model inputs'!AJ146),IF(IF(IF(ISERROR('Model inputs'!Y188&gt;=15),'Model inputs'!Y188&gt;=15,IF('Model inputs'!Y188="","",'Model inputs'!Y188&gt;=15))="",FALSE,IF(ISERROR('Model inputs'!Y188&gt;=15),'Model inputs'!Y188&gt;=15,IF('Model inputs'!Y188="","",'Model inputs'!Y188&gt;=15))),IF('Model inputs'!AJ145="","",'Model inputs'!AJ145),IF(IF(IF(ISERROR('Model inputs'!Y188&gt;=12),'Model inputs'!Y188&gt;=12,IF('Model inputs'!Y188="","",'Model inputs'!Y188&gt;=12))="",FALSE,IF(ISERROR('Model inputs'!Y188&gt;=12),'Model inputs'!Y188&gt;=12,IF('Model inputs'!Y188="","",'Model inputs'!Y188&gt;=12))),IF('Model inputs'!AJ144="","",'Model inputs'!AJ144),IF(IF(IF(ISERROR('Model inputs'!Y188&gt;=9),'Model inputs'!Y188&gt;=9,IF('Model inputs'!Y188="","",'Model inputs'!Y188&gt;=9))="",FALSE,IF(ISERROR('Model inputs'!Y188&gt;=9),'Model inputs'!Y188&gt;=9,IF('Model inputs'!Y188="","",'Model inputs'!Y188&gt;=9))),IF('Model inputs'!AJ151="","",'Model inputs'!AJ151),IF(IF(IF(ISERROR('Model inputs'!Y188&gt;=6),'Model inputs'!Y188&gt;=6,IF('Model inputs'!Y188="","",'Model inputs'!Y188&gt;=6))="",FALSE,IF(ISERROR('Model inputs'!Y188&gt;=6),'Model inputs'!Y188&gt;=6,IF('Model inputs'!Y188="","",'Model inputs'!Y188&gt;=6))),IF('Model inputs'!AJ150="","",'Model inputs'!AJ150),0))))))))</f>
        <v>1.5</v>
      </c>
      <c r="Z446" s="8">
        <f>IF(IF(IF(ISERROR('Model inputs'!Z188&gt;=24),'Model inputs'!Z188&gt;=24,IF('Model inputs'!Z188="","",'Model inputs'!Z188&gt;=24))="",FALSE,IF(ISERROR('Model inputs'!Z188&gt;=24),'Model inputs'!Z188&gt;=24,IF('Model inputs'!Z188="","",'Model inputs'!Z188&gt;=24))),IF('Model inputs'!AJ149="","",'Model inputs'!AJ149),IF(IF(IF(ISERROR('Model inputs'!Z188&gt;=23),'Model inputs'!Z188&gt;=23,IF('Model inputs'!Z188="","",'Model inputs'!Z188&gt;=23))="",FALSE,IF(ISERROR('Model inputs'!Z188&gt;=23),'Model inputs'!Z188&gt;=23,IF('Model inputs'!Z188="","",'Model inputs'!Z188&gt;=23))),IF('Model inputs'!AJ148="","",'Model inputs'!AJ148),IF(IF(IF(ISERROR('Model inputs'!Z188&gt;=21),'Model inputs'!Z188&gt;=21,IF('Model inputs'!Z188="","",'Model inputs'!Z188&gt;=21))="",FALSE,IF(ISERROR('Model inputs'!Z188&gt;=21),'Model inputs'!Z188&gt;=21,IF('Model inputs'!Z188="","",'Model inputs'!Z188&gt;=21))),IF('Model inputs'!AJ147="","",'Model inputs'!AJ147),IF(IF(IF(ISERROR('Model inputs'!Z188&gt;=18),'Model inputs'!Z188&gt;=18,IF('Model inputs'!Z188="","",'Model inputs'!Z188&gt;=18))="",FALSE,IF(ISERROR('Model inputs'!Z188&gt;=18),'Model inputs'!Z188&gt;=18,IF('Model inputs'!Z188="","",'Model inputs'!Z188&gt;=18))),IF('Model inputs'!AJ146="","",'Model inputs'!AJ146),IF(IF(IF(ISERROR('Model inputs'!Z188&gt;=15),'Model inputs'!Z188&gt;=15,IF('Model inputs'!Z188="","",'Model inputs'!Z188&gt;=15))="",FALSE,IF(ISERROR('Model inputs'!Z188&gt;=15),'Model inputs'!Z188&gt;=15,IF('Model inputs'!Z188="","",'Model inputs'!Z188&gt;=15))),IF('Model inputs'!AJ145="","",'Model inputs'!AJ145),IF(IF(IF(ISERROR('Model inputs'!Z188&gt;=12),'Model inputs'!Z188&gt;=12,IF('Model inputs'!Z188="","",'Model inputs'!Z188&gt;=12))="",FALSE,IF(ISERROR('Model inputs'!Z188&gt;=12),'Model inputs'!Z188&gt;=12,IF('Model inputs'!Z188="","",'Model inputs'!Z188&gt;=12))),IF('Model inputs'!AJ144="","",'Model inputs'!AJ144),IF(IF(IF(ISERROR('Model inputs'!Z188&gt;=9),'Model inputs'!Z188&gt;=9,IF('Model inputs'!Z188="","",'Model inputs'!Z188&gt;=9))="",FALSE,IF(ISERROR('Model inputs'!Z188&gt;=9),'Model inputs'!Z188&gt;=9,IF('Model inputs'!Z188="","",'Model inputs'!Z188&gt;=9))),IF('Model inputs'!AJ151="","",'Model inputs'!AJ151),IF(IF(IF(ISERROR('Model inputs'!Z188&gt;=6),'Model inputs'!Z188&gt;=6,IF('Model inputs'!Z188="","",'Model inputs'!Z188&gt;=6))="",FALSE,IF(ISERROR('Model inputs'!Z188&gt;=6),'Model inputs'!Z188&gt;=6,IF('Model inputs'!Z188="","",'Model inputs'!Z188&gt;=6))),IF('Model inputs'!AJ150="","",'Model inputs'!AJ150),0))))))))</f>
        <v>2</v>
      </c>
      <c r="AA446" s="8">
        <f>IF(IF(IF(ISERROR('Model inputs'!AA188&gt;=24),'Model inputs'!AA188&gt;=24,IF('Model inputs'!AA188="","",'Model inputs'!AA188&gt;=24))="",FALSE,IF(ISERROR('Model inputs'!AA188&gt;=24),'Model inputs'!AA188&gt;=24,IF('Model inputs'!AA188="","",'Model inputs'!AA188&gt;=24))),IF('Model inputs'!AJ149="","",'Model inputs'!AJ149),IF(IF(IF(ISERROR('Model inputs'!AA188&gt;=23),'Model inputs'!AA188&gt;=23,IF('Model inputs'!AA188="","",'Model inputs'!AA188&gt;=23))="",FALSE,IF(ISERROR('Model inputs'!AA188&gt;=23),'Model inputs'!AA188&gt;=23,IF('Model inputs'!AA188="","",'Model inputs'!AA188&gt;=23))),IF('Model inputs'!AJ148="","",'Model inputs'!AJ148),IF(IF(IF(ISERROR('Model inputs'!AA188&gt;=21),'Model inputs'!AA188&gt;=21,IF('Model inputs'!AA188="","",'Model inputs'!AA188&gt;=21))="",FALSE,IF(ISERROR('Model inputs'!AA188&gt;=21),'Model inputs'!AA188&gt;=21,IF('Model inputs'!AA188="","",'Model inputs'!AA188&gt;=21))),IF('Model inputs'!AJ147="","",'Model inputs'!AJ147),IF(IF(IF(ISERROR('Model inputs'!AA188&gt;=18),'Model inputs'!AA188&gt;=18,IF('Model inputs'!AA188="","",'Model inputs'!AA188&gt;=18))="",FALSE,IF(ISERROR('Model inputs'!AA188&gt;=18),'Model inputs'!AA188&gt;=18,IF('Model inputs'!AA188="","",'Model inputs'!AA188&gt;=18))),IF('Model inputs'!AJ146="","",'Model inputs'!AJ146),IF(IF(IF(ISERROR('Model inputs'!AA188&gt;=15),'Model inputs'!AA188&gt;=15,IF('Model inputs'!AA188="","",'Model inputs'!AA188&gt;=15))="",FALSE,IF(ISERROR('Model inputs'!AA188&gt;=15),'Model inputs'!AA188&gt;=15,IF('Model inputs'!AA188="","",'Model inputs'!AA188&gt;=15))),IF('Model inputs'!AJ145="","",'Model inputs'!AJ145),IF(IF(IF(ISERROR('Model inputs'!AA188&gt;=12),'Model inputs'!AA188&gt;=12,IF('Model inputs'!AA188="","",'Model inputs'!AA188&gt;=12))="",FALSE,IF(ISERROR('Model inputs'!AA188&gt;=12),'Model inputs'!AA188&gt;=12,IF('Model inputs'!AA188="","",'Model inputs'!AA188&gt;=12))),IF('Model inputs'!AJ144="","",'Model inputs'!AJ144),IF(IF(IF(ISERROR('Model inputs'!AA188&gt;=9),'Model inputs'!AA188&gt;=9,IF('Model inputs'!AA188="","",'Model inputs'!AA188&gt;=9))="",FALSE,IF(ISERROR('Model inputs'!AA188&gt;=9),'Model inputs'!AA188&gt;=9,IF('Model inputs'!AA188="","",'Model inputs'!AA188&gt;=9))),IF('Model inputs'!AJ151="","",'Model inputs'!AJ151),IF(IF(IF(ISERROR('Model inputs'!AA188&gt;=6),'Model inputs'!AA188&gt;=6,IF('Model inputs'!AA188="","",'Model inputs'!AA188&gt;=6))="",FALSE,IF(ISERROR('Model inputs'!AA188&gt;=6),'Model inputs'!AA188&gt;=6,IF('Model inputs'!AA188="","",'Model inputs'!AA188&gt;=6))),IF('Model inputs'!AJ150="","",'Model inputs'!AJ150),0))))))))</f>
        <v>2</v>
      </c>
      <c r="AB446" s="8">
        <f>IF(IF(IF(ISERROR('Model inputs'!AB188&gt;=24),'Model inputs'!AB188&gt;=24,IF('Model inputs'!AB188="","",'Model inputs'!AB188&gt;=24))="",FALSE,IF(ISERROR('Model inputs'!AB188&gt;=24),'Model inputs'!AB188&gt;=24,IF('Model inputs'!AB188="","",'Model inputs'!AB188&gt;=24))),IF('Model inputs'!AJ149="","",'Model inputs'!AJ149),IF(IF(IF(ISERROR('Model inputs'!AB188&gt;=23),'Model inputs'!AB188&gt;=23,IF('Model inputs'!AB188="","",'Model inputs'!AB188&gt;=23))="",FALSE,IF(ISERROR('Model inputs'!AB188&gt;=23),'Model inputs'!AB188&gt;=23,IF('Model inputs'!AB188="","",'Model inputs'!AB188&gt;=23))),IF('Model inputs'!AJ148="","",'Model inputs'!AJ148),IF(IF(IF(ISERROR('Model inputs'!AB188&gt;=21),'Model inputs'!AB188&gt;=21,IF('Model inputs'!AB188="","",'Model inputs'!AB188&gt;=21))="",FALSE,IF(ISERROR('Model inputs'!AB188&gt;=21),'Model inputs'!AB188&gt;=21,IF('Model inputs'!AB188="","",'Model inputs'!AB188&gt;=21))),IF('Model inputs'!AJ147="","",'Model inputs'!AJ147),IF(IF(IF(ISERROR('Model inputs'!AB188&gt;=18),'Model inputs'!AB188&gt;=18,IF('Model inputs'!AB188="","",'Model inputs'!AB188&gt;=18))="",FALSE,IF(ISERROR('Model inputs'!AB188&gt;=18),'Model inputs'!AB188&gt;=18,IF('Model inputs'!AB188="","",'Model inputs'!AB188&gt;=18))),IF('Model inputs'!AJ146="","",'Model inputs'!AJ146),IF(IF(IF(ISERROR('Model inputs'!AB188&gt;=15),'Model inputs'!AB188&gt;=15,IF('Model inputs'!AB188="","",'Model inputs'!AB188&gt;=15))="",FALSE,IF(ISERROR('Model inputs'!AB188&gt;=15),'Model inputs'!AB188&gt;=15,IF('Model inputs'!AB188="","",'Model inputs'!AB188&gt;=15))),IF('Model inputs'!AJ145="","",'Model inputs'!AJ145),IF(IF(IF(ISERROR('Model inputs'!AB188&gt;=12),'Model inputs'!AB188&gt;=12,IF('Model inputs'!AB188="","",'Model inputs'!AB188&gt;=12))="",FALSE,IF(ISERROR('Model inputs'!AB188&gt;=12),'Model inputs'!AB188&gt;=12,IF('Model inputs'!AB188="","",'Model inputs'!AB188&gt;=12))),IF('Model inputs'!AJ144="","",'Model inputs'!AJ144),IF(IF(IF(ISERROR('Model inputs'!AB188&gt;=9),'Model inputs'!AB188&gt;=9,IF('Model inputs'!AB188="","",'Model inputs'!AB188&gt;=9))="",FALSE,IF(ISERROR('Model inputs'!AB188&gt;=9),'Model inputs'!AB188&gt;=9,IF('Model inputs'!AB188="","",'Model inputs'!AB188&gt;=9))),IF('Model inputs'!AJ151="","",'Model inputs'!AJ151),IF(IF(IF(ISERROR('Model inputs'!AB188&gt;=6),'Model inputs'!AB188&gt;=6,IF('Model inputs'!AB188="","",'Model inputs'!AB188&gt;=6))="",FALSE,IF(ISERROR('Model inputs'!AB188&gt;=6),'Model inputs'!AB188&gt;=6,IF('Model inputs'!AB188="","",'Model inputs'!AB188&gt;=6))),IF('Model inputs'!AJ150="","",'Model inputs'!AJ150),0))))))))</f>
        <v>2</v>
      </c>
      <c r="AC446" s="8">
        <f>IF(IF(IF(ISERROR('Model inputs'!AC188&gt;=24),'Model inputs'!AC188&gt;=24,IF('Model inputs'!AC188="","",'Model inputs'!AC188&gt;=24))="",FALSE,IF(ISERROR('Model inputs'!AC188&gt;=24),'Model inputs'!AC188&gt;=24,IF('Model inputs'!AC188="","",'Model inputs'!AC188&gt;=24))),IF('Model inputs'!AJ149="","",'Model inputs'!AJ149),IF(IF(IF(ISERROR('Model inputs'!AC188&gt;=23),'Model inputs'!AC188&gt;=23,IF('Model inputs'!AC188="","",'Model inputs'!AC188&gt;=23))="",FALSE,IF(ISERROR('Model inputs'!AC188&gt;=23),'Model inputs'!AC188&gt;=23,IF('Model inputs'!AC188="","",'Model inputs'!AC188&gt;=23))),IF('Model inputs'!AJ148="","",'Model inputs'!AJ148),IF(IF(IF(ISERROR('Model inputs'!AC188&gt;=21),'Model inputs'!AC188&gt;=21,IF('Model inputs'!AC188="","",'Model inputs'!AC188&gt;=21))="",FALSE,IF(ISERROR('Model inputs'!AC188&gt;=21),'Model inputs'!AC188&gt;=21,IF('Model inputs'!AC188="","",'Model inputs'!AC188&gt;=21))),IF('Model inputs'!AJ147="","",'Model inputs'!AJ147),IF(IF(IF(ISERROR('Model inputs'!AC188&gt;=18),'Model inputs'!AC188&gt;=18,IF('Model inputs'!AC188="","",'Model inputs'!AC188&gt;=18))="",FALSE,IF(ISERROR('Model inputs'!AC188&gt;=18),'Model inputs'!AC188&gt;=18,IF('Model inputs'!AC188="","",'Model inputs'!AC188&gt;=18))),IF('Model inputs'!AJ146="","",'Model inputs'!AJ146),IF(IF(IF(ISERROR('Model inputs'!AC188&gt;=15),'Model inputs'!AC188&gt;=15,IF('Model inputs'!AC188="","",'Model inputs'!AC188&gt;=15))="",FALSE,IF(ISERROR('Model inputs'!AC188&gt;=15),'Model inputs'!AC188&gt;=15,IF('Model inputs'!AC188="","",'Model inputs'!AC188&gt;=15))),IF('Model inputs'!AJ145="","",'Model inputs'!AJ145),IF(IF(IF(ISERROR('Model inputs'!AC188&gt;=12),'Model inputs'!AC188&gt;=12,IF('Model inputs'!AC188="","",'Model inputs'!AC188&gt;=12))="",FALSE,IF(ISERROR('Model inputs'!AC188&gt;=12),'Model inputs'!AC188&gt;=12,IF('Model inputs'!AC188="","",'Model inputs'!AC188&gt;=12))),IF('Model inputs'!AJ144="","",'Model inputs'!AJ144),IF(IF(IF(ISERROR('Model inputs'!AC188&gt;=9),'Model inputs'!AC188&gt;=9,IF('Model inputs'!AC188="","",'Model inputs'!AC188&gt;=9))="",FALSE,IF(ISERROR('Model inputs'!AC188&gt;=9),'Model inputs'!AC188&gt;=9,IF('Model inputs'!AC188="","",'Model inputs'!AC188&gt;=9))),IF('Model inputs'!AJ151="","",'Model inputs'!AJ151),IF(IF(IF(ISERROR('Model inputs'!AC188&gt;=6),'Model inputs'!AC188&gt;=6,IF('Model inputs'!AC188="","",'Model inputs'!AC188&gt;=6))="",FALSE,IF(ISERROR('Model inputs'!AC188&gt;=6),'Model inputs'!AC188&gt;=6,IF('Model inputs'!AC188="","",'Model inputs'!AC188&gt;=6))),IF('Model inputs'!AJ150="","",'Model inputs'!AJ150),0))))))))</f>
        <v>2.5</v>
      </c>
      <c r="AD446" s="8">
        <f>IF(IF(IF(ISERROR('Model inputs'!AD188&gt;=24),'Model inputs'!AD188&gt;=24,IF('Model inputs'!AD188="","",'Model inputs'!AD188&gt;=24))="",FALSE,IF(ISERROR('Model inputs'!AD188&gt;=24),'Model inputs'!AD188&gt;=24,IF('Model inputs'!AD188="","",'Model inputs'!AD188&gt;=24))),IF('Model inputs'!AJ149="","",'Model inputs'!AJ149),IF(IF(IF(ISERROR('Model inputs'!AD188&gt;=23),'Model inputs'!AD188&gt;=23,IF('Model inputs'!AD188="","",'Model inputs'!AD188&gt;=23))="",FALSE,IF(ISERROR('Model inputs'!AD188&gt;=23),'Model inputs'!AD188&gt;=23,IF('Model inputs'!AD188="","",'Model inputs'!AD188&gt;=23))),IF('Model inputs'!AJ148="","",'Model inputs'!AJ148),IF(IF(IF(ISERROR('Model inputs'!AD188&gt;=21),'Model inputs'!AD188&gt;=21,IF('Model inputs'!AD188="","",'Model inputs'!AD188&gt;=21))="",FALSE,IF(ISERROR('Model inputs'!AD188&gt;=21),'Model inputs'!AD188&gt;=21,IF('Model inputs'!AD188="","",'Model inputs'!AD188&gt;=21))),IF('Model inputs'!AJ147="","",'Model inputs'!AJ147),IF(IF(IF(ISERROR('Model inputs'!AD188&gt;=18),'Model inputs'!AD188&gt;=18,IF('Model inputs'!AD188="","",'Model inputs'!AD188&gt;=18))="",FALSE,IF(ISERROR('Model inputs'!AD188&gt;=18),'Model inputs'!AD188&gt;=18,IF('Model inputs'!AD188="","",'Model inputs'!AD188&gt;=18))),IF('Model inputs'!AJ146="","",'Model inputs'!AJ146),IF(IF(IF(ISERROR('Model inputs'!AD188&gt;=15),'Model inputs'!AD188&gt;=15,IF('Model inputs'!AD188="","",'Model inputs'!AD188&gt;=15))="",FALSE,IF(ISERROR('Model inputs'!AD188&gt;=15),'Model inputs'!AD188&gt;=15,IF('Model inputs'!AD188="","",'Model inputs'!AD188&gt;=15))),IF('Model inputs'!AJ145="","",'Model inputs'!AJ145),IF(IF(IF(ISERROR('Model inputs'!AD188&gt;=12),'Model inputs'!AD188&gt;=12,IF('Model inputs'!AD188="","",'Model inputs'!AD188&gt;=12))="",FALSE,IF(ISERROR('Model inputs'!AD188&gt;=12),'Model inputs'!AD188&gt;=12,IF('Model inputs'!AD188="","",'Model inputs'!AD188&gt;=12))),IF('Model inputs'!AJ144="","",'Model inputs'!AJ144),IF(IF(IF(ISERROR('Model inputs'!AD188&gt;=9),'Model inputs'!AD188&gt;=9,IF('Model inputs'!AD188="","",'Model inputs'!AD188&gt;=9))="",FALSE,IF(ISERROR('Model inputs'!AD188&gt;=9),'Model inputs'!AD188&gt;=9,IF('Model inputs'!AD188="","",'Model inputs'!AD188&gt;=9))),IF('Model inputs'!AJ151="","",'Model inputs'!AJ151),IF(IF(IF(ISERROR('Model inputs'!AD188&gt;=6),'Model inputs'!AD188&gt;=6,IF('Model inputs'!AD188="","",'Model inputs'!AD188&gt;=6))="",FALSE,IF(ISERROR('Model inputs'!AD188&gt;=6),'Model inputs'!AD188&gt;=6,IF('Model inputs'!AD188="","",'Model inputs'!AD188&gt;=6))),IF('Model inputs'!AJ150="","",'Model inputs'!AJ150),0))))))))</f>
        <v>2.5</v>
      </c>
      <c r="AE446" s="8">
        <f>IF(IF(IF(ISERROR('Model inputs'!AE188&gt;=24),'Model inputs'!AE188&gt;=24,IF('Model inputs'!AE188="","",'Model inputs'!AE188&gt;=24))="",FALSE,IF(ISERROR('Model inputs'!AE188&gt;=24),'Model inputs'!AE188&gt;=24,IF('Model inputs'!AE188="","",'Model inputs'!AE188&gt;=24))),IF('Model inputs'!AJ149="","",'Model inputs'!AJ149),IF(IF(IF(ISERROR('Model inputs'!AE188&gt;=23),'Model inputs'!AE188&gt;=23,IF('Model inputs'!AE188="","",'Model inputs'!AE188&gt;=23))="",FALSE,IF(ISERROR('Model inputs'!AE188&gt;=23),'Model inputs'!AE188&gt;=23,IF('Model inputs'!AE188="","",'Model inputs'!AE188&gt;=23))),IF('Model inputs'!AJ148="","",'Model inputs'!AJ148),IF(IF(IF(ISERROR('Model inputs'!AE188&gt;=21),'Model inputs'!AE188&gt;=21,IF('Model inputs'!AE188="","",'Model inputs'!AE188&gt;=21))="",FALSE,IF(ISERROR('Model inputs'!AE188&gt;=21),'Model inputs'!AE188&gt;=21,IF('Model inputs'!AE188="","",'Model inputs'!AE188&gt;=21))),IF('Model inputs'!AJ147="","",'Model inputs'!AJ147),IF(IF(IF(ISERROR('Model inputs'!AE188&gt;=18),'Model inputs'!AE188&gt;=18,IF('Model inputs'!AE188="","",'Model inputs'!AE188&gt;=18))="",FALSE,IF(ISERROR('Model inputs'!AE188&gt;=18),'Model inputs'!AE188&gt;=18,IF('Model inputs'!AE188="","",'Model inputs'!AE188&gt;=18))),IF('Model inputs'!AJ146="","",'Model inputs'!AJ146),IF(IF(IF(ISERROR('Model inputs'!AE188&gt;=15),'Model inputs'!AE188&gt;=15,IF('Model inputs'!AE188="","",'Model inputs'!AE188&gt;=15))="",FALSE,IF(ISERROR('Model inputs'!AE188&gt;=15),'Model inputs'!AE188&gt;=15,IF('Model inputs'!AE188="","",'Model inputs'!AE188&gt;=15))),IF('Model inputs'!AJ145="","",'Model inputs'!AJ145),IF(IF(IF(ISERROR('Model inputs'!AE188&gt;=12),'Model inputs'!AE188&gt;=12,IF('Model inputs'!AE188="","",'Model inputs'!AE188&gt;=12))="",FALSE,IF(ISERROR('Model inputs'!AE188&gt;=12),'Model inputs'!AE188&gt;=12,IF('Model inputs'!AE188="","",'Model inputs'!AE188&gt;=12))),IF('Model inputs'!AJ144="","",'Model inputs'!AJ144),IF(IF(IF(ISERROR('Model inputs'!AE188&gt;=9),'Model inputs'!AE188&gt;=9,IF('Model inputs'!AE188="","",'Model inputs'!AE188&gt;=9))="",FALSE,IF(ISERROR('Model inputs'!AE188&gt;=9),'Model inputs'!AE188&gt;=9,IF('Model inputs'!AE188="","",'Model inputs'!AE188&gt;=9))),IF('Model inputs'!AJ151="","",'Model inputs'!AJ151),IF(IF(IF(ISERROR('Model inputs'!AE188&gt;=6),'Model inputs'!AE188&gt;=6,IF('Model inputs'!AE188="","",'Model inputs'!AE188&gt;=6))="",FALSE,IF(ISERROR('Model inputs'!AE188&gt;=6),'Model inputs'!AE188&gt;=6,IF('Model inputs'!AE188="","",'Model inputs'!AE188&gt;=6))),IF('Model inputs'!AJ150="","",'Model inputs'!AJ150),0))))))))</f>
        <v>2.5</v>
      </c>
      <c r="AF446" s="8">
        <f>IF(IF(IF(ISERROR('Model inputs'!AF188&gt;=24),'Model inputs'!AF188&gt;=24,IF('Model inputs'!AF188="","",'Model inputs'!AF188&gt;=24))="",FALSE,IF(ISERROR('Model inputs'!AF188&gt;=24),'Model inputs'!AF188&gt;=24,IF('Model inputs'!AF188="","",'Model inputs'!AF188&gt;=24))),IF('Model inputs'!AJ149="","",'Model inputs'!AJ149),IF(IF(IF(ISERROR('Model inputs'!AF188&gt;=23),'Model inputs'!AF188&gt;=23,IF('Model inputs'!AF188="","",'Model inputs'!AF188&gt;=23))="",FALSE,IF(ISERROR('Model inputs'!AF188&gt;=23),'Model inputs'!AF188&gt;=23,IF('Model inputs'!AF188="","",'Model inputs'!AF188&gt;=23))),IF('Model inputs'!AJ148="","",'Model inputs'!AJ148),IF(IF(IF(ISERROR('Model inputs'!AF188&gt;=21),'Model inputs'!AF188&gt;=21,IF('Model inputs'!AF188="","",'Model inputs'!AF188&gt;=21))="",FALSE,IF(ISERROR('Model inputs'!AF188&gt;=21),'Model inputs'!AF188&gt;=21,IF('Model inputs'!AF188="","",'Model inputs'!AF188&gt;=21))),IF('Model inputs'!AJ147="","",'Model inputs'!AJ147),IF(IF(IF(ISERROR('Model inputs'!AF188&gt;=18),'Model inputs'!AF188&gt;=18,IF('Model inputs'!AF188="","",'Model inputs'!AF188&gt;=18))="",FALSE,IF(ISERROR('Model inputs'!AF188&gt;=18),'Model inputs'!AF188&gt;=18,IF('Model inputs'!AF188="","",'Model inputs'!AF188&gt;=18))),IF('Model inputs'!AJ146="","",'Model inputs'!AJ146),IF(IF(IF(ISERROR('Model inputs'!AF188&gt;=15),'Model inputs'!AF188&gt;=15,IF('Model inputs'!AF188="","",'Model inputs'!AF188&gt;=15))="",FALSE,IF(ISERROR('Model inputs'!AF188&gt;=15),'Model inputs'!AF188&gt;=15,IF('Model inputs'!AF188="","",'Model inputs'!AF188&gt;=15))),IF('Model inputs'!AJ145="","",'Model inputs'!AJ145),IF(IF(IF(ISERROR('Model inputs'!AF188&gt;=12),'Model inputs'!AF188&gt;=12,IF('Model inputs'!AF188="","",'Model inputs'!AF188&gt;=12))="",FALSE,IF(ISERROR('Model inputs'!AF188&gt;=12),'Model inputs'!AF188&gt;=12,IF('Model inputs'!AF188="","",'Model inputs'!AF188&gt;=12))),IF('Model inputs'!AJ144="","",'Model inputs'!AJ144),IF(IF(IF(ISERROR('Model inputs'!AF188&gt;=9),'Model inputs'!AF188&gt;=9,IF('Model inputs'!AF188="","",'Model inputs'!AF188&gt;=9))="",FALSE,IF(ISERROR('Model inputs'!AF188&gt;=9),'Model inputs'!AF188&gt;=9,IF('Model inputs'!AF188="","",'Model inputs'!AF188&gt;=9))),IF('Model inputs'!AJ151="","",'Model inputs'!AJ151),IF(IF(IF(ISERROR('Model inputs'!AF188&gt;=6),'Model inputs'!AF188&gt;=6,IF('Model inputs'!AF188="","",'Model inputs'!AF188&gt;=6))="",FALSE,IF(ISERROR('Model inputs'!AF188&gt;=6),'Model inputs'!AF188&gt;=6,IF('Model inputs'!AF188="","",'Model inputs'!AF188&gt;=6))),IF('Model inputs'!AJ150="","",'Model inputs'!AJ150),0))))))))</f>
        <v>3</v>
      </c>
      <c r="AG446" s="8">
        <f>IF(IF(IF(ISERROR('Model inputs'!AG188&gt;=24),'Model inputs'!AG188&gt;=24,IF('Model inputs'!AG188="","",'Model inputs'!AG188&gt;=24))="",FALSE,IF(ISERROR('Model inputs'!AG188&gt;=24),'Model inputs'!AG188&gt;=24,IF('Model inputs'!AG188="","",'Model inputs'!AG188&gt;=24))),IF('Model inputs'!AJ149="","",'Model inputs'!AJ149),IF(IF(IF(ISERROR('Model inputs'!AG188&gt;=23),'Model inputs'!AG188&gt;=23,IF('Model inputs'!AG188="","",'Model inputs'!AG188&gt;=23))="",FALSE,IF(ISERROR('Model inputs'!AG188&gt;=23),'Model inputs'!AG188&gt;=23,IF('Model inputs'!AG188="","",'Model inputs'!AG188&gt;=23))),IF('Model inputs'!AJ148="","",'Model inputs'!AJ148),IF(IF(IF(ISERROR('Model inputs'!AG188&gt;=21),'Model inputs'!AG188&gt;=21,IF('Model inputs'!AG188="","",'Model inputs'!AG188&gt;=21))="",FALSE,IF(ISERROR('Model inputs'!AG188&gt;=21),'Model inputs'!AG188&gt;=21,IF('Model inputs'!AG188="","",'Model inputs'!AG188&gt;=21))),IF('Model inputs'!AJ147="","",'Model inputs'!AJ147),IF(IF(IF(ISERROR('Model inputs'!AG188&gt;=18),'Model inputs'!AG188&gt;=18,IF('Model inputs'!AG188="","",'Model inputs'!AG188&gt;=18))="",FALSE,IF(ISERROR('Model inputs'!AG188&gt;=18),'Model inputs'!AG188&gt;=18,IF('Model inputs'!AG188="","",'Model inputs'!AG188&gt;=18))),IF('Model inputs'!AJ146="","",'Model inputs'!AJ146),IF(IF(IF(ISERROR('Model inputs'!AG188&gt;=15),'Model inputs'!AG188&gt;=15,IF('Model inputs'!AG188="","",'Model inputs'!AG188&gt;=15))="",FALSE,IF(ISERROR('Model inputs'!AG188&gt;=15),'Model inputs'!AG188&gt;=15,IF('Model inputs'!AG188="","",'Model inputs'!AG188&gt;=15))),IF('Model inputs'!AJ145="","",'Model inputs'!AJ145),IF(IF(IF(ISERROR('Model inputs'!AG188&gt;=12),'Model inputs'!AG188&gt;=12,IF('Model inputs'!AG188="","",'Model inputs'!AG188&gt;=12))="",FALSE,IF(ISERROR('Model inputs'!AG188&gt;=12),'Model inputs'!AG188&gt;=12,IF('Model inputs'!AG188="","",'Model inputs'!AG188&gt;=12))),IF('Model inputs'!AJ144="","",'Model inputs'!AJ144),IF(IF(IF(ISERROR('Model inputs'!AG188&gt;=9),'Model inputs'!AG188&gt;=9,IF('Model inputs'!AG188="","",'Model inputs'!AG188&gt;=9))="",FALSE,IF(ISERROR('Model inputs'!AG188&gt;=9),'Model inputs'!AG188&gt;=9,IF('Model inputs'!AG188="","",'Model inputs'!AG188&gt;=9))),IF('Model inputs'!AJ151="","",'Model inputs'!AJ151),IF(IF(IF(ISERROR('Model inputs'!AG188&gt;=6),'Model inputs'!AG188&gt;=6,IF('Model inputs'!AG188="","",'Model inputs'!AG188&gt;=6))="",FALSE,IF(ISERROR('Model inputs'!AG188&gt;=6),'Model inputs'!AG188&gt;=6,IF('Model inputs'!AG188="","",'Model inputs'!AG188&gt;=6))),IF('Model inputs'!AJ150="","",'Model inputs'!AJ150),0))))))))</f>
        <v>3</v>
      </c>
      <c r="AH446" s="8">
        <f>IF(IF(IF(ISERROR('Model inputs'!AH188&gt;=24),'Model inputs'!AH188&gt;=24,IF('Model inputs'!AH188="","",'Model inputs'!AH188&gt;=24))="",FALSE,IF(ISERROR('Model inputs'!AH188&gt;=24),'Model inputs'!AH188&gt;=24,IF('Model inputs'!AH188="","",'Model inputs'!AH188&gt;=24))),IF('Model inputs'!AJ149="","",'Model inputs'!AJ149),IF(IF(IF(ISERROR('Model inputs'!AH188&gt;=23),'Model inputs'!AH188&gt;=23,IF('Model inputs'!AH188="","",'Model inputs'!AH188&gt;=23))="",FALSE,IF(ISERROR('Model inputs'!AH188&gt;=23),'Model inputs'!AH188&gt;=23,IF('Model inputs'!AH188="","",'Model inputs'!AH188&gt;=23))),IF('Model inputs'!AJ148="","",'Model inputs'!AJ148),IF(IF(IF(ISERROR('Model inputs'!AH188&gt;=21),'Model inputs'!AH188&gt;=21,IF('Model inputs'!AH188="","",'Model inputs'!AH188&gt;=21))="",FALSE,IF(ISERROR('Model inputs'!AH188&gt;=21),'Model inputs'!AH188&gt;=21,IF('Model inputs'!AH188="","",'Model inputs'!AH188&gt;=21))),IF('Model inputs'!AJ147="","",'Model inputs'!AJ147),IF(IF(IF(ISERROR('Model inputs'!AH188&gt;=18),'Model inputs'!AH188&gt;=18,IF('Model inputs'!AH188="","",'Model inputs'!AH188&gt;=18))="",FALSE,IF(ISERROR('Model inputs'!AH188&gt;=18),'Model inputs'!AH188&gt;=18,IF('Model inputs'!AH188="","",'Model inputs'!AH188&gt;=18))),IF('Model inputs'!AJ146="","",'Model inputs'!AJ146),IF(IF(IF(ISERROR('Model inputs'!AH188&gt;=15),'Model inputs'!AH188&gt;=15,IF('Model inputs'!AH188="","",'Model inputs'!AH188&gt;=15))="",FALSE,IF(ISERROR('Model inputs'!AH188&gt;=15),'Model inputs'!AH188&gt;=15,IF('Model inputs'!AH188="","",'Model inputs'!AH188&gt;=15))),IF('Model inputs'!AJ145="","",'Model inputs'!AJ145),IF(IF(IF(ISERROR('Model inputs'!AH188&gt;=12),'Model inputs'!AH188&gt;=12,IF('Model inputs'!AH188="","",'Model inputs'!AH188&gt;=12))="",FALSE,IF(ISERROR('Model inputs'!AH188&gt;=12),'Model inputs'!AH188&gt;=12,IF('Model inputs'!AH188="","",'Model inputs'!AH188&gt;=12))),IF('Model inputs'!AJ144="","",'Model inputs'!AJ144),IF(IF(IF(ISERROR('Model inputs'!AH188&gt;=9),'Model inputs'!AH188&gt;=9,IF('Model inputs'!AH188="","",'Model inputs'!AH188&gt;=9))="",FALSE,IF(ISERROR('Model inputs'!AH188&gt;=9),'Model inputs'!AH188&gt;=9,IF('Model inputs'!AH188="","",'Model inputs'!AH188&gt;=9))),IF('Model inputs'!AJ151="","",'Model inputs'!AJ151),IF(IF(IF(ISERROR('Model inputs'!AH188&gt;=6),'Model inputs'!AH188&gt;=6,IF('Model inputs'!AH188="","",'Model inputs'!AH188&gt;=6))="",FALSE,IF(ISERROR('Model inputs'!AH188&gt;=6),'Model inputs'!AH188&gt;=6,IF('Model inputs'!AH188="","",'Model inputs'!AH188&gt;=6))),IF('Model inputs'!AJ150="","",'Model inputs'!AJ150),0))))))))</f>
        <v>3.5</v>
      </c>
      <c r="AI446" s="8">
        <f>IF(IF(IF(ISERROR('Model inputs'!AI188&gt;=24),'Model inputs'!AI188&gt;=24,IF('Model inputs'!AI188="","",'Model inputs'!AI188&gt;=24))="",FALSE,IF(ISERROR('Model inputs'!AI188&gt;=24),'Model inputs'!AI188&gt;=24,IF('Model inputs'!AI188="","",'Model inputs'!AI188&gt;=24))),IF('Model inputs'!AJ149="","",'Model inputs'!AJ149),IF(IF(IF(ISERROR('Model inputs'!AI188&gt;=23),'Model inputs'!AI188&gt;=23,IF('Model inputs'!AI188="","",'Model inputs'!AI188&gt;=23))="",FALSE,IF(ISERROR('Model inputs'!AI188&gt;=23),'Model inputs'!AI188&gt;=23,IF('Model inputs'!AI188="","",'Model inputs'!AI188&gt;=23))),IF('Model inputs'!AJ148="","",'Model inputs'!AJ148),IF(IF(IF(ISERROR('Model inputs'!AI188&gt;=21),'Model inputs'!AI188&gt;=21,IF('Model inputs'!AI188="","",'Model inputs'!AI188&gt;=21))="",FALSE,IF(ISERROR('Model inputs'!AI188&gt;=21),'Model inputs'!AI188&gt;=21,IF('Model inputs'!AI188="","",'Model inputs'!AI188&gt;=21))),IF('Model inputs'!AJ147="","",'Model inputs'!AJ147),IF(IF(IF(ISERROR('Model inputs'!AI188&gt;=18),'Model inputs'!AI188&gt;=18,IF('Model inputs'!AI188="","",'Model inputs'!AI188&gt;=18))="",FALSE,IF(ISERROR('Model inputs'!AI188&gt;=18),'Model inputs'!AI188&gt;=18,IF('Model inputs'!AI188="","",'Model inputs'!AI188&gt;=18))),IF('Model inputs'!AJ146="","",'Model inputs'!AJ146),IF(IF(IF(ISERROR('Model inputs'!AI188&gt;=15),'Model inputs'!AI188&gt;=15,IF('Model inputs'!AI188="","",'Model inputs'!AI188&gt;=15))="",FALSE,IF(ISERROR('Model inputs'!AI188&gt;=15),'Model inputs'!AI188&gt;=15,IF('Model inputs'!AI188="","",'Model inputs'!AI188&gt;=15))),IF('Model inputs'!AJ145="","",'Model inputs'!AJ145),IF(IF(IF(ISERROR('Model inputs'!AI188&gt;=12),'Model inputs'!AI188&gt;=12,IF('Model inputs'!AI188="","",'Model inputs'!AI188&gt;=12))="",FALSE,IF(ISERROR('Model inputs'!AI188&gt;=12),'Model inputs'!AI188&gt;=12,IF('Model inputs'!AI188="","",'Model inputs'!AI188&gt;=12))),IF('Model inputs'!AJ144="","",'Model inputs'!AJ144),IF(IF(IF(ISERROR('Model inputs'!AI188&gt;=9),'Model inputs'!AI188&gt;=9,IF('Model inputs'!AI188="","",'Model inputs'!AI188&gt;=9))="",FALSE,IF(ISERROR('Model inputs'!AI188&gt;=9),'Model inputs'!AI188&gt;=9,IF('Model inputs'!AI188="","",'Model inputs'!AI188&gt;=9))),IF('Model inputs'!AJ151="","",'Model inputs'!AJ151),IF(IF(IF(ISERROR('Model inputs'!AI188&gt;=6),'Model inputs'!AI188&gt;=6,IF('Model inputs'!AI188="","",'Model inputs'!AI188&gt;=6))="",FALSE,IF(ISERROR('Model inputs'!AI188&gt;=6),'Model inputs'!AI188&gt;=6,IF('Model inputs'!AI188="","",'Model inputs'!AI188&gt;=6))),IF('Model inputs'!AJ150="","",'Model inputs'!AJ150),0))))))))</f>
        <v>4</v>
      </c>
    </row>
    <row r="447">
      <c r="A447" t="inlineStr" s="13">
        <is>
          <t xml:space="preserve">Haq Employer workers · Haq Ending cash · Main Scenario · Main Scenario</t>
        </is>
      </c>
      <c r="B447" s="8">
        <f>IF(IF(IF(ISERROR('Model inputs'!B186&gt;=24),'Model inputs'!B186&gt;=24,IF('Model inputs'!B186="","",'Model inputs'!B186&gt;=24))="",FALSE,IF(ISERROR('Model inputs'!B186&gt;=24),'Model inputs'!B186&gt;=24,IF('Model inputs'!B186="","",'Model inputs'!B186&gt;=24))),IF('Model inputs'!AJ55="","",'Model inputs'!AJ55),IF(IF(IF(ISERROR('Model inputs'!B186&gt;=18),'Model inputs'!B186&gt;=18,IF('Model inputs'!B186="","",'Model inputs'!B186&gt;=18))="",FALSE,IF(ISERROR('Model inputs'!B186&gt;=18),'Model inputs'!B186&gt;=18,IF('Model inputs'!B186="","",'Model inputs'!B186&gt;=18))),IF('Model inputs'!AJ54="","",'Model inputs'!AJ54),IF(IF(IF(ISERROR('Model inputs'!B186&gt;=12),'Model inputs'!B186&gt;=12,IF('Model inputs'!B186="","",'Model inputs'!B186&gt;=12))="",FALSE,IF(ISERROR('Model inputs'!B186&gt;=12),'Model inputs'!B186&gt;=12,IF('Model inputs'!B186="","",'Model inputs'!B186&gt;=12))),IF('Model inputs'!AJ53="","",'Model inputs'!AJ53),IF(IF(IF(ISERROR('Model inputs'!B186&gt;=9),'Model inputs'!B186&gt;=9,IF('Model inputs'!B186="","",'Model inputs'!B186&gt;=9))="",FALSE,IF(ISERROR('Model inputs'!B186&gt;=9),'Model inputs'!B186&gt;=9,IF('Model inputs'!B186="","",'Model inputs'!B186&gt;=9))),IF('Model inputs'!AJ56="","",'Model inputs'!AJ56),0))))</f>
        <v>0</v>
      </c>
      <c r="C447" s="8">
        <f>IF(IF(IF(ISERROR('Model inputs'!C186&gt;=24),'Model inputs'!C186&gt;=24,IF('Model inputs'!C186="","",'Model inputs'!C186&gt;=24))="",FALSE,IF(ISERROR('Model inputs'!C186&gt;=24),'Model inputs'!C186&gt;=24,IF('Model inputs'!C186="","",'Model inputs'!C186&gt;=24))),IF('Model inputs'!AJ55="","",'Model inputs'!AJ55),IF(IF(IF(ISERROR('Model inputs'!C186&gt;=18),'Model inputs'!C186&gt;=18,IF('Model inputs'!C186="","",'Model inputs'!C186&gt;=18))="",FALSE,IF(ISERROR('Model inputs'!C186&gt;=18),'Model inputs'!C186&gt;=18,IF('Model inputs'!C186="","",'Model inputs'!C186&gt;=18))),IF('Model inputs'!AJ54="","",'Model inputs'!AJ54),IF(IF(IF(ISERROR('Model inputs'!C186&gt;=12),'Model inputs'!C186&gt;=12,IF('Model inputs'!C186="","",'Model inputs'!C186&gt;=12))="",FALSE,IF(ISERROR('Model inputs'!C186&gt;=12),'Model inputs'!C186&gt;=12,IF('Model inputs'!C186="","",'Model inputs'!C186&gt;=12))),IF('Model inputs'!AJ53="","",'Model inputs'!AJ53),IF(IF(IF(ISERROR('Model inputs'!C186&gt;=9),'Model inputs'!C186&gt;=9,IF('Model inputs'!C186="","",'Model inputs'!C186&gt;=9))="",FALSE,IF(ISERROR('Model inputs'!C186&gt;=9),'Model inputs'!C186&gt;=9,IF('Model inputs'!C186="","",'Model inputs'!C186&gt;=9))),IF('Model inputs'!AJ56="","",'Model inputs'!AJ56),0))))</f>
        <v>0</v>
      </c>
      <c r="D447" s="8">
        <f>IF(IF(IF(ISERROR('Model inputs'!D186&gt;=24),'Model inputs'!D186&gt;=24,IF('Model inputs'!D186="","",'Model inputs'!D186&gt;=24))="",FALSE,IF(ISERROR('Model inputs'!D186&gt;=24),'Model inputs'!D186&gt;=24,IF('Model inputs'!D186="","",'Model inputs'!D186&gt;=24))),IF('Model inputs'!AJ55="","",'Model inputs'!AJ55),IF(IF(IF(ISERROR('Model inputs'!D186&gt;=18),'Model inputs'!D186&gt;=18,IF('Model inputs'!D186="","",'Model inputs'!D186&gt;=18))="",FALSE,IF(ISERROR('Model inputs'!D186&gt;=18),'Model inputs'!D186&gt;=18,IF('Model inputs'!D186="","",'Model inputs'!D186&gt;=18))),IF('Model inputs'!AJ54="","",'Model inputs'!AJ54),IF(IF(IF(ISERROR('Model inputs'!D186&gt;=12),'Model inputs'!D186&gt;=12,IF('Model inputs'!D186="","",'Model inputs'!D186&gt;=12))="",FALSE,IF(ISERROR('Model inputs'!D186&gt;=12),'Model inputs'!D186&gt;=12,IF('Model inputs'!D186="","",'Model inputs'!D186&gt;=12))),IF('Model inputs'!AJ53="","",'Model inputs'!AJ53),IF(IF(IF(ISERROR('Model inputs'!D186&gt;=9),'Model inputs'!D186&gt;=9,IF('Model inputs'!D186="","",'Model inputs'!D186&gt;=9))="",FALSE,IF(ISERROR('Model inputs'!D186&gt;=9),'Model inputs'!D186&gt;=9,IF('Model inputs'!D186="","",'Model inputs'!D186&gt;=9))),IF('Model inputs'!AJ56="","",'Model inputs'!AJ56),0))))</f>
        <v>0</v>
      </c>
      <c r="E447" s="8">
        <f>IF(IF(IF(ISERROR('Model inputs'!E186&gt;=24),'Model inputs'!E186&gt;=24,IF('Model inputs'!E186="","",'Model inputs'!E186&gt;=24))="",FALSE,IF(ISERROR('Model inputs'!E186&gt;=24),'Model inputs'!E186&gt;=24,IF('Model inputs'!E186="","",'Model inputs'!E186&gt;=24))),IF('Model inputs'!AJ55="","",'Model inputs'!AJ55),IF(IF(IF(ISERROR('Model inputs'!E186&gt;=18),'Model inputs'!E186&gt;=18,IF('Model inputs'!E186="","",'Model inputs'!E186&gt;=18))="",FALSE,IF(ISERROR('Model inputs'!E186&gt;=18),'Model inputs'!E186&gt;=18,IF('Model inputs'!E186="","",'Model inputs'!E186&gt;=18))),IF('Model inputs'!AJ54="","",'Model inputs'!AJ54),IF(IF(IF(ISERROR('Model inputs'!E186&gt;=12),'Model inputs'!E186&gt;=12,IF('Model inputs'!E186="","",'Model inputs'!E186&gt;=12))="",FALSE,IF(ISERROR('Model inputs'!E186&gt;=12),'Model inputs'!E186&gt;=12,IF('Model inputs'!E186="","",'Model inputs'!E186&gt;=12))),IF('Model inputs'!AJ53="","",'Model inputs'!AJ53),IF(IF(IF(ISERROR('Model inputs'!E186&gt;=9),'Model inputs'!E186&gt;=9,IF('Model inputs'!E186="","",'Model inputs'!E186&gt;=9))="",FALSE,IF(ISERROR('Model inputs'!E186&gt;=9),'Model inputs'!E186&gt;=9,IF('Model inputs'!E186="","",'Model inputs'!E186&gt;=9))),IF('Model inputs'!AJ56="","",'Model inputs'!AJ56),0))))</f>
        <v>0</v>
      </c>
      <c r="F447" s="8">
        <f>IF(IF(IF(ISERROR('Model inputs'!F186&gt;=24),'Model inputs'!F186&gt;=24,IF('Model inputs'!F186="","",'Model inputs'!F186&gt;=24))="",FALSE,IF(ISERROR('Model inputs'!F186&gt;=24),'Model inputs'!F186&gt;=24,IF('Model inputs'!F186="","",'Model inputs'!F186&gt;=24))),IF('Model inputs'!AJ55="","",'Model inputs'!AJ55),IF(IF(IF(ISERROR('Model inputs'!F186&gt;=18),'Model inputs'!F186&gt;=18,IF('Model inputs'!F186="","",'Model inputs'!F186&gt;=18))="",FALSE,IF(ISERROR('Model inputs'!F186&gt;=18),'Model inputs'!F186&gt;=18,IF('Model inputs'!F186="","",'Model inputs'!F186&gt;=18))),IF('Model inputs'!AJ54="","",'Model inputs'!AJ54),IF(IF(IF(ISERROR('Model inputs'!F186&gt;=12),'Model inputs'!F186&gt;=12,IF('Model inputs'!F186="","",'Model inputs'!F186&gt;=12))="",FALSE,IF(ISERROR('Model inputs'!F186&gt;=12),'Model inputs'!F186&gt;=12,IF('Model inputs'!F186="","",'Model inputs'!F186&gt;=12))),IF('Model inputs'!AJ53="","",'Model inputs'!AJ53),IF(IF(IF(ISERROR('Model inputs'!F186&gt;=9),'Model inputs'!F186&gt;=9,IF('Model inputs'!F186="","",'Model inputs'!F186&gt;=9))="",FALSE,IF(ISERROR('Model inputs'!F186&gt;=9),'Model inputs'!F186&gt;=9,IF('Model inputs'!F186="","",'Model inputs'!F186&gt;=9))),IF('Model inputs'!AJ56="","",'Model inputs'!AJ56),0))))</f>
        <v>0</v>
      </c>
      <c r="G447" s="8">
        <f>IF(IF(IF(ISERROR('Model inputs'!G186&gt;=24),'Model inputs'!G186&gt;=24,IF('Model inputs'!G186="","",'Model inputs'!G186&gt;=24))="",FALSE,IF(ISERROR('Model inputs'!G186&gt;=24),'Model inputs'!G186&gt;=24,IF('Model inputs'!G186="","",'Model inputs'!G186&gt;=24))),IF('Model inputs'!AJ55="","",'Model inputs'!AJ55),IF(IF(IF(ISERROR('Model inputs'!G186&gt;=18),'Model inputs'!G186&gt;=18,IF('Model inputs'!G186="","",'Model inputs'!G186&gt;=18))="",FALSE,IF(ISERROR('Model inputs'!G186&gt;=18),'Model inputs'!G186&gt;=18,IF('Model inputs'!G186="","",'Model inputs'!G186&gt;=18))),IF('Model inputs'!AJ54="","",'Model inputs'!AJ54),IF(IF(IF(ISERROR('Model inputs'!G186&gt;=12),'Model inputs'!G186&gt;=12,IF('Model inputs'!G186="","",'Model inputs'!G186&gt;=12))="",FALSE,IF(ISERROR('Model inputs'!G186&gt;=12),'Model inputs'!G186&gt;=12,IF('Model inputs'!G186="","",'Model inputs'!G186&gt;=12))),IF('Model inputs'!AJ53="","",'Model inputs'!AJ53),IF(IF(IF(ISERROR('Model inputs'!G186&gt;=9),'Model inputs'!G186&gt;=9,IF('Model inputs'!G186="","",'Model inputs'!G186&gt;=9))="",FALSE,IF(ISERROR('Model inputs'!G186&gt;=9),'Model inputs'!G186&gt;=9,IF('Model inputs'!G186="","",'Model inputs'!G186&gt;=9))),IF('Model inputs'!AJ56="","",'Model inputs'!AJ56),0))))</f>
        <v>0</v>
      </c>
      <c r="H447" s="8">
        <f>IF(IF(IF(ISERROR('Model inputs'!H186&gt;=24),'Model inputs'!H186&gt;=24,IF('Model inputs'!H186="","",'Model inputs'!H186&gt;=24))="",FALSE,IF(ISERROR('Model inputs'!H186&gt;=24),'Model inputs'!H186&gt;=24,IF('Model inputs'!H186="","",'Model inputs'!H186&gt;=24))),IF('Model inputs'!AJ55="","",'Model inputs'!AJ55),IF(IF(IF(ISERROR('Model inputs'!H186&gt;=18),'Model inputs'!H186&gt;=18,IF('Model inputs'!H186="","",'Model inputs'!H186&gt;=18))="",FALSE,IF(ISERROR('Model inputs'!H186&gt;=18),'Model inputs'!H186&gt;=18,IF('Model inputs'!H186="","",'Model inputs'!H186&gt;=18))),IF('Model inputs'!AJ54="","",'Model inputs'!AJ54),IF(IF(IF(ISERROR('Model inputs'!H186&gt;=12),'Model inputs'!H186&gt;=12,IF('Model inputs'!H186="","",'Model inputs'!H186&gt;=12))="",FALSE,IF(ISERROR('Model inputs'!H186&gt;=12),'Model inputs'!H186&gt;=12,IF('Model inputs'!H186="","",'Model inputs'!H186&gt;=12))),IF('Model inputs'!AJ53="","",'Model inputs'!AJ53),IF(IF(IF(ISERROR('Model inputs'!H186&gt;=9),'Model inputs'!H186&gt;=9,IF('Model inputs'!H186="","",'Model inputs'!H186&gt;=9))="",FALSE,IF(ISERROR('Model inputs'!H186&gt;=9),'Model inputs'!H186&gt;=9,IF('Model inputs'!H186="","",'Model inputs'!H186&gt;=9))),IF('Model inputs'!AJ56="","",'Model inputs'!AJ56),0))))</f>
        <v>0</v>
      </c>
      <c r="I447" s="8">
        <f>IF(IF(IF(ISERROR('Model inputs'!I186&gt;=24),'Model inputs'!I186&gt;=24,IF('Model inputs'!I186="","",'Model inputs'!I186&gt;=24))="",FALSE,IF(ISERROR('Model inputs'!I186&gt;=24),'Model inputs'!I186&gt;=24,IF('Model inputs'!I186="","",'Model inputs'!I186&gt;=24))),IF('Model inputs'!AJ55="","",'Model inputs'!AJ55),IF(IF(IF(ISERROR('Model inputs'!I186&gt;=18),'Model inputs'!I186&gt;=18,IF('Model inputs'!I186="","",'Model inputs'!I186&gt;=18))="",FALSE,IF(ISERROR('Model inputs'!I186&gt;=18),'Model inputs'!I186&gt;=18,IF('Model inputs'!I186="","",'Model inputs'!I186&gt;=18))),IF('Model inputs'!AJ54="","",'Model inputs'!AJ54),IF(IF(IF(ISERROR('Model inputs'!I186&gt;=12),'Model inputs'!I186&gt;=12,IF('Model inputs'!I186="","",'Model inputs'!I186&gt;=12))="",FALSE,IF(ISERROR('Model inputs'!I186&gt;=12),'Model inputs'!I186&gt;=12,IF('Model inputs'!I186="","",'Model inputs'!I186&gt;=12))),IF('Model inputs'!AJ53="","",'Model inputs'!AJ53),IF(IF(IF(ISERROR('Model inputs'!I186&gt;=9),'Model inputs'!I186&gt;=9,IF('Model inputs'!I186="","",'Model inputs'!I186&gt;=9))="",FALSE,IF(ISERROR('Model inputs'!I186&gt;=9),'Model inputs'!I186&gt;=9,IF('Model inputs'!I186="","",'Model inputs'!I186&gt;=9))),IF('Model inputs'!AJ56="","",'Model inputs'!AJ56),0))))</f>
        <v>0</v>
      </c>
      <c r="J447" s="8">
        <f>IF(IF(IF(ISERROR('Model inputs'!J186&gt;=24),'Model inputs'!J186&gt;=24,IF('Model inputs'!J186="","",'Model inputs'!J186&gt;=24))="",FALSE,IF(ISERROR('Model inputs'!J186&gt;=24),'Model inputs'!J186&gt;=24,IF('Model inputs'!J186="","",'Model inputs'!J186&gt;=24))),IF('Model inputs'!AJ55="","",'Model inputs'!AJ55),IF(IF(IF(ISERROR('Model inputs'!J186&gt;=18),'Model inputs'!J186&gt;=18,IF('Model inputs'!J186="","",'Model inputs'!J186&gt;=18))="",FALSE,IF(ISERROR('Model inputs'!J186&gt;=18),'Model inputs'!J186&gt;=18,IF('Model inputs'!J186="","",'Model inputs'!J186&gt;=18))),IF('Model inputs'!AJ54="","",'Model inputs'!AJ54),IF(IF(IF(ISERROR('Model inputs'!J186&gt;=12),'Model inputs'!J186&gt;=12,IF('Model inputs'!J186="","",'Model inputs'!J186&gt;=12))="",FALSE,IF(ISERROR('Model inputs'!J186&gt;=12),'Model inputs'!J186&gt;=12,IF('Model inputs'!J186="","",'Model inputs'!J186&gt;=12))),IF('Model inputs'!AJ53="","",'Model inputs'!AJ53),IF(IF(IF(ISERROR('Model inputs'!J186&gt;=9),'Model inputs'!J186&gt;=9,IF('Model inputs'!J186="","",'Model inputs'!J186&gt;=9))="",FALSE,IF(ISERROR('Model inputs'!J186&gt;=9),'Model inputs'!J186&gt;=9,IF('Model inputs'!J186="","",'Model inputs'!J186&gt;=9))),IF('Model inputs'!AJ56="","",'Model inputs'!AJ56),0))))</f>
        <v>0</v>
      </c>
      <c r="K447" s="8">
        <f>IF(IF(IF(ISERROR('Model inputs'!K186&gt;=24),'Model inputs'!K186&gt;=24,IF('Model inputs'!K186="","",'Model inputs'!K186&gt;=24))="",FALSE,IF(ISERROR('Model inputs'!K186&gt;=24),'Model inputs'!K186&gt;=24,IF('Model inputs'!K186="","",'Model inputs'!K186&gt;=24))),IF('Model inputs'!AJ55="","",'Model inputs'!AJ55),IF(IF(IF(ISERROR('Model inputs'!K186&gt;=18),'Model inputs'!K186&gt;=18,IF('Model inputs'!K186="","",'Model inputs'!K186&gt;=18))="",FALSE,IF(ISERROR('Model inputs'!K186&gt;=18),'Model inputs'!K186&gt;=18,IF('Model inputs'!K186="","",'Model inputs'!K186&gt;=18))),IF('Model inputs'!AJ54="","",'Model inputs'!AJ54),IF(IF(IF(ISERROR('Model inputs'!K186&gt;=12),'Model inputs'!K186&gt;=12,IF('Model inputs'!K186="","",'Model inputs'!K186&gt;=12))="",FALSE,IF(ISERROR('Model inputs'!K186&gt;=12),'Model inputs'!K186&gt;=12,IF('Model inputs'!K186="","",'Model inputs'!K186&gt;=12))),IF('Model inputs'!AJ53="","",'Model inputs'!AJ53),IF(IF(IF(ISERROR('Model inputs'!K186&gt;=9),'Model inputs'!K186&gt;=9,IF('Model inputs'!K186="","",'Model inputs'!K186&gt;=9))="",FALSE,IF(ISERROR('Model inputs'!K186&gt;=9),'Model inputs'!K186&gt;=9,IF('Model inputs'!K186="","",'Model inputs'!K186&gt;=9))),IF('Model inputs'!AJ56="","",'Model inputs'!AJ56),0))))</f>
        <v>0</v>
      </c>
      <c r="L447" s="8">
        <f>IF(IF(IF(ISERROR('Model inputs'!L186&gt;=24),'Model inputs'!L186&gt;=24,IF('Model inputs'!L186="","",'Model inputs'!L186&gt;=24))="",FALSE,IF(ISERROR('Model inputs'!L186&gt;=24),'Model inputs'!L186&gt;=24,IF('Model inputs'!L186="","",'Model inputs'!L186&gt;=24))),IF('Model inputs'!AJ55="","",'Model inputs'!AJ55),IF(IF(IF(ISERROR('Model inputs'!L186&gt;=18),'Model inputs'!L186&gt;=18,IF('Model inputs'!L186="","",'Model inputs'!L186&gt;=18))="",FALSE,IF(ISERROR('Model inputs'!L186&gt;=18),'Model inputs'!L186&gt;=18,IF('Model inputs'!L186="","",'Model inputs'!L186&gt;=18))),IF('Model inputs'!AJ54="","",'Model inputs'!AJ54),IF(IF(IF(ISERROR('Model inputs'!L186&gt;=12),'Model inputs'!L186&gt;=12,IF('Model inputs'!L186="","",'Model inputs'!L186&gt;=12))="",FALSE,IF(ISERROR('Model inputs'!L186&gt;=12),'Model inputs'!L186&gt;=12,IF('Model inputs'!L186="","",'Model inputs'!L186&gt;=12))),IF('Model inputs'!AJ53="","",'Model inputs'!AJ53),IF(IF(IF(ISERROR('Model inputs'!L186&gt;=9),'Model inputs'!L186&gt;=9,IF('Model inputs'!L186="","",'Model inputs'!L186&gt;=9))="",FALSE,IF(ISERROR('Model inputs'!L186&gt;=9),'Model inputs'!L186&gt;=9,IF('Model inputs'!L186="","",'Model inputs'!L186&gt;=9))),IF('Model inputs'!AJ56="","",'Model inputs'!AJ56),0))))</f>
        <v>0</v>
      </c>
      <c r="M447" s="8">
        <f>IF(IF(IF(ISERROR('Model inputs'!M186&gt;=24),'Model inputs'!M186&gt;=24,IF('Model inputs'!M186="","",'Model inputs'!M186&gt;=24))="",FALSE,IF(ISERROR('Model inputs'!M186&gt;=24),'Model inputs'!M186&gt;=24,IF('Model inputs'!M186="","",'Model inputs'!M186&gt;=24))),IF('Model inputs'!AJ55="","",'Model inputs'!AJ55),IF(IF(IF(ISERROR('Model inputs'!M186&gt;=18),'Model inputs'!M186&gt;=18,IF('Model inputs'!M186="","",'Model inputs'!M186&gt;=18))="",FALSE,IF(ISERROR('Model inputs'!M186&gt;=18),'Model inputs'!M186&gt;=18,IF('Model inputs'!M186="","",'Model inputs'!M186&gt;=18))),IF('Model inputs'!AJ54="","",'Model inputs'!AJ54),IF(IF(IF(ISERROR('Model inputs'!M186&gt;=12),'Model inputs'!M186&gt;=12,IF('Model inputs'!M186="","",'Model inputs'!M186&gt;=12))="",FALSE,IF(ISERROR('Model inputs'!M186&gt;=12),'Model inputs'!M186&gt;=12,IF('Model inputs'!M186="","",'Model inputs'!M186&gt;=12))),IF('Model inputs'!AJ53="","",'Model inputs'!AJ53),IF(IF(IF(ISERROR('Model inputs'!M186&gt;=9),'Model inputs'!M186&gt;=9,IF('Model inputs'!M186="","",'Model inputs'!M186&gt;=9))="",FALSE,IF(ISERROR('Model inputs'!M186&gt;=9),'Model inputs'!M186&gt;=9,IF('Model inputs'!M186="","",'Model inputs'!M186&gt;=9))),IF('Model inputs'!AJ56="","",'Model inputs'!AJ56),0))))</f>
        <v>0</v>
      </c>
      <c r="N447" s="8">
        <f>IF(IF(IF(ISERROR('Model inputs'!N186&gt;=24),'Model inputs'!N186&gt;=24,IF('Model inputs'!N186="","",'Model inputs'!N186&gt;=24))="",FALSE,IF(ISERROR('Model inputs'!N186&gt;=24),'Model inputs'!N186&gt;=24,IF('Model inputs'!N186="","",'Model inputs'!N186&gt;=24))),IF('Model inputs'!AJ55="","",'Model inputs'!AJ55),IF(IF(IF(ISERROR('Model inputs'!N186&gt;=18),'Model inputs'!N186&gt;=18,IF('Model inputs'!N186="","",'Model inputs'!N186&gt;=18))="",FALSE,IF(ISERROR('Model inputs'!N186&gt;=18),'Model inputs'!N186&gt;=18,IF('Model inputs'!N186="","",'Model inputs'!N186&gt;=18))),IF('Model inputs'!AJ54="","",'Model inputs'!AJ54),IF(IF(IF(ISERROR('Model inputs'!N186&gt;=12),'Model inputs'!N186&gt;=12,IF('Model inputs'!N186="","",'Model inputs'!N186&gt;=12))="",FALSE,IF(ISERROR('Model inputs'!N186&gt;=12),'Model inputs'!N186&gt;=12,IF('Model inputs'!N186="","",'Model inputs'!N186&gt;=12))),IF('Model inputs'!AJ53="","",'Model inputs'!AJ53),IF(IF(IF(ISERROR('Model inputs'!N186&gt;=9),'Model inputs'!N186&gt;=9,IF('Model inputs'!N186="","",'Model inputs'!N186&gt;=9))="",FALSE,IF(ISERROR('Model inputs'!N186&gt;=9),'Model inputs'!N186&gt;=9,IF('Model inputs'!N186="","",'Model inputs'!N186&gt;=9))),IF('Model inputs'!AJ56="","",'Model inputs'!AJ56),0))))</f>
        <v>0</v>
      </c>
      <c r="O447" s="8">
        <f>IF(IF(IF(ISERROR('Model inputs'!O186&gt;=24),'Model inputs'!O186&gt;=24,IF('Model inputs'!O186="","",'Model inputs'!O186&gt;=24))="",FALSE,IF(ISERROR('Model inputs'!O186&gt;=24),'Model inputs'!O186&gt;=24,IF('Model inputs'!O186="","",'Model inputs'!O186&gt;=24))),IF('Model inputs'!AJ55="","",'Model inputs'!AJ55),IF(IF(IF(ISERROR('Model inputs'!O186&gt;=18),'Model inputs'!O186&gt;=18,IF('Model inputs'!O186="","",'Model inputs'!O186&gt;=18))="",FALSE,IF(ISERROR('Model inputs'!O186&gt;=18),'Model inputs'!O186&gt;=18,IF('Model inputs'!O186="","",'Model inputs'!O186&gt;=18))),IF('Model inputs'!AJ54="","",'Model inputs'!AJ54),IF(IF(IF(ISERROR('Model inputs'!O186&gt;=12),'Model inputs'!O186&gt;=12,IF('Model inputs'!O186="","",'Model inputs'!O186&gt;=12))="",FALSE,IF(ISERROR('Model inputs'!O186&gt;=12),'Model inputs'!O186&gt;=12,IF('Model inputs'!O186="","",'Model inputs'!O186&gt;=12))),IF('Model inputs'!AJ53="","",'Model inputs'!AJ53),IF(IF(IF(ISERROR('Model inputs'!O186&gt;=9),'Model inputs'!O186&gt;=9,IF('Model inputs'!O186="","",'Model inputs'!O186&gt;=9))="",FALSE,IF(ISERROR('Model inputs'!O186&gt;=9),'Model inputs'!O186&gt;=9,IF('Model inputs'!O186="","",'Model inputs'!O186&gt;=9))),IF('Model inputs'!AJ56="","",'Model inputs'!AJ56),0))))</f>
        <v>0</v>
      </c>
      <c r="P447" s="8">
        <f>IF(IF(IF(ISERROR('Model inputs'!P186&gt;=24),'Model inputs'!P186&gt;=24,IF('Model inputs'!P186="","",'Model inputs'!P186&gt;=24))="",FALSE,IF(ISERROR('Model inputs'!P186&gt;=24),'Model inputs'!P186&gt;=24,IF('Model inputs'!P186="","",'Model inputs'!P186&gt;=24))),IF('Model inputs'!AJ55="","",'Model inputs'!AJ55),IF(IF(IF(ISERROR('Model inputs'!P186&gt;=18),'Model inputs'!P186&gt;=18,IF('Model inputs'!P186="","",'Model inputs'!P186&gt;=18))="",FALSE,IF(ISERROR('Model inputs'!P186&gt;=18),'Model inputs'!P186&gt;=18,IF('Model inputs'!P186="","",'Model inputs'!P186&gt;=18))),IF('Model inputs'!AJ54="","",'Model inputs'!AJ54),IF(IF(IF(ISERROR('Model inputs'!P186&gt;=12),'Model inputs'!P186&gt;=12,IF('Model inputs'!P186="","",'Model inputs'!P186&gt;=12))="",FALSE,IF(ISERROR('Model inputs'!P186&gt;=12),'Model inputs'!P186&gt;=12,IF('Model inputs'!P186="","",'Model inputs'!P186&gt;=12))),IF('Model inputs'!AJ53="","",'Model inputs'!AJ53),IF(IF(IF(ISERROR('Model inputs'!P186&gt;=9),'Model inputs'!P186&gt;=9,IF('Model inputs'!P186="","",'Model inputs'!P186&gt;=9))="",FALSE,IF(ISERROR('Model inputs'!P186&gt;=9),'Model inputs'!P186&gt;=9,IF('Model inputs'!P186="","",'Model inputs'!P186&gt;=9))),IF('Model inputs'!AJ56="","",'Model inputs'!AJ56),0))))</f>
        <v>0</v>
      </c>
      <c r="Q447" s="8">
        <f>IF(IF(IF(ISERROR('Model inputs'!Q186&gt;=24),'Model inputs'!Q186&gt;=24,IF('Model inputs'!Q186="","",'Model inputs'!Q186&gt;=24))="",FALSE,IF(ISERROR('Model inputs'!Q186&gt;=24),'Model inputs'!Q186&gt;=24,IF('Model inputs'!Q186="","",'Model inputs'!Q186&gt;=24))),IF('Model inputs'!AJ55="","",'Model inputs'!AJ55),IF(IF(IF(ISERROR('Model inputs'!Q186&gt;=18),'Model inputs'!Q186&gt;=18,IF('Model inputs'!Q186="","",'Model inputs'!Q186&gt;=18))="",FALSE,IF(ISERROR('Model inputs'!Q186&gt;=18),'Model inputs'!Q186&gt;=18,IF('Model inputs'!Q186="","",'Model inputs'!Q186&gt;=18))),IF('Model inputs'!AJ54="","",'Model inputs'!AJ54),IF(IF(IF(ISERROR('Model inputs'!Q186&gt;=12),'Model inputs'!Q186&gt;=12,IF('Model inputs'!Q186="","",'Model inputs'!Q186&gt;=12))="",FALSE,IF(ISERROR('Model inputs'!Q186&gt;=12),'Model inputs'!Q186&gt;=12,IF('Model inputs'!Q186="","",'Model inputs'!Q186&gt;=12))),IF('Model inputs'!AJ53="","",'Model inputs'!AJ53),IF(IF(IF(ISERROR('Model inputs'!Q186&gt;=9),'Model inputs'!Q186&gt;=9,IF('Model inputs'!Q186="","",'Model inputs'!Q186&gt;=9))="",FALSE,IF(ISERROR('Model inputs'!Q186&gt;=9),'Model inputs'!Q186&gt;=9,IF('Model inputs'!Q186="","",'Model inputs'!Q186&gt;=9))),IF('Model inputs'!AJ56="","",'Model inputs'!AJ56),0))))</f>
        <v>0</v>
      </c>
      <c r="R447" s="8">
        <f>IF(IF(IF(ISERROR('Model inputs'!R186&gt;=24),'Model inputs'!R186&gt;=24,IF('Model inputs'!R186="","",'Model inputs'!R186&gt;=24))="",FALSE,IF(ISERROR('Model inputs'!R186&gt;=24),'Model inputs'!R186&gt;=24,IF('Model inputs'!R186="","",'Model inputs'!R186&gt;=24))),IF('Model inputs'!AJ55="","",'Model inputs'!AJ55),IF(IF(IF(ISERROR('Model inputs'!R186&gt;=18),'Model inputs'!R186&gt;=18,IF('Model inputs'!R186="","",'Model inputs'!R186&gt;=18))="",FALSE,IF(ISERROR('Model inputs'!R186&gt;=18),'Model inputs'!R186&gt;=18,IF('Model inputs'!R186="","",'Model inputs'!R186&gt;=18))),IF('Model inputs'!AJ54="","",'Model inputs'!AJ54),IF(IF(IF(ISERROR('Model inputs'!R186&gt;=12),'Model inputs'!R186&gt;=12,IF('Model inputs'!R186="","",'Model inputs'!R186&gt;=12))="",FALSE,IF(ISERROR('Model inputs'!R186&gt;=12),'Model inputs'!R186&gt;=12,IF('Model inputs'!R186="","",'Model inputs'!R186&gt;=12))),IF('Model inputs'!AJ53="","",'Model inputs'!AJ53),IF(IF(IF(ISERROR('Model inputs'!R186&gt;=9),'Model inputs'!R186&gt;=9,IF('Model inputs'!R186="","",'Model inputs'!R186&gt;=9))="",FALSE,IF(ISERROR('Model inputs'!R186&gt;=9),'Model inputs'!R186&gt;=9,IF('Model inputs'!R186="","",'Model inputs'!R186&gt;=9))),IF('Model inputs'!AJ56="","",'Model inputs'!AJ56),0))))</f>
        <v>0</v>
      </c>
      <c r="S447" s="8">
        <f>IF(IF(IF(ISERROR('Model inputs'!S186&gt;=24),'Model inputs'!S186&gt;=24,IF('Model inputs'!S186="","",'Model inputs'!S186&gt;=24))="",FALSE,IF(ISERROR('Model inputs'!S186&gt;=24),'Model inputs'!S186&gt;=24,IF('Model inputs'!S186="","",'Model inputs'!S186&gt;=24))),IF('Model inputs'!AJ55="","",'Model inputs'!AJ55),IF(IF(IF(ISERROR('Model inputs'!S186&gt;=18),'Model inputs'!S186&gt;=18,IF('Model inputs'!S186="","",'Model inputs'!S186&gt;=18))="",FALSE,IF(ISERROR('Model inputs'!S186&gt;=18),'Model inputs'!S186&gt;=18,IF('Model inputs'!S186="","",'Model inputs'!S186&gt;=18))),IF('Model inputs'!AJ54="","",'Model inputs'!AJ54),IF(IF(IF(ISERROR('Model inputs'!S186&gt;=12),'Model inputs'!S186&gt;=12,IF('Model inputs'!S186="","",'Model inputs'!S186&gt;=12))="",FALSE,IF(ISERROR('Model inputs'!S186&gt;=12),'Model inputs'!S186&gt;=12,IF('Model inputs'!S186="","",'Model inputs'!S186&gt;=12))),IF('Model inputs'!AJ53="","",'Model inputs'!AJ53),IF(IF(IF(ISERROR('Model inputs'!S186&gt;=9),'Model inputs'!S186&gt;=9,IF('Model inputs'!S186="","",'Model inputs'!S186&gt;=9))="",FALSE,IF(ISERROR('Model inputs'!S186&gt;=9),'Model inputs'!S186&gt;=9,IF('Model inputs'!S186="","",'Model inputs'!S186&gt;=9))),IF('Model inputs'!AJ56="","",'Model inputs'!AJ56),0))))</f>
        <v>0</v>
      </c>
      <c r="T447" s="8">
        <f>IF(IF(IF(ISERROR('Model inputs'!T186&gt;=24),'Model inputs'!T186&gt;=24,IF('Model inputs'!T186="","",'Model inputs'!T186&gt;=24))="",FALSE,IF(ISERROR('Model inputs'!T186&gt;=24),'Model inputs'!T186&gt;=24,IF('Model inputs'!T186="","",'Model inputs'!T186&gt;=24))),IF('Model inputs'!AJ55="","",'Model inputs'!AJ55),IF(IF(IF(ISERROR('Model inputs'!T186&gt;=18),'Model inputs'!T186&gt;=18,IF('Model inputs'!T186="","",'Model inputs'!T186&gt;=18))="",FALSE,IF(ISERROR('Model inputs'!T186&gt;=18),'Model inputs'!T186&gt;=18,IF('Model inputs'!T186="","",'Model inputs'!T186&gt;=18))),IF('Model inputs'!AJ54="","",'Model inputs'!AJ54),IF(IF(IF(ISERROR('Model inputs'!T186&gt;=12),'Model inputs'!T186&gt;=12,IF('Model inputs'!T186="","",'Model inputs'!T186&gt;=12))="",FALSE,IF(ISERROR('Model inputs'!T186&gt;=12),'Model inputs'!T186&gt;=12,IF('Model inputs'!T186="","",'Model inputs'!T186&gt;=12))),IF('Model inputs'!AJ53="","",'Model inputs'!AJ53),IF(IF(IF(ISERROR('Model inputs'!T186&gt;=9),'Model inputs'!T186&gt;=9,IF('Model inputs'!T186="","",'Model inputs'!T186&gt;=9))="",FALSE,IF(ISERROR('Model inputs'!T186&gt;=9),'Model inputs'!T186&gt;=9,IF('Model inputs'!T186="","",'Model inputs'!T186&gt;=9))),IF('Model inputs'!AJ56="","",'Model inputs'!AJ56),0))))</f>
        <v>10000</v>
      </c>
      <c r="U447" s="8">
        <f>IF(IF(IF(ISERROR('Model inputs'!U186&gt;=24),'Model inputs'!U186&gt;=24,IF('Model inputs'!U186="","",'Model inputs'!U186&gt;=24))="",FALSE,IF(ISERROR('Model inputs'!U186&gt;=24),'Model inputs'!U186&gt;=24,IF('Model inputs'!U186="","",'Model inputs'!U186&gt;=24))),IF('Model inputs'!AJ55="","",'Model inputs'!AJ55),IF(IF(IF(ISERROR('Model inputs'!U186&gt;=18),'Model inputs'!U186&gt;=18,IF('Model inputs'!U186="","",'Model inputs'!U186&gt;=18))="",FALSE,IF(ISERROR('Model inputs'!U186&gt;=18),'Model inputs'!U186&gt;=18,IF('Model inputs'!U186="","",'Model inputs'!U186&gt;=18))),IF('Model inputs'!AJ54="","",'Model inputs'!AJ54),IF(IF(IF(ISERROR('Model inputs'!U186&gt;=12),'Model inputs'!U186&gt;=12,IF('Model inputs'!U186="","",'Model inputs'!U186&gt;=12))="",FALSE,IF(ISERROR('Model inputs'!U186&gt;=12),'Model inputs'!U186&gt;=12,IF('Model inputs'!U186="","",'Model inputs'!U186&gt;=12))),IF('Model inputs'!AJ53="","",'Model inputs'!AJ53),IF(IF(IF(ISERROR('Model inputs'!U186&gt;=9),'Model inputs'!U186&gt;=9,IF('Model inputs'!U186="","",'Model inputs'!U186&gt;=9))="",FALSE,IF(ISERROR('Model inputs'!U186&gt;=9),'Model inputs'!U186&gt;=9,IF('Model inputs'!U186="","",'Model inputs'!U186&gt;=9))),IF('Model inputs'!AJ56="","",'Model inputs'!AJ56),0))))</f>
        <v>10000</v>
      </c>
      <c r="V447" s="8">
        <f>IF(IF(IF(ISERROR('Model inputs'!V186&gt;=24),'Model inputs'!V186&gt;=24,IF('Model inputs'!V186="","",'Model inputs'!V186&gt;=24))="",FALSE,IF(ISERROR('Model inputs'!V186&gt;=24),'Model inputs'!V186&gt;=24,IF('Model inputs'!V186="","",'Model inputs'!V186&gt;=24))),IF('Model inputs'!AJ55="","",'Model inputs'!AJ55),IF(IF(IF(ISERROR('Model inputs'!V186&gt;=18),'Model inputs'!V186&gt;=18,IF('Model inputs'!V186="","",'Model inputs'!V186&gt;=18))="",FALSE,IF(ISERROR('Model inputs'!V186&gt;=18),'Model inputs'!V186&gt;=18,IF('Model inputs'!V186="","",'Model inputs'!V186&gt;=18))),IF('Model inputs'!AJ54="","",'Model inputs'!AJ54),IF(IF(IF(ISERROR('Model inputs'!V186&gt;=12),'Model inputs'!V186&gt;=12,IF('Model inputs'!V186="","",'Model inputs'!V186&gt;=12))="",FALSE,IF(ISERROR('Model inputs'!V186&gt;=12),'Model inputs'!V186&gt;=12,IF('Model inputs'!V186="","",'Model inputs'!V186&gt;=12))),IF('Model inputs'!AJ53="","",'Model inputs'!AJ53),IF(IF(IF(ISERROR('Model inputs'!V186&gt;=9),'Model inputs'!V186&gt;=9,IF('Model inputs'!V186="","",'Model inputs'!V186&gt;=9))="",FALSE,IF(ISERROR('Model inputs'!V186&gt;=9),'Model inputs'!V186&gt;=9,IF('Model inputs'!V186="","",'Model inputs'!V186&gt;=9))),IF('Model inputs'!AJ56="","",'Model inputs'!AJ56),0))))</f>
        <v>10000</v>
      </c>
      <c r="W447" s="8">
        <f>IF(IF(IF(ISERROR('Model inputs'!W186&gt;=24),'Model inputs'!W186&gt;=24,IF('Model inputs'!W186="","",'Model inputs'!W186&gt;=24))="",FALSE,IF(ISERROR('Model inputs'!W186&gt;=24),'Model inputs'!W186&gt;=24,IF('Model inputs'!W186="","",'Model inputs'!W186&gt;=24))),IF('Model inputs'!AJ55="","",'Model inputs'!AJ55),IF(IF(IF(ISERROR('Model inputs'!W186&gt;=18),'Model inputs'!W186&gt;=18,IF('Model inputs'!W186="","",'Model inputs'!W186&gt;=18))="",FALSE,IF(ISERROR('Model inputs'!W186&gt;=18),'Model inputs'!W186&gt;=18,IF('Model inputs'!W186="","",'Model inputs'!W186&gt;=18))),IF('Model inputs'!AJ54="","",'Model inputs'!AJ54),IF(IF(IF(ISERROR('Model inputs'!W186&gt;=12),'Model inputs'!W186&gt;=12,IF('Model inputs'!W186="","",'Model inputs'!W186&gt;=12))="",FALSE,IF(ISERROR('Model inputs'!W186&gt;=12),'Model inputs'!W186&gt;=12,IF('Model inputs'!W186="","",'Model inputs'!W186&gt;=12))),IF('Model inputs'!AJ53="","",'Model inputs'!AJ53),IF(IF(IF(ISERROR('Model inputs'!W186&gt;=9),'Model inputs'!W186&gt;=9,IF('Model inputs'!W186="","",'Model inputs'!W186&gt;=9))="",FALSE,IF(ISERROR('Model inputs'!W186&gt;=9),'Model inputs'!W186&gt;=9,IF('Model inputs'!W186="","",'Model inputs'!W186&gt;=9))),IF('Model inputs'!AJ56="","",'Model inputs'!AJ56),0))))</f>
        <v>20000</v>
      </c>
      <c r="X447" s="8">
        <f>IF(IF(IF(ISERROR('Model inputs'!X186&gt;=24),'Model inputs'!X186&gt;=24,IF('Model inputs'!X186="","",'Model inputs'!X186&gt;=24))="",FALSE,IF(ISERROR('Model inputs'!X186&gt;=24),'Model inputs'!X186&gt;=24,IF('Model inputs'!X186="","",'Model inputs'!X186&gt;=24))),IF('Model inputs'!AJ55="","",'Model inputs'!AJ55),IF(IF(IF(ISERROR('Model inputs'!X186&gt;=18),'Model inputs'!X186&gt;=18,IF('Model inputs'!X186="","",'Model inputs'!X186&gt;=18))="",FALSE,IF(ISERROR('Model inputs'!X186&gt;=18),'Model inputs'!X186&gt;=18,IF('Model inputs'!X186="","",'Model inputs'!X186&gt;=18))),IF('Model inputs'!AJ54="","",'Model inputs'!AJ54),IF(IF(IF(ISERROR('Model inputs'!X186&gt;=12),'Model inputs'!X186&gt;=12,IF('Model inputs'!X186="","",'Model inputs'!X186&gt;=12))="",FALSE,IF(ISERROR('Model inputs'!X186&gt;=12),'Model inputs'!X186&gt;=12,IF('Model inputs'!X186="","",'Model inputs'!X186&gt;=12))),IF('Model inputs'!AJ53="","",'Model inputs'!AJ53),IF(IF(IF(ISERROR('Model inputs'!X186&gt;=9),'Model inputs'!X186&gt;=9,IF('Model inputs'!X186="","",'Model inputs'!X186&gt;=9))="",FALSE,IF(ISERROR('Model inputs'!X186&gt;=9),'Model inputs'!X186&gt;=9,IF('Model inputs'!X186="","",'Model inputs'!X186&gt;=9))),IF('Model inputs'!AJ56="","",'Model inputs'!AJ56),0))))</f>
        <v>20000</v>
      </c>
      <c r="Y447" s="8">
        <f>IF(IF(IF(ISERROR('Model inputs'!Y186&gt;=24),'Model inputs'!Y186&gt;=24,IF('Model inputs'!Y186="","",'Model inputs'!Y186&gt;=24))="",FALSE,IF(ISERROR('Model inputs'!Y186&gt;=24),'Model inputs'!Y186&gt;=24,IF('Model inputs'!Y186="","",'Model inputs'!Y186&gt;=24))),IF('Model inputs'!AJ55="","",'Model inputs'!AJ55),IF(IF(IF(ISERROR('Model inputs'!Y186&gt;=18),'Model inputs'!Y186&gt;=18,IF('Model inputs'!Y186="","",'Model inputs'!Y186&gt;=18))="",FALSE,IF(ISERROR('Model inputs'!Y186&gt;=18),'Model inputs'!Y186&gt;=18,IF('Model inputs'!Y186="","",'Model inputs'!Y186&gt;=18))),IF('Model inputs'!AJ54="","",'Model inputs'!AJ54),IF(IF(IF(ISERROR('Model inputs'!Y186&gt;=12),'Model inputs'!Y186&gt;=12,IF('Model inputs'!Y186="","",'Model inputs'!Y186&gt;=12))="",FALSE,IF(ISERROR('Model inputs'!Y186&gt;=12),'Model inputs'!Y186&gt;=12,IF('Model inputs'!Y186="","",'Model inputs'!Y186&gt;=12))),IF('Model inputs'!AJ53="","",'Model inputs'!AJ53),IF(IF(IF(ISERROR('Model inputs'!Y186&gt;=9),'Model inputs'!Y186&gt;=9,IF('Model inputs'!Y186="","",'Model inputs'!Y186&gt;=9))="",FALSE,IF(ISERROR('Model inputs'!Y186&gt;=9),'Model inputs'!Y186&gt;=9,IF('Model inputs'!Y186="","",'Model inputs'!Y186&gt;=9))),IF('Model inputs'!AJ56="","",'Model inputs'!AJ56),0))))</f>
        <v>20000</v>
      </c>
      <c r="Z447" s="8">
        <f>IF(IF(IF(ISERROR('Model inputs'!Z186&gt;=24),'Model inputs'!Z186&gt;=24,IF('Model inputs'!Z186="","",'Model inputs'!Z186&gt;=24))="",FALSE,IF(ISERROR('Model inputs'!Z186&gt;=24),'Model inputs'!Z186&gt;=24,IF('Model inputs'!Z186="","",'Model inputs'!Z186&gt;=24))),IF('Model inputs'!AJ55="","",'Model inputs'!AJ55),IF(IF(IF(ISERROR('Model inputs'!Z186&gt;=18),'Model inputs'!Z186&gt;=18,IF('Model inputs'!Z186="","",'Model inputs'!Z186&gt;=18))="",FALSE,IF(ISERROR('Model inputs'!Z186&gt;=18),'Model inputs'!Z186&gt;=18,IF('Model inputs'!Z186="","",'Model inputs'!Z186&gt;=18))),IF('Model inputs'!AJ54="","",'Model inputs'!AJ54),IF(IF(IF(ISERROR('Model inputs'!Z186&gt;=12),'Model inputs'!Z186&gt;=12,IF('Model inputs'!Z186="","",'Model inputs'!Z186&gt;=12))="",FALSE,IF(ISERROR('Model inputs'!Z186&gt;=12),'Model inputs'!Z186&gt;=12,IF('Model inputs'!Z186="","",'Model inputs'!Z186&gt;=12))),IF('Model inputs'!AJ53="","",'Model inputs'!AJ53),IF(IF(IF(ISERROR('Model inputs'!Z186&gt;=9),'Model inputs'!Z186&gt;=9,IF('Model inputs'!Z186="","",'Model inputs'!Z186&gt;=9))="",FALSE,IF(ISERROR('Model inputs'!Z186&gt;=9),'Model inputs'!Z186&gt;=9,IF('Model inputs'!Z186="","",'Model inputs'!Z186&gt;=9))),IF('Model inputs'!AJ56="","",'Model inputs'!AJ56),0))))</f>
        <v>20000</v>
      </c>
      <c r="AA447" s="8">
        <f>IF(IF(IF(ISERROR('Model inputs'!AA186&gt;=24),'Model inputs'!AA186&gt;=24,IF('Model inputs'!AA186="","",'Model inputs'!AA186&gt;=24))="",FALSE,IF(ISERROR('Model inputs'!AA186&gt;=24),'Model inputs'!AA186&gt;=24,IF('Model inputs'!AA186="","",'Model inputs'!AA186&gt;=24))),IF('Model inputs'!AJ55="","",'Model inputs'!AJ55),IF(IF(IF(ISERROR('Model inputs'!AA186&gt;=18),'Model inputs'!AA186&gt;=18,IF('Model inputs'!AA186="","",'Model inputs'!AA186&gt;=18))="",FALSE,IF(ISERROR('Model inputs'!AA186&gt;=18),'Model inputs'!AA186&gt;=18,IF('Model inputs'!AA186="","",'Model inputs'!AA186&gt;=18))),IF('Model inputs'!AJ54="","",'Model inputs'!AJ54),IF(IF(IF(ISERROR('Model inputs'!AA186&gt;=12),'Model inputs'!AA186&gt;=12,IF('Model inputs'!AA186="","",'Model inputs'!AA186&gt;=12))="",FALSE,IF(ISERROR('Model inputs'!AA186&gt;=12),'Model inputs'!AA186&gt;=12,IF('Model inputs'!AA186="","",'Model inputs'!AA186&gt;=12))),IF('Model inputs'!AJ53="","",'Model inputs'!AJ53),IF(IF(IF(ISERROR('Model inputs'!AA186&gt;=9),'Model inputs'!AA186&gt;=9,IF('Model inputs'!AA186="","",'Model inputs'!AA186&gt;=9))="",FALSE,IF(ISERROR('Model inputs'!AA186&gt;=9),'Model inputs'!AA186&gt;=9,IF('Model inputs'!AA186="","",'Model inputs'!AA186&gt;=9))),IF('Model inputs'!AJ56="","",'Model inputs'!AJ56),0))))</f>
        <v>20000</v>
      </c>
      <c r="AB447" s="8">
        <f>IF(IF(IF(ISERROR('Model inputs'!AB186&gt;=24),'Model inputs'!AB186&gt;=24,IF('Model inputs'!AB186="","",'Model inputs'!AB186&gt;=24))="",FALSE,IF(ISERROR('Model inputs'!AB186&gt;=24),'Model inputs'!AB186&gt;=24,IF('Model inputs'!AB186="","",'Model inputs'!AB186&gt;=24))),IF('Model inputs'!AJ55="","",'Model inputs'!AJ55),IF(IF(IF(ISERROR('Model inputs'!AB186&gt;=18),'Model inputs'!AB186&gt;=18,IF('Model inputs'!AB186="","",'Model inputs'!AB186&gt;=18))="",FALSE,IF(ISERROR('Model inputs'!AB186&gt;=18),'Model inputs'!AB186&gt;=18,IF('Model inputs'!AB186="","",'Model inputs'!AB186&gt;=18))),IF('Model inputs'!AJ54="","",'Model inputs'!AJ54),IF(IF(IF(ISERROR('Model inputs'!AB186&gt;=12),'Model inputs'!AB186&gt;=12,IF('Model inputs'!AB186="","",'Model inputs'!AB186&gt;=12))="",FALSE,IF(ISERROR('Model inputs'!AB186&gt;=12),'Model inputs'!AB186&gt;=12,IF('Model inputs'!AB186="","",'Model inputs'!AB186&gt;=12))),IF('Model inputs'!AJ53="","",'Model inputs'!AJ53),IF(IF(IF(ISERROR('Model inputs'!AB186&gt;=9),'Model inputs'!AB186&gt;=9,IF('Model inputs'!AB186="","",'Model inputs'!AB186&gt;=9))="",FALSE,IF(ISERROR('Model inputs'!AB186&gt;=9),'Model inputs'!AB186&gt;=9,IF('Model inputs'!AB186="","",'Model inputs'!AB186&gt;=9))),IF('Model inputs'!AJ56="","",'Model inputs'!AJ56),0))))</f>
        <v>20000</v>
      </c>
      <c r="AC447" s="8">
        <f>IF(IF(IF(ISERROR('Model inputs'!AC186&gt;=24),'Model inputs'!AC186&gt;=24,IF('Model inputs'!AC186="","",'Model inputs'!AC186&gt;=24))="",FALSE,IF(ISERROR('Model inputs'!AC186&gt;=24),'Model inputs'!AC186&gt;=24,IF('Model inputs'!AC186="","",'Model inputs'!AC186&gt;=24))),IF('Model inputs'!AJ55="","",'Model inputs'!AJ55),IF(IF(IF(ISERROR('Model inputs'!AC186&gt;=18),'Model inputs'!AC186&gt;=18,IF('Model inputs'!AC186="","",'Model inputs'!AC186&gt;=18))="",FALSE,IF(ISERROR('Model inputs'!AC186&gt;=18),'Model inputs'!AC186&gt;=18,IF('Model inputs'!AC186="","",'Model inputs'!AC186&gt;=18))),IF('Model inputs'!AJ54="","",'Model inputs'!AJ54),IF(IF(IF(ISERROR('Model inputs'!AC186&gt;=12),'Model inputs'!AC186&gt;=12,IF('Model inputs'!AC186="","",'Model inputs'!AC186&gt;=12))="",FALSE,IF(ISERROR('Model inputs'!AC186&gt;=12),'Model inputs'!AC186&gt;=12,IF('Model inputs'!AC186="","",'Model inputs'!AC186&gt;=12))),IF('Model inputs'!AJ53="","",'Model inputs'!AJ53),IF(IF(IF(ISERROR('Model inputs'!AC186&gt;=9),'Model inputs'!AC186&gt;=9,IF('Model inputs'!AC186="","",'Model inputs'!AC186&gt;=9))="",FALSE,IF(ISERROR('Model inputs'!AC186&gt;=9),'Model inputs'!AC186&gt;=9,IF('Model inputs'!AC186="","",'Model inputs'!AC186&gt;=9))),IF('Model inputs'!AJ56="","",'Model inputs'!AJ56),0))))</f>
        <v>35000</v>
      </c>
      <c r="AD447" s="8">
        <f>IF(IF(IF(ISERROR('Model inputs'!AD186&gt;=24),'Model inputs'!AD186&gt;=24,IF('Model inputs'!AD186="","",'Model inputs'!AD186&gt;=24))="",FALSE,IF(ISERROR('Model inputs'!AD186&gt;=24),'Model inputs'!AD186&gt;=24,IF('Model inputs'!AD186="","",'Model inputs'!AD186&gt;=24))),IF('Model inputs'!AJ55="","",'Model inputs'!AJ55),IF(IF(IF(ISERROR('Model inputs'!AD186&gt;=18),'Model inputs'!AD186&gt;=18,IF('Model inputs'!AD186="","",'Model inputs'!AD186&gt;=18))="",FALSE,IF(ISERROR('Model inputs'!AD186&gt;=18),'Model inputs'!AD186&gt;=18,IF('Model inputs'!AD186="","",'Model inputs'!AD186&gt;=18))),IF('Model inputs'!AJ54="","",'Model inputs'!AJ54),IF(IF(IF(ISERROR('Model inputs'!AD186&gt;=12),'Model inputs'!AD186&gt;=12,IF('Model inputs'!AD186="","",'Model inputs'!AD186&gt;=12))="",FALSE,IF(ISERROR('Model inputs'!AD186&gt;=12),'Model inputs'!AD186&gt;=12,IF('Model inputs'!AD186="","",'Model inputs'!AD186&gt;=12))),IF('Model inputs'!AJ53="","",'Model inputs'!AJ53),IF(IF(IF(ISERROR('Model inputs'!AD186&gt;=9),'Model inputs'!AD186&gt;=9,IF('Model inputs'!AD186="","",'Model inputs'!AD186&gt;=9))="",FALSE,IF(ISERROR('Model inputs'!AD186&gt;=9),'Model inputs'!AD186&gt;=9,IF('Model inputs'!AD186="","",'Model inputs'!AD186&gt;=9))),IF('Model inputs'!AJ56="","",'Model inputs'!AJ56),0))))</f>
        <v>35000</v>
      </c>
      <c r="AE447" s="8">
        <f>IF(IF(IF(ISERROR('Model inputs'!AE186&gt;=24),'Model inputs'!AE186&gt;=24,IF('Model inputs'!AE186="","",'Model inputs'!AE186&gt;=24))="",FALSE,IF(ISERROR('Model inputs'!AE186&gt;=24),'Model inputs'!AE186&gt;=24,IF('Model inputs'!AE186="","",'Model inputs'!AE186&gt;=24))),IF('Model inputs'!AJ55="","",'Model inputs'!AJ55),IF(IF(IF(ISERROR('Model inputs'!AE186&gt;=18),'Model inputs'!AE186&gt;=18,IF('Model inputs'!AE186="","",'Model inputs'!AE186&gt;=18))="",FALSE,IF(ISERROR('Model inputs'!AE186&gt;=18),'Model inputs'!AE186&gt;=18,IF('Model inputs'!AE186="","",'Model inputs'!AE186&gt;=18))),IF('Model inputs'!AJ54="","",'Model inputs'!AJ54),IF(IF(IF(ISERROR('Model inputs'!AE186&gt;=12),'Model inputs'!AE186&gt;=12,IF('Model inputs'!AE186="","",'Model inputs'!AE186&gt;=12))="",FALSE,IF(ISERROR('Model inputs'!AE186&gt;=12),'Model inputs'!AE186&gt;=12,IF('Model inputs'!AE186="","",'Model inputs'!AE186&gt;=12))),IF('Model inputs'!AJ53="","",'Model inputs'!AJ53),IF(IF(IF(ISERROR('Model inputs'!AE186&gt;=9),'Model inputs'!AE186&gt;=9,IF('Model inputs'!AE186="","",'Model inputs'!AE186&gt;=9))="",FALSE,IF(ISERROR('Model inputs'!AE186&gt;=9),'Model inputs'!AE186&gt;=9,IF('Model inputs'!AE186="","",'Model inputs'!AE186&gt;=9))),IF('Model inputs'!AJ56="","",'Model inputs'!AJ56),0))))</f>
        <v>35000</v>
      </c>
      <c r="AF447" s="8">
        <f>IF(IF(IF(ISERROR('Model inputs'!AF186&gt;=24),'Model inputs'!AF186&gt;=24,IF('Model inputs'!AF186="","",'Model inputs'!AF186&gt;=24))="",FALSE,IF(ISERROR('Model inputs'!AF186&gt;=24),'Model inputs'!AF186&gt;=24,IF('Model inputs'!AF186="","",'Model inputs'!AF186&gt;=24))),IF('Model inputs'!AJ55="","",'Model inputs'!AJ55),IF(IF(IF(ISERROR('Model inputs'!AF186&gt;=18),'Model inputs'!AF186&gt;=18,IF('Model inputs'!AF186="","",'Model inputs'!AF186&gt;=18))="",FALSE,IF(ISERROR('Model inputs'!AF186&gt;=18),'Model inputs'!AF186&gt;=18,IF('Model inputs'!AF186="","",'Model inputs'!AF186&gt;=18))),IF('Model inputs'!AJ54="","",'Model inputs'!AJ54),IF(IF(IF(ISERROR('Model inputs'!AF186&gt;=12),'Model inputs'!AF186&gt;=12,IF('Model inputs'!AF186="","",'Model inputs'!AF186&gt;=12))="",FALSE,IF(ISERROR('Model inputs'!AF186&gt;=12),'Model inputs'!AF186&gt;=12,IF('Model inputs'!AF186="","",'Model inputs'!AF186&gt;=12))),IF('Model inputs'!AJ53="","",'Model inputs'!AJ53),IF(IF(IF(ISERROR('Model inputs'!AF186&gt;=9),'Model inputs'!AF186&gt;=9,IF('Model inputs'!AF186="","",'Model inputs'!AF186&gt;=9))="",FALSE,IF(ISERROR('Model inputs'!AF186&gt;=9),'Model inputs'!AF186&gt;=9,IF('Model inputs'!AF186="","",'Model inputs'!AF186&gt;=9))),IF('Model inputs'!AJ56="","",'Model inputs'!AJ56),0))))</f>
        <v>35000</v>
      </c>
      <c r="AG447" s="8">
        <f>IF(IF(IF(ISERROR('Model inputs'!AG186&gt;=24),'Model inputs'!AG186&gt;=24,IF('Model inputs'!AG186="","",'Model inputs'!AG186&gt;=24))="",FALSE,IF(ISERROR('Model inputs'!AG186&gt;=24),'Model inputs'!AG186&gt;=24,IF('Model inputs'!AG186="","",'Model inputs'!AG186&gt;=24))),IF('Model inputs'!AJ55="","",'Model inputs'!AJ55),IF(IF(IF(ISERROR('Model inputs'!AG186&gt;=18),'Model inputs'!AG186&gt;=18,IF('Model inputs'!AG186="","",'Model inputs'!AG186&gt;=18))="",FALSE,IF(ISERROR('Model inputs'!AG186&gt;=18),'Model inputs'!AG186&gt;=18,IF('Model inputs'!AG186="","",'Model inputs'!AG186&gt;=18))),IF('Model inputs'!AJ54="","",'Model inputs'!AJ54),IF(IF(IF(ISERROR('Model inputs'!AG186&gt;=12),'Model inputs'!AG186&gt;=12,IF('Model inputs'!AG186="","",'Model inputs'!AG186&gt;=12))="",FALSE,IF(ISERROR('Model inputs'!AG186&gt;=12),'Model inputs'!AG186&gt;=12,IF('Model inputs'!AG186="","",'Model inputs'!AG186&gt;=12))),IF('Model inputs'!AJ53="","",'Model inputs'!AJ53),IF(IF(IF(ISERROR('Model inputs'!AG186&gt;=9),'Model inputs'!AG186&gt;=9,IF('Model inputs'!AG186="","",'Model inputs'!AG186&gt;=9))="",FALSE,IF(ISERROR('Model inputs'!AG186&gt;=9),'Model inputs'!AG186&gt;=9,IF('Model inputs'!AG186="","",'Model inputs'!AG186&gt;=9))),IF('Model inputs'!AJ56="","",'Model inputs'!AJ56),0))))</f>
        <v>35000</v>
      </c>
      <c r="AH447" s="8">
        <f>IF(IF(IF(ISERROR('Model inputs'!AH186&gt;=24),'Model inputs'!AH186&gt;=24,IF('Model inputs'!AH186="","",'Model inputs'!AH186&gt;=24))="",FALSE,IF(ISERROR('Model inputs'!AH186&gt;=24),'Model inputs'!AH186&gt;=24,IF('Model inputs'!AH186="","",'Model inputs'!AH186&gt;=24))),IF('Model inputs'!AJ55="","",'Model inputs'!AJ55),IF(IF(IF(ISERROR('Model inputs'!AH186&gt;=18),'Model inputs'!AH186&gt;=18,IF('Model inputs'!AH186="","",'Model inputs'!AH186&gt;=18))="",FALSE,IF(ISERROR('Model inputs'!AH186&gt;=18),'Model inputs'!AH186&gt;=18,IF('Model inputs'!AH186="","",'Model inputs'!AH186&gt;=18))),IF('Model inputs'!AJ54="","",'Model inputs'!AJ54),IF(IF(IF(ISERROR('Model inputs'!AH186&gt;=12),'Model inputs'!AH186&gt;=12,IF('Model inputs'!AH186="","",'Model inputs'!AH186&gt;=12))="",FALSE,IF(ISERROR('Model inputs'!AH186&gt;=12),'Model inputs'!AH186&gt;=12,IF('Model inputs'!AH186="","",'Model inputs'!AH186&gt;=12))),IF('Model inputs'!AJ53="","",'Model inputs'!AJ53),IF(IF(IF(ISERROR('Model inputs'!AH186&gt;=9),'Model inputs'!AH186&gt;=9,IF('Model inputs'!AH186="","",'Model inputs'!AH186&gt;=9))="",FALSE,IF(ISERROR('Model inputs'!AH186&gt;=9),'Model inputs'!AH186&gt;=9,IF('Model inputs'!AH186="","",'Model inputs'!AH186&gt;=9))),IF('Model inputs'!AJ56="","",'Model inputs'!AJ56),0))))</f>
        <v>35000</v>
      </c>
      <c r="AI447" s="8">
        <f>IF(IF(IF(ISERROR('Model inputs'!AI186&gt;=24),'Model inputs'!AI186&gt;=24,IF('Model inputs'!AI186="","",'Model inputs'!AI186&gt;=24))="",FALSE,IF(ISERROR('Model inputs'!AI186&gt;=24),'Model inputs'!AI186&gt;=24,IF('Model inputs'!AI186="","",'Model inputs'!AI186&gt;=24))),IF('Model inputs'!AJ55="","",'Model inputs'!AJ55),IF(IF(IF(ISERROR('Model inputs'!AI186&gt;=18),'Model inputs'!AI186&gt;=18,IF('Model inputs'!AI186="","",'Model inputs'!AI186&gt;=18))="",FALSE,IF(ISERROR('Model inputs'!AI186&gt;=18),'Model inputs'!AI186&gt;=18,IF('Model inputs'!AI186="","",'Model inputs'!AI186&gt;=18))),IF('Model inputs'!AJ54="","",'Model inputs'!AJ54),IF(IF(IF(ISERROR('Model inputs'!AI186&gt;=12),'Model inputs'!AI186&gt;=12,IF('Model inputs'!AI186="","",'Model inputs'!AI186&gt;=12))="",FALSE,IF(ISERROR('Model inputs'!AI186&gt;=12),'Model inputs'!AI186&gt;=12,IF('Model inputs'!AI186="","",'Model inputs'!AI186&gt;=12))),IF('Model inputs'!AJ53="","",'Model inputs'!AJ53),IF(IF(IF(ISERROR('Model inputs'!AI186&gt;=9),'Model inputs'!AI186&gt;=9,IF('Model inputs'!AI186="","",'Model inputs'!AI186&gt;=9))="",FALSE,IF(ISERROR('Model inputs'!AI186&gt;=9),'Model inputs'!AI186&gt;=9,IF('Model inputs'!AI186="","",'Model inputs'!AI186&gt;=9))),IF('Model inputs'!AJ56="","",'Model inputs'!AJ56),0))))</f>
        <v>50000</v>
      </c>
    </row>
    <row r="448">
      <c r="A448" t="inlineStr" s="13">
        <is>
          <t xml:space="preserve">Haq Employer workers · Haq Ending cash · Growth · Growth</t>
        </is>
      </c>
      <c r="B448" s="8">
        <f>IF(IF(IF(ISERROR('Model inputs'!B187&gt;=24),'Model inputs'!B187&gt;=24,IF('Model inputs'!B187="","",'Model inputs'!B187&gt;=24))="",FALSE,IF(ISERROR('Model inputs'!B187&gt;=24),'Model inputs'!B187&gt;=24,IF('Model inputs'!B187="","",'Model inputs'!B187&gt;=24))),IF('Model inputs'!AJ111="","",'Model inputs'!AJ111),IF(IF(IF(ISERROR('Model inputs'!B187&gt;=18),'Model inputs'!B187&gt;=18,IF('Model inputs'!B187="","",'Model inputs'!B187&gt;=18))="",FALSE,IF(ISERROR('Model inputs'!B187&gt;=18),'Model inputs'!B187&gt;=18,IF('Model inputs'!B187="","",'Model inputs'!B187&gt;=18))),IF('Model inputs'!AJ110="","",'Model inputs'!AJ110),IF(IF(IF(ISERROR('Model inputs'!B187&gt;=12),'Model inputs'!B187&gt;=12,IF('Model inputs'!B187="","",'Model inputs'!B187&gt;=12))="",FALSE,IF(ISERROR('Model inputs'!B187&gt;=12),'Model inputs'!B187&gt;=12,IF('Model inputs'!B187="","",'Model inputs'!B187&gt;=12))),IF('Model inputs'!AJ109="","",'Model inputs'!AJ109),IF(IF(IF(ISERROR('Model inputs'!B187&gt;=9),'Model inputs'!B187&gt;=9,IF('Model inputs'!B187="","",'Model inputs'!B187&gt;=9))="",FALSE,IF(ISERROR('Model inputs'!B187&gt;=9),'Model inputs'!B187&gt;=9,IF('Model inputs'!B187="","",'Model inputs'!B187&gt;=9))),IF('Model inputs'!AJ112="","",'Model inputs'!AJ112),0))))</f>
        <v>0</v>
      </c>
      <c r="C448" s="8">
        <f>IF(IF(IF(ISERROR('Model inputs'!C187&gt;=24),'Model inputs'!C187&gt;=24,IF('Model inputs'!C187="","",'Model inputs'!C187&gt;=24))="",FALSE,IF(ISERROR('Model inputs'!C187&gt;=24),'Model inputs'!C187&gt;=24,IF('Model inputs'!C187="","",'Model inputs'!C187&gt;=24))),IF('Model inputs'!AJ111="","",'Model inputs'!AJ111),IF(IF(IF(ISERROR('Model inputs'!C187&gt;=18),'Model inputs'!C187&gt;=18,IF('Model inputs'!C187="","",'Model inputs'!C187&gt;=18))="",FALSE,IF(ISERROR('Model inputs'!C187&gt;=18),'Model inputs'!C187&gt;=18,IF('Model inputs'!C187="","",'Model inputs'!C187&gt;=18))),IF('Model inputs'!AJ110="","",'Model inputs'!AJ110),IF(IF(IF(ISERROR('Model inputs'!C187&gt;=12),'Model inputs'!C187&gt;=12,IF('Model inputs'!C187="","",'Model inputs'!C187&gt;=12))="",FALSE,IF(ISERROR('Model inputs'!C187&gt;=12),'Model inputs'!C187&gt;=12,IF('Model inputs'!C187="","",'Model inputs'!C187&gt;=12))),IF('Model inputs'!AJ109="","",'Model inputs'!AJ109),IF(IF(IF(ISERROR('Model inputs'!C187&gt;=9),'Model inputs'!C187&gt;=9,IF('Model inputs'!C187="","",'Model inputs'!C187&gt;=9))="",FALSE,IF(ISERROR('Model inputs'!C187&gt;=9),'Model inputs'!C187&gt;=9,IF('Model inputs'!C187="","",'Model inputs'!C187&gt;=9))),IF('Model inputs'!AJ112="","",'Model inputs'!AJ112),0))))</f>
        <v>0</v>
      </c>
      <c r="D448" s="8">
        <f>IF(IF(IF(ISERROR('Model inputs'!D187&gt;=24),'Model inputs'!D187&gt;=24,IF('Model inputs'!D187="","",'Model inputs'!D187&gt;=24))="",FALSE,IF(ISERROR('Model inputs'!D187&gt;=24),'Model inputs'!D187&gt;=24,IF('Model inputs'!D187="","",'Model inputs'!D187&gt;=24))),IF('Model inputs'!AJ111="","",'Model inputs'!AJ111),IF(IF(IF(ISERROR('Model inputs'!D187&gt;=18),'Model inputs'!D187&gt;=18,IF('Model inputs'!D187="","",'Model inputs'!D187&gt;=18))="",FALSE,IF(ISERROR('Model inputs'!D187&gt;=18),'Model inputs'!D187&gt;=18,IF('Model inputs'!D187="","",'Model inputs'!D187&gt;=18))),IF('Model inputs'!AJ110="","",'Model inputs'!AJ110),IF(IF(IF(ISERROR('Model inputs'!D187&gt;=12),'Model inputs'!D187&gt;=12,IF('Model inputs'!D187="","",'Model inputs'!D187&gt;=12))="",FALSE,IF(ISERROR('Model inputs'!D187&gt;=12),'Model inputs'!D187&gt;=12,IF('Model inputs'!D187="","",'Model inputs'!D187&gt;=12))),IF('Model inputs'!AJ109="","",'Model inputs'!AJ109),IF(IF(IF(ISERROR('Model inputs'!D187&gt;=9),'Model inputs'!D187&gt;=9,IF('Model inputs'!D187="","",'Model inputs'!D187&gt;=9))="",FALSE,IF(ISERROR('Model inputs'!D187&gt;=9),'Model inputs'!D187&gt;=9,IF('Model inputs'!D187="","",'Model inputs'!D187&gt;=9))),IF('Model inputs'!AJ112="","",'Model inputs'!AJ112),0))))</f>
        <v>0</v>
      </c>
      <c r="E448" s="8">
        <f>IF(IF(IF(ISERROR('Model inputs'!E187&gt;=24),'Model inputs'!E187&gt;=24,IF('Model inputs'!E187="","",'Model inputs'!E187&gt;=24))="",FALSE,IF(ISERROR('Model inputs'!E187&gt;=24),'Model inputs'!E187&gt;=24,IF('Model inputs'!E187="","",'Model inputs'!E187&gt;=24))),IF('Model inputs'!AJ111="","",'Model inputs'!AJ111),IF(IF(IF(ISERROR('Model inputs'!E187&gt;=18),'Model inputs'!E187&gt;=18,IF('Model inputs'!E187="","",'Model inputs'!E187&gt;=18))="",FALSE,IF(ISERROR('Model inputs'!E187&gt;=18),'Model inputs'!E187&gt;=18,IF('Model inputs'!E187="","",'Model inputs'!E187&gt;=18))),IF('Model inputs'!AJ110="","",'Model inputs'!AJ110),IF(IF(IF(ISERROR('Model inputs'!E187&gt;=12),'Model inputs'!E187&gt;=12,IF('Model inputs'!E187="","",'Model inputs'!E187&gt;=12))="",FALSE,IF(ISERROR('Model inputs'!E187&gt;=12),'Model inputs'!E187&gt;=12,IF('Model inputs'!E187="","",'Model inputs'!E187&gt;=12))),IF('Model inputs'!AJ109="","",'Model inputs'!AJ109),IF(IF(IF(ISERROR('Model inputs'!E187&gt;=9),'Model inputs'!E187&gt;=9,IF('Model inputs'!E187="","",'Model inputs'!E187&gt;=9))="",FALSE,IF(ISERROR('Model inputs'!E187&gt;=9),'Model inputs'!E187&gt;=9,IF('Model inputs'!E187="","",'Model inputs'!E187&gt;=9))),IF('Model inputs'!AJ112="","",'Model inputs'!AJ112),0))))</f>
        <v>0</v>
      </c>
      <c r="F448" s="8">
        <f>IF(IF(IF(ISERROR('Model inputs'!F187&gt;=24),'Model inputs'!F187&gt;=24,IF('Model inputs'!F187="","",'Model inputs'!F187&gt;=24))="",FALSE,IF(ISERROR('Model inputs'!F187&gt;=24),'Model inputs'!F187&gt;=24,IF('Model inputs'!F187="","",'Model inputs'!F187&gt;=24))),IF('Model inputs'!AJ111="","",'Model inputs'!AJ111),IF(IF(IF(ISERROR('Model inputs'!F187&gt;=18),'Model inputs'!F187&gt;=18,IF('Model inputs'!F187="","",'Model inputs'!F187&gt;=18))="",FALSE,IF(ISERROR('Model inputs'!F187&gt;=18),'Model inputs'!F187&gt;=18,IF('Model inputs'!F187="","",'Model inputs'!F187&gt;=18))),IF('Model inputs'!AJ110="","",'Model inputs'!AJ110),IF(IF(IF(ISERROR('Model inputs'!F187&gt;=12),'Model inputs'!F187&gt;=12,IF('Model inputs'!F187="","",'Model inputs'!F187&gt;=12))="",FALSE,IF(ISERROR('Model inputs'!F187&gt;=12),'Model inputs'!F187&gt;=12,IF('Model inputs'!F187="","",'Model inputs'!F187&gt;=12))),IF('Model inputs'!AJ109="","",'Model inputs'!AJ109),IF(IF(IF(ISERROR('Model inputs'!F187&gt;=9),'Model inputs'!F187&gt;=9,IF('Model inputs'!F187="","",'Model inputs'!F187&gt;=9))="",FALSE,IF(ISERROR('Model inputs'!F187&gt;=9),'Model inputs'!F187&gt;=9,IF('Model inputs'!F187="","",'Model inputs'!F187&gt;=9))),IF('Model inputs'!AJ112="","",'Model inputs'!AJ112),0))))</f>
        <v>0</v>
      </c>
      <c r="G448" s="8">
        <f>IF(IF(IF(ISERROR('Model inputs'!G187&gt;=24),'Model inputs'!G187&gt;=24,IF('Model inputs'!G187="","",'Model inputs'!G187&gt;=24))="",FALSE,IF(ISERROR('Model inputs'!G187&gt;=24),'Model inputs'!G187&gt;=24,IF('Model inputs'!G187="","",'Model inputs'!G187&gt;=24))),IF('Model inputs'!AJ111="","",'Model inputs'!AJ111),IF(IF(IF(ISERROR('Model inputs'!G187&gt;=18),'Model inputs'!G187&gt;=18,IF('Model inputs'!G187="","",'Model inputs'!G187&gt;=18))="",FALSE,IF(ISERROR('Model inputs'!G187&gt;=18),'Model inputs'!G187&gt;=18,IF('Model inputs'!G187="","",'Model inputs'!G187&gt;=18))),IF('Model inputs'!AJ110="","",'Model inputs'!AJ110),IF(IF(IF(ISERROR('Model inputs'!G187&gt;=12),'Model inputs'!G187&gt;=12,IF('Model inputs'!G187="","",'Model inputs'!G187&gt;=12))="",FALSE,IF(ISERROR('Model inputs'!G187&gt;=12),'Model inputs'!G187&gt;=12,IF('Model inputs'!G187="","",'Model inputs'!G187&gt;=12))),IF('Model inputs'!AJ109="","",'Model inputs'!AJ109),IF(IF(IF(ISERROR('Model inputs'!G187&gt;=9),'Model inputs'!G187&gt;=9,IF('Model inputs'!G187="","",'Model inputs'!G187&gt;=9))="",FALSE,IF(ISERROR('Model inputs'!G187&gt;=9),'Model inputs'!G187&gt;=9,IF('Model inputs'!G187="","",'Model inputs'!G187&gt;=9))),IF('Model inputs'!AJ112="","",'Model inputs'!AJ112),0))))</f>
        <v>0</v>
      </c>
      <c r="H448" s="8">
        <f>IF(IF(IF(ISERROR('Model inputs'!H187&gt;=24),'Model inputs'!H187&gt;=24,IF('Model inputs'!H187="","",'Model inputs'!H187&gt;=24))="",FALSE,IF(ISERROR('Model inputs'!H187&gt;=24),'Model inputs'!H187&gt;=24,IF('Model inputs'!H187="","",'Model inputs'!H187&gt;=24))),IF('Model inputs'!AJ111="","",'Model inputs'!AJ111),IF(IF(IF(ISERROR('Model inputs'!H187&gt;=18),'Model inputs'!H187&gt;=18,IF('Model inputs'!H187="","",'Model inputs'!H187&gt;=18))="",FALSE,IF(ISERROR('Model inputs'!H187&gt;=18),'Model inputs'!H187&gt;=18,IF('Model inputs'!H187="","",'Model inputs'!H187&gt;=18))),IF('Model inputs'!AJ110="","",'Model inputs'!AJ110),IF(IF(IF(ISERROR('Model inputs'!H187&gt;=12),'Model inputs'!H187&gt;=12,IF('Model inputs'!H187="","",'Model inputs'!H187&gt;=12))="",FALSE,IF(ISERROR('Model inputs'!H187&gt;=12),'Model inputs'!H187&gt;=12,IF('Model inputs'!H187="","",'Model inputs'!H187&gt;=12))),IF('Model inputs'!AJ109="","",'Model inputs'!AJ109),IF(IF(IF(ISERROR('Model inputs'!H187&gt;=9),'Model inputs'!H187&gt;=9,IF('Model inputs'!H187="","",'Model inputs'!H187&gt;=9))="",FALSE,IF(ISERROR('Model inputs'!H187&gt;=9),'Model inputs'!H187&gt;=9,IF('Model inputs'!H187="","",'Model inputs'!H187&gt;=9))),IF('Model inputs'!AJ112="","",'Model inputs'!AJ112),0))))</f>
        <v>0</v>
      </c>
      <c r="I448" s="8">
        <f>IF(IF(IF(ISERROR('Model inputs'!I187&gt;=24),'Model inputs'!I187&gt;=24,IF('Model inputs'!I187="","",'Model inputs'!I187&gt;=24))="",FALSE,IF(ISERROR('Model inputs'!I187&gt;=24),'Model inputs'!I187&gt;=24,IF('Model inputs'!I187="","",'Model inputs'!I187&gt;=24))),IF('Model inputs'!AJ111="","",'Model inputs'!AJ111),IF(IF(IF(ISERROR('Model inputs'!I187&gt;=18),'Model inputs'!I187&gt;=18,IF('Model inputs'!I187="","",'Model inputs'!I187&gt;=18))="",FALSE,IF(ISERROR('Model inputs'!I187&gt;=18),'Model inputs'!I187&gt;=18,IF('Model inputs'!I187="","",'Model inputs'!I187&gt;=18))),IF('Model inputs'!AJ110="","",'Model inputs'!AJ110),IF(IF(IF(ISERROR('Model inputs'!I187&gt;=12),'Model inputs'!I187&gt;=12,IF('Model inputs'!I187="","",'Model inputs'!I187&gt;=12))="",FALSE,IF(ISERROR('Model inputs'!I187&gt;=12),'Model inputs'!I187&gt;=12,IF('Model inputs'!I187="","",'Model inputs'!I187&gt;=12))),IF('Model inputs'!AJ109="","",'Model inputs'!AJ109),IF(IF(IF(ISERROR('Model inputs'!I187&gt;=9),'Model inputs'!I187&gt;=9,IF('Model inputs'!I187="","",'Model inputs'!I187&gt;=9))="",FALSE,IF(ISERROR('Model inputs'!I187&gt;=9),'Model inputs'!I187&gt;=9,IF('Model inputs'!I187="","",'Model inputs'!I187&gt;=9))),IF('Model inputs'!AJ112="","",'Model inputs'!AJ112),0))))</f>
        <v>0</v>
      </c>
      <c r="J448" s="8">
        <f>IF(IF(IF(ISERROR('Model inputs'!J187&gt;=24),'Model inputs'!J187&gt;=24,IF('Model inputs'!J187="","",'Model inputs'!J187&gt;=24))="",FALSE,IF(ISERROR('Model inputs'!J187&gt;=24),'Model inputs'!J187&gt;=24,IF('Model inputs'!J187="","",'Model inputs'!J187&gt;=24))),IF('Model inputs'!AJ111="","",'Model inputs'!AJ111),IF(IF(IF(ISERROR('Model inputs'!J187&gt;=18),'Model inputs'!J187&gt;=18,IF('Model inputs'!J187="","",'Model inputs'!J187&gt;=18))="",FALSE,IF(ISERROR('Model inputs'!J187&gt;=18),'Model inputs'!J187&gt;=18,IF('Model inputs'!J187="","",'Model inputs'!J187&gt;=18))),IF('Model inputs'!AJ110="","",'Model inputs'!AJ110),IF(IF(IF(ISERROR('Model inputs'!J187&gt;=12),'Model inputs'!J187&gt;=12,IF('Model inputs'!J187="","",'Model inputs'!J187&gt;=12))="",FALSE,IF(ISERROR('Model inputs'!J187&gt;=12),'Model inputs'!J187&gt;=12,IF('Model inputs'!J187="","",'Model inputs'!J187&gt;=12))),IF('Model inputs'!AJ109="","",'Model inputs'!AJ109),IF(IF(IF(ISERROR('Model inputs'!J187&gt;=9),'Model inputs'!J187&gt;=9,IF('Model inputs'!J187="","",'Model inputs'!J187&gt;=9))="",FALSE,IF(ISERROR('Model inputs'!J187&gt;=9),'Model inputs'!J187&gt;=9,IF('Model inputs'!J187="","",'Model inputs'!J187&gt;=9))),IF('Model inputs'!AJ112="","",'Model inputs'!AJ112),0))))</f>
        <v>0</v>
      </c>
      <c r="K448" s="8">
        <f>IF(IF(IF(ISERROR('Model inputs'!K187&gt;=24),'Model inputs'!K187&gt;=24,IF('Model inputs'!K187="","",'Model inputs'!K187&gt;=24))="",FALSE,IF(ISERROR('Model inputs'!K187&gt;=24),'Model inputs'!K187&gt;=24,IF('Model inputs'!K187="","",'Model inputs'!K187&gt;=24))),IF('Model inputs'!AJ111="","",'Model inputs'!AJ111),IF(IF(IF(ISERROR('Model inputs'!K187&gt;=18),'Model inputs'!K187&gt;=18,IF('Model inputs'!K187="","",'Model inputs'!K187&gt;=18))="",FALSE,IF(ISERROR('Model inputs'!K187&gt;=18),'Model inputs'!K187&gt;=18,IF('Model inputs'!K187="","",'Model inputs'!K187&gt;=18))),IF('Model inputs'!AJ110="","",'Model inputs'!AJ110),IF(IF(IF(ISERROR('Model inputs'!K187&gt;=12),'Model inputs'!K187&gt;=12,IF('Model inputs'!K187="","",'Model inputs'!K187&gt;=12))="",FALSE,IF(ISERROR('Model inputs'!K187&gt;=12),'Model inputs'!K187&gt;=12,IF('Model inputs'!K187="","",'Model inputs'!K187&gt;=12))),IF('Model inputs'!AJ109="","",'Model inputs'!AJ109),IF(IF(IF(ISERROR('Model inputs'!K187&gt;=9),'Model inputs'!K187&gt;=9,IF('Model inputs'!K187="","",'Model inputs'!K187&gt;=9))="",FALSE,IF(ISERROR('Model inputs'!K187&gt;=9),'Model inputs'!K187&gt;=9,IF('Model inputs'!K187="","",'Model inputs'!K187&gt;=9))),IF('Model inputs'!AJ112="","",'Model inputs'!AJ112),0))))</f>
        <v>0</v>
      </c>
      <c r="L448" s="8">
        <f>IF(IF(IF(ISERROR('Model inputs'!L187&gt;=24),'Model inputs'!L187&gt;=24,IF('Model inputs'!L187="","",'Model inputs'!L187&gt;=24))="",FALSE,IF(ISERROR('Model inputs'!L187&gt;=24),'Model inputs'!L187&gt;=24,IF('Model inputs'!L187="","",'Model inputs'!L187&gt;=24))),IF('Model inputs'!AJ111="","",'Model inputs'!AJ111),IF(IF(IF(ISERROR('Model inputs'!L187&gt;=18),'Model inputs'!L187&gt;=18,IF('Model inputs'!L187="","",'Model inputs'!L187&gt;=18))="",FALSE,IF(ISERROR('Model inputs'!L187&gt;=18),'Model inputs'!L187&gt;=18,IF('Model inputs'!L187="","",'Model inputs'!L187&gt;=18))),IF('Model inputs'!AJ110="","",'Model inputs'!AJ110),IF(IF(IF(ISERROR('Model inputs'!L187&gt;=12),'Model inputs'!L187&gt;=12,IF('Model inputs'!L187="","",'Model inputs'!L187&gt;=12))="",FALSE,IF(ISERROR('Model inputs'!L187&gt;=12),'Model inputs'!L187&gt;=12,IF('Model inputs'!L187="","",'Model inputs'!L187&gt;=12))),IF('Model inputs'!AJ109="","",'Model inputs'!AJ109),IF(IF(IF(ISERROR('Model inputs'!L187&gt;=9),'Model inputs'!L187&gt;=9,IF('Model inputs'!L187="","",'Model inputs'!L187&gt;=9))="",FALSE,IF(ISERROR('Model inputs'!L187&gt;=9),'Model inputs'!L187&gt;=9,IF('Model inputs'!L187="","",'Model inputs'!L187&gt;=9))),IF('Model inputs'!AJ112="","",'Model inputs'!AJ112),0))))</f>
        <v>0</v>
      </c>
      <c r="M448" s="8">
        <f>IF(IF(IF(ISERROR('Model inputs'!M187&gt;=24),'Model inputs'!M187&gt;=24,IF('Model inputs'!M187="","",'Model inputs'!M187&gt;=24))="",FALSE,IF(ISERROR('Model inputs'!M187&gt;=24),'Model inputs'!M187&gt;=24,IF('Model inputs'!M187="","",'Model inputs'!M187&gt;=24))),IF('Model inputs'!AJ111="","",'Model inputs'!AJ111),IF(IF(IF(ISERROR('Model inputs'!M187&gt;=18),'Model inputs'!M187&gt;=18,IF('Model inputs'!M187="","",'Model inputs'!M187&gt;=18))="",FALSE,IF(ISERROR('Model inputs'!M187&gt;=18),'Model inputs'!M187&gt;=18,IF('Model inputs'!M187="","",'Model inputs'!M187&gt;=18))),IF('Model inputs'!AJ110="","",'Model inputs'!AJ110),IF(IF(IF(ISERROR('Model inputs'!M187&gt;=12),'Model inputs'!M187&gt;=12,IF('Model inputs'!M187="","",'Model inputs'!M187&gt;=12))="",FALSE,IF(ISERROR('Model inputs'!M187&gt;=12),'Model inputs'!M187&gt;=12,IF('Model inputs'!M187="","",'Model inputs'!M187&gt;=12))),IF('Model inputs'!AJ109="","",'Model inputs'!AJ109),IF(IF(IF(ISERROR('Model inputs'!M187&gt;=9),'Model inputs'!M187&gt;=9,IF('Model inputs'!M187="","",'Model inputs'!M187&gt;=9))="",FALSE,IF(ISERROR('Model inputs'!M187&gt;=9),'Model inputs'!M187&gt;=9,IF('Model inputs'!M187="","",'Model inputs'!M187&gt;=9))),IF('Model inputs'!AJ112="","",'Model inputs'!AJ112),0))))</f>
        <v>0</v>
      </c>
      <c r="N448" s="8">
        <f>IF(IF(IF(ISERROR('Model inputs'!N187&gt;=24),'Model inputs'!N187&gt;=24,IF('Model inputs'!N187="","",'Model inputs'!N187&gt;=24))="",FALSE,IF(ISERROR('Model inputs'!N187&gt;=24),'Model inputs'!N187&gt;=24,IF('Model inputs'!N187="","",'Model inputs'!N187&gt;=24))),IF('Model inputs'!AJ111="","",'Model inputs'!AJ111),IF(IF(IF(ISERROR('Model inputs'!N187&gt;=18),'Model inputs'!N187&gt;=18,IF('Model inputs'!N187="","",'Model inputs'!N187&gt;=18))="",FALSE,IF(ISERROR('Model inputs'!N187&gt;=18),'Model inputs'!N187&gt;=18,IF('Model inputs'!N187="","",'Model inputs'!N187&gt;=18))),IF('Model inputs'!AJ110="","",'Model inputs'!AJ110),IF(IF(IF(ISERROR('Model inputs'!N187&gt;=12),'Model inputs'!N187&gt;=12,IF('Model inputs'!N187="","",'Model inputs'!N187&gt;=12))="",FALSE,IF(ISERROR('Model inputs'!N187&gt;=12),'Model inputs'!N187&gt;=12,IF('Model inputs'!N187="","",'Model inputs'!N187&gt;=12))),IF('Model inputs'!AJ109="","",'Model inputs'!AJ109),IF(IF(IF(ISERROR('Model inputs'!N187&gt;=9),'Model inputs'!N187&gt;=9,IF('Model inputs'!N187="","",'Model inputs'!N187&gt;=9))="",FALSE,IF(ISERROR('Model inputs'!N187&gt;=9),'Model inputs'!N187&gt;=9,IF('Model inputs'!N187="","",'Model inputs'!N187&gt;=9))),IF('Model inputs'!AJ112="","",'Model inputs'!AJ112),0))))</f>
        <v>0</v>
      </c>
      <c r="O448" s="8">
        <f>IF(IF(IF(ISERROR('Model inputs'!O187&gt;=24),'Model inputs'!O187&gt;=24,IF('Model inputs'!O187="","",'Model inputs'!O187&gt;=24))="",FALSE,IF(ISERROR('Model inputs'!O187&gt;=24),'Model inputs'!O187&gt;=24,IF('Model inputs'!O187="","",'Model inputs'!O187&gt;=24))),IF('Model inputs'!AJ111="","",'Model inputs'!AJ111),IF(IF(IF(ISERROR('Model inputs'!O187&gt;=18),'Model inputs'!O187&gt;=18,IF('Model inputs'!O187="","",'Model inputs'!O187&gt;=18))="",FALSE,IF(ISERROR('Model inputs'!O187&gt;=18),'Model inputs'!O187&gt;=18,IF('Model inputs'!O187="","",'Model inputs'!O187&gt;=18))),IF('Model inputs'!AJ110="","",'Model inputs'!AJ110),IF(IF(IF(ISERROR('Model inputs'!O187&gt;=12),'Model inputs'!O187&gt;=12,IF('Model inputs'!O187="","",'Model inputs'!O187&gt;=12))="",FALSE,IF(ISERROR('Model inputs'!O187&gt;=12),'Model inputs'!O187&gt;=12,IF('Model inputs'!O187="","",'Model inputs'!O187&gt;=12))),IF('Model inputs'!AJ109="","",'Model inputs'!AJ109),IF(IF(IF(ISERROR('Model inputs'!O187&gt;=9),'Model inputs'!O187&gt;=9,IF('Model inputs'!O187="","",'Model inputs'!O187&gt;=9))="",FALSE,IF(ISERROR('Model inputs'!O187&gt;=9),'Model inputs'!O187&gt;=9,IF('Model inputs'!O187="","",'Model inputs'!O187&gt;=9))),IF('Model inputs'!AJ112="","",'Model inputs'!AJ112),0))))</f>
        <v>0</v>
      </c>
      <c r="P448" s="8">
        <f>IF(IF(IF(ISERROR('Model inputs'!P187&gt;=24),'Model inputs'!P187&gt;=24,IF('Model inputs'!P187="","",'Model inputs'!P187&gt;=24))="",FALSE,IF(ISERROR('Model inputs'!P187&gt;=24),'Model inputs'!P187&gt;=24,IF('Model inputs'!P187="","",'Model inputs'!P187&gt;=24))),IF('Model inputs'!AJ111="","",'Model inputs'!AJ111),IF(IF(IF(ISERROR('Model inputs'!P187&gt;=18),'Model inputs'!P187&gt;=18,IF('Model inputs'!P187="","",'Model inputs'!P187&gt;=18))="",FALSE,IF(ISERROR('Model inputs'!P187&gt;=18),'Model inputs'!P187&gt;=18,IF('Model inputs'!P187="","",'Model inputs'!P187&gt;=18))),IF('Model inputs'!AJ110="","",'Model inputs'!AJ110),IF(IF(IF(ISERROR('Model inputs'!P187&gt;=12),'Model inputs'!P187&gt;=12,IF('Model inputs'!P187="","",'Model inputs'!P187&gt;=12))="",FALSE,IF(ISERROR('Model inputs'!P187&gt;=12),'Model inputs'!P187&gt;=12,IF('Model inputs'!P187="","",'Model inputs'!P187&gt;=12))),IF('Model inputs'!AJ109="","",'Model inputs'!AJ109),IF(IF(IF(ISERROR('Model inputs'!P187&gt;=9),'Model inputs'!P187&gt;=9,IF('Model inputs'!P187="","",'Model inputs'!P187&gt;=9))="",FALSE,IF(ISERROR('Model inputs'!P187&gt;=9),'Model inputs'!P187&gt;=9,IF('Model inputs'!P187="","",'Model inputs'!P187&gt;=9))),IF('Model inputs'!AJ112="","",'Model inputs'!AJ112),0))))</f>
        <v>0</v>
      </c>
      <c r="Q448" s="8">
        <f>IF(IF(IF(ISERROR('Model inputs'!Q187&gt;=24),'Model inputs'!Q187&gt;=24,IF('Model inputs'!Q187="","",'Model inputs'!Q187&gt;=24))="",FALSE,IF(ISERROR('Model inputs'!Q187&gt;=24),'Model inputs'!Q187&gt;=24,IF('Model inputs'!Q187="","",'Model inputs'!Q187&gt;=24))),IF('Model inputs'!AJ111="","",'Model inputs'!AJ111),IF(IF(IF(ISERROR('Model inputs'!Q187&gt;=18),'Model inputs'!Q187&gt;=18,IF('Model inputs'!Q187="","",'Model inputs'!Q187&gt;=18))="",FALSE,IF(ISERROR('Model inputs'!Q187&gt;=18),'Model inputs'!Q187&gt;=18,IF('Model inputs'!Q187="","",'Model inputs'!Q187&gt;=18))),IF('Model inputs'!AJ110="","",'Model inputs'!AJ110),IF(IF(IF(ISERROR('Model inputs'!Q187&gt;=12),'Model inputs'!Q187&gt;=12,IF('Model inputs'!Q187="","",'Model inputs'!Q187&gt;=12))="",FALSE,IF(ISERROR('Model inputs'!Q187&gt;=12),'Model inputs'!Q187&gt;=12,IF('Model inputs'!Q187="","",'Model inputs'!Q187&gt;=12))),IF('Model inputs'!AJ109="","",'Model inputs'!AJ109),IF(IF(IF(ISERROR('Model inputs'!Q187&gt;=9),'Model inputs'!Q187&gt;=9,IF('Model inputs'!Q187="","",'Model inputs'!Q187&gt;=9))="",FALSE,IF(ISERROR('Model inputs'!Q187&gt;=9),'Model inputs'!Q187&gt;=9,IF('Model inputs'!Q187="","",'Model inputs'!Q187&gt;=9))),IF('Model inputs'!AJ112="","",'Model inputs'!AJ112),0))))</f>
        <v>0</v>
      </c>
      <c r="R448" s="8">
        <f>IF(IF(IF(ISERROR('Model inputs'!R187&gt;=24),'Model inputs'!R187&gt;=24,IF('Model inputs'!R187="","",'Model inputs'!R187&gt;=24))="",FALSE,IF(ISERROR('Model inputs'!R187&gt;=24),'Model inputs'!R187&gt;=24,IF('Model inputs'!R187="","",'Model inputs'!R187&gt;=24))),IF('Model inputs'!AJ111="","",'Model inputs'!AJ111),IF(IF(IF(ISERROR('Model inputs'!R187&gt;=18),'Model inputs'!R187&gt;=18,IF('Model inputs'!R187="","",'Model inputs'!R187&gt;=18))="",FALSE,IF(ISERROR('Model inputs'!R187&gt;=18),'Model inputs'!R187&gt;=18,IF('Model inputs'!R187="","",'Model inputs'!R187&gt;=18))),IF('Model inputs'!AJ110="","",'Model inputs'!AJ110),IF(IF(IF(ISERROR('Model inputs'!R187&gt;=12),'Model inputs'!R187&gt;=12,IF('Model inputs'!R187="","",'Model inputs'!R187&gt;=12))="",FALSE,IF(ISERROR('Model inputs'!R187&gt;=12),'Model inputs'!R187&gt;=12,IF('Model inputs'!R187="","",'Model inputs'!R187&gt;=12))),IF('Model inputs'!AJ109="","",'Model inputs'!AJ109),IF(IF(IF(ISERROR('Model inputs'!R187&gt;=9),'Model inputs'!R187&gt;=9,IF('Model inputs'!R187="","",'Model inputs'!R187&gt;=9))="",FALSE,IF(ISERROR('Model inputs'!R187&gt;=9),'Model inputs'!R187&gt;=9,IF('Model inputs'!R187="","",'Model inputs'!R187&gt;=9))),IF('Model inputs'!AJ112="","",'Model inputs'!AJ112),0))))</f>
        <v>0</v>
      </c>
      <c r="S448" s="8">
        <f>IF(IF(IF(ISERROR('Model inputs'!S187&gt;=24),'Model inputs'!S187&gt;=24,IF('Model inputs'!S187="","",'Model inputs'!S187&gt;=24))="",FALSE,IF(ISERROR('Model inputs'!S187&gt;=24),'Model inputs'!S187&gt;=24,IF('Model inputs'!S187="","",'Model inputs'!S187&gt;=24))),IF('Model inputs'!AJ111="","",'Model inputs'!AJ111),IF(IF(IF(ISERROR('Model inputs'!S187&gt;=18),'Model inputs'!S187&gt;=18,IF('Model inputs'!S187="","",'Model inputs'!S187&gt;=18))="",FALSE,IF(ISERROR('Model inputs'!S187&gt;=18),'Model inputs'!S187&gt;=18,IF('Model inputs'!S187="","",'Model inputs'!S187&gt;=18))),IF('Model inputs'!AJ110="","",'Model inputs'!AJ110),IF(IF(IF(ISERROR('Model inputs'!S187&gt;=12),'Model inputs'!S187&gt;=12,IF('Model inputs'!S187="","",'Model inputs'!S187&gt;=12))="",FALSE,IF(ISERROR('Model inputs'!S187&gt;=12),'Model inputs'!S187&gt;=12,IF('Model inputs'!S187="","",'Model inputs'!S187&gt;=12))),IF('Model inputs'!AJ109="","",'Model inputs'!AJ109),IF(IF(IF(ISERROR('Model inputs'!S187&gt;=9),'Model inputs'!S187&gt;=9,IF('Model inputs'!S187="","",'Model inputs'!S187&gt;=9))="",FALSE,IF(ISERROR('Model inputs'!S187&gt;=9),'Model inputs'!S187&gt;=9,IF('Model inputs'!S187="","",'Model inputs'!S187&gt;=9))),IF('Model inputs'!AJ112="","",'Model inputs'!AJ112),0))))</f>
        <v>0</v>
      </c>
      <c r="T448" s="8">
        <f>IF(IF(IF(ISERROR('Model inputs'!T187&gt;=24),'Model inputs'!T187&gt;=24,IF('Model inputs'!T187="","",'Model inputs'!T187&gt;=24))="",FALSE,IF(ISERROR('Model inputs'!T187&gt;=24),'Model inputs'!T187&gt;=24,IF('Model inputs'!T187="","",'Model inputs'!T187&gt;=24))),IF('Model inputs'!AJ111="","",'Model inputs'!AJ111),IF(IF(IF(ISERROR('Model inputs'!T187&gt;=18),'Model inputs'!T187&gt;=18,IF('Model inputs'!T187="","",'Model inputs'!T187&gt;=18))="",FALSE,IF(ISERROR('Model inputs'!T187&gt;=18),'Model inputs'!T187&gt;=18,IF('Model inputs'!T187="","",'Model inputs'!T187&gt;=18))),IF('Model inputs'!AJ110="","",'Model inputs'!AJ110),IF(IF(IF(ISERROR('Model inputs'!T187&gt;=12),'Model inputs'!T187&gt;=12,IF('Model inputs'!T187="","",'Model inputs'!T187&gt;=12))="",FALSE,IF(ISERROR('Model inputs'!T187&gt;=12),'Model inputs'!T187&gt;=12,IF('Model inputs'!T187="","",'Model inputs'!T187&gt;=12))),IF('Model inputs'!AJ109="","",'Model inputs'!AJ109),IF(IF(IF(ISERROR('Model inputs'!T187&gt;=9),'Model inputs'!T187&gt;=9,IF('Model inputs'!T187="","",'Model inputs'!T187&gt;=9))="",FALSE,IF(ISERROR('Model inputs'!T187&gt;=9),'Model inputs'!T187&gt;=9,IF('Model inputs'!T187="","",'Model inputs'!T187&gt;=9))),IF('Model inputs'!AJ112="","",'Model inputs'!AJ112),0))))</f>
        <v>20000</v>
      </c>
      <c r="U448" s="8">
        <f>IF(IF(IF(ISERROR('Model inputs'!U187&gt;=24),'Model inputs'!U187&gt;=24,IF('Model inputs'!U187="","",'Model inputs'!U187&gt;=24))="",FALSE,IF(ISERROR('Model inputs'!U187&gt;=24),'Model inputs'!U187&gt;=24,IF('Model inputs'!U187="","",'Model inputs'!U187&gt;=24))),IF('Model inputs'!AJ111="","",'Model inputs'!AJ111),IF(IF(IF(ISERROR('Model inputs'!U187&gt;=18),'Model inputs'!U187&gt;=18,IF('Model inputs'!U187="","",'Model inputs'!U187&gt;=18))="",FALSE,IF(ISERROR('Model inputs'!U187&gt;=18),'Model inputs'!U187&gt;=18,IF('Model inputs'!U187="","",'Model inputs'!U187&gt;=18))),IF('Model inputs'!AJ110="","",'Model inputs'!AJ110),IF(IF(IF(ISERROR('Model inputs'!U187&gt;=12),'Model inputs'!U187&gt;=12,IF('Model inputs'!U187="","",'Model inputs'!U187&gt;=12))="",FALSE,IF(ISERROR('Model inputs'!U187&gt;=12),'Model inputs'!U187&gt;=12,IF('Model inputs'!U187="","",'Model inputs'!U187&gt;=12))),IF('Model inputs'!AJ109="","",'Model inputs'!AJ109),IF(IF(IF(ISERROR('Model inputs'!U187&gt;=9),'Model inputs'!U187&gt;=9,IF('Model inputs'!U187="","",'Model inputs'!U187&gt;=9))="",FALSE,IF(ISERROR('Model inputs'!U187&gt;=9),'Model inputs'!U187&gt;=9,IF('Model inputs'!U187="","",'Model inputs'!U187&gt;=9))),IF('Model inputs'!AJ112="","",'Model inputs'!AJ112),0))))</f>
        <v>20000</v>
      </c>
      <c r="V448" s="8">
        <f>IF(IF(IF(ISERROR('Model inputs'!V187&gt;=24),'Model inputs'!V187&gt;=24,IF('Model inputs'!V187="","",'Model inputs'!V187&gt;=24))="",FALSE,IF(ISERROR('Model inputs'!V187&gt;=24),'Model inputs'!V187&gt;=24,IF('Model inputs'!V187="","",'Model inputs'!V187&gt;=24))),IF('Model inputs'!AJ111="","",'Model inputs'!AJ111),IF(IF(IF(ISERROR('Model inputs'!V187&gt;=18),'Model inputs'!V187&gt;=18,IF('Model inputs'!V187="","",'Model inputs'!V187&gt;=18))="",FALSE,IF(ISERROR('Model inputs'!V187&gt;=18),'Model inputs'!V187&gt;=18,IF('Model inputs'!V187="","",'Model inputs'!V187&gt;=18))),IF('Model inputs'!AJ110="","",'Model inputs'!AJ110),IF(IF(IF(ISERROR('Model inputs'!V187&gt;=12),'Model inputs'!V187&gt;=12,IF('Model inputs'!V187="","",'Model inputs'!V187&gt;=12))="",FALSE,IF(ISERROR('Model inputs'!V187&gt;=12),'Model inputs'!V187&gt;=12,IF('Model inputs'!V187="","",'Model inputs'!V187&gt;=12))),IF('Model inputs'!AJ109="","",'Model inputs'!AJ109),IF(IF(IF(ISERROR('Model inputs'!V187&gt;=9),'Model inputs'!V187&gt;=9,IF('Model inputs'!V187="","",'Model inputs'!V187&gt;=9))="",FALSE,IF(ISERROR('Model inputs'!V187&gt;=9),'Model inputs'!V187&gt;=9,IF('Model inputs'!V187="","",'Model inputs'!V187&gt;=9))),IF('Model inputs'!AJ112="","",'Model inputs'!AJ112),0))))</f>
        <v>20000</v>
      </c>
      <c r="W448" s="8">
        <f>IF(IF(IF(ISERROR('Model inputs'!W187&gt;=24),'Model inputs'!W187&gt;=24,IF('Model inputs'!W187="","",'Model inputs'!W187&gt;=24))="",FALSE,IF(ISERROR('Model inputs'!W187&gt;=24),'Model inputs'!W187&gt;=24,IF('Model inputs'!W187="","",'Model inputs'!W187&gt;=24))),IF('Model inputs'!AJ111="","",'Model inputs'!AJ111),IF(IF(IF(ISERROR('Model inputs'!W187&gt;=18),'Model inputs'!W187&gt;=18,IF('Model inputs'!W187="","",'Model inputs'!W187&gt;=18))="",FALSE,IF(ISERROR('Model inputs'!W187&gt;=18),'Model inputs'!W187&gt;=18,IF('Model inputs'!W187="","",'Model inputs'!W187&gt;=18))),IF('Model inputs'!AJ110="","",'Model inputs'!AJ110),IF(IF(IF(ISERROR('Model inputs'!W187&gt;=12),'Model inputs'!W187&gt;=12,IF('Model inputs'!W187="","",'Model inputs'!W187&gt;=12))="",FALSE,IF(ISERROR('Model inputs'!W187&gt;=12),'Model inputs'!W187&gt;=12,IF('Model inputs'!W187="","",'Model inputs'!W187&gt;=12))),IF('Model inputs'!AJ109="","",'Model inputs'!AJ109),IF(IF(IF(ISERROR('Model inputs'!W187&gt;=9),'Model inputs'!W187&gt;=9,IF('Model inputs'!W187="","",'Model inputs'!W187&gt;=9))="",FALSE,IF(ISERROR('Model inputs'!W187&gt;=9),'Model inputs'!W187&gt;=9,IF('Model inputs'!W187="","",'Model inputs'!W187&gt;=9))),IF('Model inputs'!AJ112="","",'Model inputs'!AJ112),0))))</f>
        <v>40000</v>
      </c>
      <c r="X448" s="8">
        <f>IF(IF(IF(ISERROR('Model inputs'!X187&gt;=24),'Model inputs'!X187&gt;=24,IF('Model inputs'!X187="","",'Model inputs'!X187&gt;=24))="",FALSE,IF(ISERROR('Model inputs'!X187&gt;=24),'Model inputs'!X187&gt;=24,IF('Model inputs'!X187="","",'Model inputs'!X187&gt;=24))),IF('Model inputs'!AJ111="","",'Model inputs'!AJ111),IF(IF(IF(ISERROR('Model inputs'!X187&gt;=18),'Model inputs'!X187&gt;=18,IF('Model inputs'!X187="","",'Model inputs'!X187&gt;=18))="",FALSE,IF(ISERROR('Model inputs'!X187&gt;=18),'Model inputs'!X187&gt;=18,IF('Model inputs'!X187="","",'Model inputs'!X187&gt;=18))),IF('Model inputs'!AJ110="","",'Model inputs'!AJ110),IF(IF(IF(ISERROR('Model inputs'!X187&gt;=12),'Model inputs'!X187&gt;=12,IF('Model inputs'!X187="","",'Model inputs'!X187&gt;=12))="",FALSE,IF(ISERROR('Model inputs'!X187&gt;=12),'Model inputs'!X187&gt;=12,IF('Model inputs'!X187="","",'Model inputs'!X187&gt;=12))),IF('Model inputs'!AJ109="","",'Model inputs'!AJ109),IF(IF(IF(ISERROR('Model inputs'!X187&gt;=9),'Model inputs'!X187&gt;=9,IF('Model inputs'!X187="","",'Model inputs'!X187&gt;=9))="",FALSE,IF(ISERROR('Model inputs'!X187&gt;=9),'Model inputs'!X187&gt;=9,IF('Model inputs'!X187="","",'Model inputs'!X187&gt;=9))),IF('Model inputs'!AJ112="","",'Model inputs'!AJ112),0))))</f>
        <v>40000</v>
      </c>
      <c r="Y448" s="8">
        <f>IF(IF(IF(ISERROR('Model inputs'!Y187&gt;=24),'Model inputs'!Y187&gt;=24,IF('Model inputs'!Y187="","",'Model inputs'!Y187&gt;=24))="",FALSE,IF(ISERROR('Model inputs'!Y187&gt;=24),'Model inputs'!Y187&gt;=24,IF('Model inputs'!Y187="","",'Model inputs'!Y187&gt;=24))),IF('Model inputs'!AJ111="","",'Model inputs'!AJ111),IF(IF(IF(ISERROR('Model inputs'!Y187&gt;=18),'Model inputs'!Y187&gt;=18,IF('Model inputs'!Y187="","",'Model inputs'!Y187&gt;=18))="",FALSE,IF(ISERROR('Model inputs'!Y187&gt;=18),'Model inputs'!Y187&gt;=18,IF('Model inputs'!Y187="","",'Model inputs'!Y187&gt;=18))),IF('Model inputs'!AJ110="","",'Model inputs'!AJ110),IF(IF(IF(ISERROR('Model inputs'!Y187&gt;=12),'Model inputs'!Y187&gt;=12,IF('Model inputs'!Y187="","",'Model inputs'!Y187&gt;=12))="",FALSE,IF(ISERROR('Model inputs'!Y187&gt;=12),'Model inputs'!Y187&gt;=12,IF('Model inputs'!Y187="","",'Model inputs'!Y187&gt;=12))),IF('Model inputs'!AJ109="","",'Model inputs'!AJ109),IF(IF(IF(ISERROR('Model inputs'!Y187&gt;=9),'Model inputs'!Y187&gt;=9,IF('Model inputs'!Y187="","",'Model inputs'!Y187&gt;=9))="",FALSE,IF(ISERROR('Model inputs'!Y187&gt;=9),'Model inputs'!Y187&gt;=9,IF('Model inputs'!Y187="","",'Model inputs'!Y187&gt;=9))),IF('Model inputs'!AJ112="","",'Model inputs'!AJ112),0))))</f>
        <v>40000</v>
      </c>
      <c r="Z448" s="8">
        <f>IF(IF(IF(ISERROR('Model inputs'!Z187&gt;=24),'Model inputs'!Z187&gt;=24,IF('Model inputs'!Z187="","",'Model inputs'!Z187&gt;=24))="",FALSE,IF(ISERROR('Model inputs'!Z187&gt;=24),'Model inputs'!Z187&gt;=24,IF('Model inputs'!Z187="","",'Model inputs'!Z187&gt;=24))),IF('Model inputs'!AJ111="","",'Model inputs'!AJ111),IF(IF(IF(ISERROR('Model inputs'!Z187&gt;=18),'Model inputs'!Z187&gt;=18,IF('Model inputs'!Z187="","",'Model inputs'!Z187&gt;=18))="",FALSE,IF(ISERROR('Model inputs'!Z187&gt;=18),'Model inputs'!Z187&gt;=18,IF('Model inputs'!Z187="","",'Model inputs'!Z187&gt;=18))),IF('Model inputs'!AJ110="","",'Model inputs'!AJ110),IF(IF(IF(ISERROR('Model inputs'!Z187&gt;=12),'Model inputs'!Z187&gt;=12,IF('Model inputs'!Z187="","",'Model inputs'!Z187&gt;=12))="",FALSE,IF(ISERROR('Model inputs'!Z187&gt;=12),'Model inputs'!Z187&gt;=12,IF('Model inputs'!Z187="","",'Model inputs'!Z187&gt;=12))),IF('Model inputs'!AJ109="","",'Model inputs'!AJ109),IF(IF(IF(ISERROR('Model inputs'!Z187&gt;=9),'Model inputs'!Z187&gt;=9,IF('Model inputs'!Z187="","",'Model inputs'!Z187&gt;=9))="",FALSE,IF(ISERROR('Model inputs'!Z187&gt;=9),'Model inputs'!Z187&gt;=9,IF('Model inputs'!Z187="","",'Model inputs'!Z187&gt;=9))),IF('Model inputs'!AJ112="","",'Model inputs'!AJ112),0))))</f>
        <v>40000</v>
      </c>
      <c r="AA448" s="8">
        <f>IF(IF(IF(ISERROR('Model inputs'!AA187&gt;=24),'Model inputs'!AA187&gt;=24,IF('Model inputs'!AA187="","",'Model inputs'!AA187&gt;=24))="",FALSE,IF(ISERROR('Model inputs'!AA187&gt;=24),'Model inputs'!AA187&gt;=24,IF('Model inputs'!AA187="","",'Model inputs'!AA187&gt;=24))),IF('Model inputs'!AJ111="","",'Model inputs'!AJ111),IF(IF(IF(ISERROR('Model inputs'!AA187&gt;=18),'Model inputs'!AA187&gt;=18,IF('Model inputs'!AA187="","",'Model inputs'!AA187&gt;=18))="",FALSE,IF(ISERROR('Model inputs'!AA187&gt;=18),'Model inputs'!AA187&gt;=18,IF('Model inputs'!AA187="","",'Model inputs'!AA187&gt;=18))),IF('Model inputs'!AJ110="","",'Model inputs'!AJ110),IF(IF(IF(ISERROR('Model inputs'!AA187&gt;=12),'Model inputs'!AA187&gt;=12,IF('Model inputs'!AA187="","",'Model inputs'!AA187&gt;=12))="",FALSE,IF(ISERROR('Model inputs'!AA187&gt;=12),'Model inputs'!AA187&gt;=12,IF('Model inputs'!AA187="","",'Model inputs'!AA187&gt;=12))),IF('Model inputs'!AJ109="","",'Model inputs'!AJ109),IF(IF(IF(ISERROR('Model inputs'!AA187&gt;=9),'Model inputs'!AA187&gt;=9,IF('Model inputs'!AA187="","",'Model inputs'!AA187&gt;=9))="",FALSE,IF(ISERROR('Model inputs'!AA187&gt;=9),'Model inputs'!AA187&gt;=9,IF('Model inputs'!AA187="","",'Model inputs'!AA187&gt;=9))),IF('Model inputs'!AJ112="","",'Model inputs'!AJ112),0))))</f>
        <v>40000</v>
      </c>
      <c r="AB448" s="8">
        <f>IF(IF(IF(ISERROR('Model inputs'!AB187&gt;=24),'Model inputs'!AB187&gt;=24,IF('Model inputs'!AB187="","",'Model inputs'!AB187&gt;=24))="",FALSE,IF(ISERROR('Model inputs'!AB187&gt;=24),'Model inputs'!AB187&gt;=24,IF('Model inputs'!AB187="","",'Model inputs'!AB187&gt;=24))),IF('Model inputs'!AJ111="","",'Model inputs'!AJ111),IF(IF(IF(ISERROR('Model inputs'!AB187&gt;=18),'Model inputs'!AB187&gt;=18,IF('Model inputs'!AB187="","",'Model inputs'!AB187&gt;=18))="",FALSE,IF(ISERROR('Model inputs'!AB187&gt;=18),'Model inputs'!AB187&gt;=18,IF('Model inputs'!AB187="","",'Model inputs'!AB187&gt;=18))),IF('Model inputs'!AJ110="","",'Model inputs'!AJ110),IF(IF(IF(ISERROR('Model inputs'!AB187&gt;=12),'Model inputs'!AB187&gt;=12,IF('Model inputs'!AB187="","",'Model inputs'!AB187&gt;=12))="",FALSE,IF(ISERROR('Model inputs'!AB187&gt;=12),'Model inputs'!AB187&gt;=12,IF('Model inputs'!AB187="","",'Model inputs'!AB187&gt;=12))),IF('Model inputs'!AJ109="","",'Model inputs'!AJ109),IF(IF(IF(ISERROR('Model inputs'!AB187&gt;=9),'Model inputs'!AB187&gt;=9,IF('Model inputs'!AB187="","",'Model inputs'!AB187&gt;=9))="",FALSE,IF(ISERROR('Model inputs'!AB187&gt;=9),'Model inputs'!AB187&gt;=9,IF('Model inputs'!AB187="","",'Model inputs'!AB187&gt;=9))),IF('Model inputs'!AJ112="","",'Model inputs'!AJ112),0))))</f>
        <v>40000</v>
      </c>
      <c r="AC448" s="8">
        <f>IF(IF(IF(ISERROR('Model inputs'!AC187&gt;=24),'Model inputs'!AC187&gt;=24,IF('Model inputs'!AC187="","",'Model inputs'!AC187&gt;=24))="",FALSE,IF(ISERROR('Model inputs'!AC187&gt;=24),'Model inputs'!AC187&gt;=24,IF('Model inputs'!AC187="","",'Model inputs'!AC187&gt;=24))),IF('Model inputs'!AJ111="","",'Model inputs'!AJ111),IF(IF(IF(ISERROR('Model inputs'!AC187&gt;=18),'Model inputs'!AC187&gt;=18,IF('Model inputs'!AC187="","",'Model inputs'!AC187&gt;=18))="",FALSE,IF(ISERROR('Model inputs'!AC187&gt;=18),'Model inputs'!AC187&gt;=18,IF('Model inputs'!AC187="","",'Model inputs'!AC187&gt;=18))),IF('Model inputs'!AJ110="","",'Model inputs'!AJ110),IF(IF(IF(ISERROR('Model inputs'!AC187&gt;=12),'Model inputs'!AC187&gt;=12,IF('Model inputs'!AC187="","",'Model inputs'!AC187&gt;=12))="",FALSE,IF(ISERROR('Model inputs'!AC187&gt;=12),'Model inputs'!AC187&gt;=12,IF('Model inputs'!AC187="","",'Model inputs'!AC187&gt;=12))),IF('Model inputs'!AJ109="","",'Model inputs'!AJ109),IF(IF(IF(ISERROR('Model inputs'!AC187&gt;=9),'Model inputs'!AC187&gt;=9,IF('Model inputs'!AC187="","",'Model inputs'!AC187&gt;=9))="",FALSE,IF(ISERROR('Model inputs'!AC187&gt;=9),'Model inputs'!AC187&gt;=9,IF('Model inputs'!AC187="","",'Model inputs'!AC187&gt;=9))),IF('Model inputs'!AJ112="","",'Model inputs'!AJ112),0))))</f>
        <v>70000</v>
      </c>
      <c r="AD448" s="8">
        <f>IF(IF(IF(ISERROR('Model inputs'!AD187&gt;=24),'Model inputs'!AD187&gt;=24,IF('Model inputs'!AD187="","",'Model inputs'!AD187&gt;=24))="",FALSE,IF(ISERROR('Model inputs'!AD187&gt;=24),'Model inputs'!AD187&gt;=24,IF('Model inputs'!AD187="","",'Model inputs'!AD187&gt;=24))),IF('Model inputs'!AJ111="","",'Model inputs'!AJ111),IF(IF(IF(ISERROR('Model inputs'!AD187&gt;=18),'Model inputs'!AD187&gt;=18,IF('Model inputs'!AD187="","",'Model inputs'!AD187&gt;=18))="",FALSE,IF(ISERROR('Model inputs'!AD187&gt;=18),'Model inputs'!AD187&gt;=18,IF('Model inputs'!AD187="","",'Model inputs'!AD187&gt;=18))),IF('Model inputs'!AJ110="","",'Model inputs'!AJ110),IF(IF(IF(ISERROR('Model inputs'!AD187&gt;=12),'Model inputs'!AD187&gt;=12,IF('Model inputs'!AD187="","",'Model inputs'!AD187&gt;=12))="",FALSE,IF(ISERROR('Model inputs'!AD187&gt;=12),'Model inputs'!AD187&gt;=12,IF('Model inputs'!AD187="","",'Model inputs'!AD187&gt;=12))),IF('Model inputs'!AJ109="","",'Model inputs'!AJ109),IF(IF(IF(ISERROR('Model inputs'!AD187&gt;=9),'Model inputs'!AD187&gt;=9,IF('Model inputs'!AD187="","",'Model inputs'!AD187&gt;=9))="",FALSE,IF(ISERROR('Model inputs'!AD187&gt;=9),'Model inputs'!AD187&gt;=9,IF('Model inputs'!AD187="","",'Model inputs'!AD187&gt;=9))),IF('Model inputs'!AJ112="","",'Model inputs'!AJ112),0))))</f>
        <v>70000</v>
      </c>
      <c r="AE448" s="8">
        <f>IF(IF(IF(ISERROR('Model inputs'!AE187&gt;=24),'Model inputs'!AE187&gt;=24,IF('Model inputs'!AE187="","",'Model inputs'!AE187&gt;=24))="",FALSE,IF(ISERROR('Model inputs'!AE187&gt;=24),'Model inputs'!AE187&gt;=24,IF('Model inputs'!AE187="","",'Model inputs'!AE187&gt;=24))),IF('Model inputs'!AJ111="","",'Model inputs'!AJ111),IF(IF(IF(ISERROR('Model inputs'!AE187&gt;=18),'Model inputs'!AE187&gt;=18,IF('Model inputs'!AE187="","",'Model inputs'!AE187&gt;=18))="",FALSE,IF(ISERROR('Model inputs'!AE187&gt;=18),'Model inputs'!AE187&gt;=18,IF('Model inputs'!AE187="","",'Model inputs'!AE187&gt;=18))),IF('Model inputs'!AJ110="","",'Model inputs'!AJ110),IF(IF(IF(ISERROR('Model inputs'!AE187&gt;=12),'Model inputs'!AE187&gt;=12,IF('Model inputs'!AE187="","",'Model inputs'!AE187&gt;=12))="",FALSE,IF(ISERROR('Model inputs'!AE187&gt;=12),'Model inputs'!AE187&gt;=12,IF('Model inputs'!AE187="","",'Model inputs'!AE187&gt;=12))),IF('Model inputs'!AJ109="","",'Model inputs'!AJ109),IF(IF(IF(ISERROR('Model inputs'!AE187&gt;=9),'Model inputs'!AE187&gt;=9,IF('Model inputs'!AE187="","",'Model inputs'!AE187&gt;=9))="",FALSE,IF(ISERROR('Model inputs'!AE187&gt;=9),'Model inputs'!AE187&gt;=9,IF('Model inputs'!AE187="","",'Model inputs'!AE187&gt;=9))),IF('Model inputs'!AJ112="","",'Model inputs'!AJ112),0))))</f>
        <v>70000</v>
      </c>
      <c r="AF448" s="8">
        <f>IF(IF(IF(ISERROR('Model inputs'!AF187&gt;=24),'Model inputs'!AF187&gt;=24,IF('Model inputs'!AF187="","",'Model inputs'!AF187&gt;=24))="",FALSE,IF(ISERROR('Model inputs'!AF187&gt;=24),'Model inputs'!AF187&gt;=24,IF('Model inputs'!AF187="","",'Model inputs'!AF187&gt;=24))),IF('Model inputs'!AJ111="","",'Model inputs'!AJ111),IF(IF(IF(ISERROR('Model inputs'!AF187&gt;=18),'Model inputs'!AF187&gt;=18,IF('Model inputs'!AF187="","",'Model inputs'!AF187&gt;=18))="",FALSE,IF(ISERROR('Model inputs'!AF187&gt;=18),'Model inputs'!AF187&gt;=18,IF('Model inputs'!AF187="","",'Model inputs'!AF187&gt;=18))),IF('Model inputs'!AJ110="","",'Model inputs'!AJ110),IF(IF(IF(ISERROR('Model inputs'!AF187&gt;=12),'Model inputs'!AF187&gt;=12,IF('Model inputs'!AF187="","",'Model inputs'!AF187&gt;=12))="",FALSE,IF(ISERROR('Model inputs'!AF187&gt;=12),'Model inputs'!AF187&gt;=12,IF('Model inputs'!AF187="","",'Model inputs'!AF187&gt;=12))),IF('Model inputs'!AJ109="","",'Model inputs'!AJ109),IF(IF(IF(ISERROR('Model inputs'!AF187&gt;=9),'Model inputs'!AF187&gt;=9,IF('Model inputs'!AF187="","",'Model inputs'!AF187&gt;=9))="",FALSE,IF(ISERROR('Model inputs'!AF187&gt;=9),'Model inputs'!AF187&gt;=9,IF('Model inputs'!AF187="","",'Model inputs'!AF187&gt;=9))),IF('Model inputs'!AJ112="","",'Model inputs'!AJ112),0))))</f>
        <v>70000</v>
      </c>
      <c r="AG448" s="8">
        <f>IF(IF(IF(ISERROR('Model inputs'!AG187&gt;=24),'Model inputs'!AG187&gt;=24,IF('Model inputs'!AG187="","",'Model inputs'!AG187&gt;=24))="",FALSE,IF(ISERROR('Model inputs'!AG187&gt;=24),'Model inputs'!AG187&gt;=24,IF('Model inputs'!AG187="","",'Model inputs'!AG187&gt;=24))),IF('Model inputs'!AJ111="","",'Model inputs'!AJ111),IF(IF(IF(ISERROR('Model inputs'!AG187&gt;=18),'Model inputs'!AG187&gt;=18,IF('Model inputs'!AG187="","",'Model inputs'!AG187&gt;=18))="",FALSE,IF(ISERROR('Model inputs'!AG187&gt;=18),'Model inputs'!AG187&gt;=18,IF('Model inputs'!AG187="","",'Model inputs'!AG187&gt;=18))),IF('Model inputs'!AJ110="","",'Model inputs'!AJ110),IF(IF(IF(ISERROR('Model inputs'!AG187&gt;=12),'Model inputs'!AG187&gt;=12,IF('Model inputs'!AG187="","",'Model inputs'!AG187&gt;=12))="",FALSE,IF(ISERROR('Model inputs'!AG187&gt;=12),'Model inputs'!AG187&gt;=12,IF('Model inputs'!AG187="","",'Model inputs'!AG187&gt;=12))),IF('Model inputs'!AJ109="","",'Model inputs'!AJ109),IF(IF(IF(ISERROR('Model inputs'!AG187&gt;=9),'Model inputs'!AG187&gt;=9,IF('Model inputs'!AG187="","",'Model inputs'!AG187&gt;=9))="",FALSE,IF(ISERROR('Model inputs'!AG187&gt;=9),'Model inputs'!AG187&gt;=9,IF('Model inputs'!AG187="","",'Model inputs'!AG187&gt;=9))),IF('Model inputs'!AJ112="","",'Model inputs'!AJ112),0))))</f>
        <v>70000</v>
      </c>
      <c r="AH448" s="8">
        <f>IF(IF(IF(ISERROR('Model inputs'!AH187&gt;=24),'Model inputs'!AH187&gt;=24,IF('Model inputs'!AH187="","",'Model inputs'!AH187&gt;=24))="",FALSE,IF(ISERROR('Model inputs'!AH187&gt;=24),'Model inputs'!AH187&gt;=24,IF('Model inputs'!AH187="","",'Model inputs'!AH187&gt;=24))),IF('Model inputs'!AJ111="","",'Model inputs'!AJ111),IF(IF(IF(ISERROR('Model inputs'!AH187&gt;=18),'Model inputs'!AH187&gt;=18,IF('Model inputs'!AH187="","",'Model inputs'!AH187&gt;=18))="",FALSE,IF(ISERROR('Model inputs'!AH187&gt;=18),'Model inputs'!AH187&gt;=18,IF('Model inputs'!AH187="","",'Model inputs'!AH187&gt;=18))),IF('Model inputs'!AJ110="","",'Model inputs'!AJ110),IF(IF(IF(ISERROR('Model inputs'!AH187&gt;=12),'Model inputs'!AH187&gt;=12,IF('Model inputs'!AH187="","",'Model inputs'!AH187&gt;=12))="",FALSE,IF(ISERROR('Model inputs'!AH187&gt;=12),'Model inputs'!AH187&gt;=12,IF('Model inputs'!AH187="","",'Model inputs'!AH187&gt;=12))),IF('Model inputs'!AJ109="","",'Model inputs'!AJ109),IF(IF(IF(ISERROR('Model inputs'!AH187&gt;=9),'Model inputs'!AH187&gt;=9,IF('Model inputs'!AH187="","",'Model inputs'!AH187&gt;=9))="",FALSE,IF(ISERROR('Model inputs'!AH187&gt;=9),'Model inputs'!AH187&gt;=9,IF('Model inputs'!AH187="","",'Model inputs'!AH187&gt;=9))),IF('Model inputs'!AJ112="","",'Model inputs'!AJ112),0))))</f>
        <v>70000</v>
      </c>
      <c r="AI448" s="8">
        <f>IF(IF(IF(ISERROR('Model inputs'!AI187&gt;=24),'Model inputs'!AI187&gt;=24,IF('Model inputs'!AI187="","",'Model inputs'!AI187&gt;=24))="",FALSE,IF(ISERROR('Model inputs'!AI187&gt;=24),'Model inputs'!AI187&gt;=24,IF('Model inputs'!AI187="","",'Model inputs'!AI187&gt;=24))),IF('Model inputs'!AJ111="","",'Model inputs'!AJ111),IF(IF(IF(ISERROR('Model inputs'!AI187&gt;=18),'Model inputs'!AI187&gt;=18,IF('Model inputs'!AI187="","",'Model inputs'!AI187&gt;=18))="",FALSE,IF(ISERROR('Model inputs'!AI187&gt;=18),'Model inputs'!AI187&gt;=18,IF('Model inputs'!AI187="","",'Model inputs'!AI187&gt;=18))),IF('Model inputs'!AJ110="","",'Model inputs'!AJ110),IF(IF(IF(ISERROR('Model inputs'!AI187&gt;=12),'Model inputs'!AI187&gt;=12,IF('Model inputs'!AI187="","",'Model inputs'!AI187&gt;=12))="",FALSE,IF(ISERROR('Model inputs'!AI187&gt;=12),'Model inputs'!AI187&gt;=12,IF('Model inputs'!AI187="","",'Model inputs'!AI187&gt;=12))),IF('Model inputs'!AJ109="","",'Model inputs'!AJ109),IF(IF(IF(ISERROR('Model inputs'!AI187&gt;=9),'Model inputs'!AI187&gt;=9,IF('Model inputs'!AI187="","",'Model inputs'!AI187&gt;=9))="",FALSE,IF(ISERROR('Model inputs'!AI187&gt;=9),'Model inputs'!AI187&gt;=9,IF('Model inputs'!AI187="","",'Model inputs'!AI187&gt;=9))),IF('Model inputs'!AJ112="","",'Model inputs'!AJ112),0))))</f>
        <v>100000</v>
      </c>
    </row>
    <row r="449">
      <c r="A449" t="inlineStr" s="13">
        <is>
          <t xml:space="preserve">Haq Employer workers · Haq Ending cash · Conservative · Conservative</t>
        </is>
      </c>
      <c r="B449" s="8">
        <f>IF(IF(IF(ISERROR('Model inputs'!B188&gt;=24),'Model inputs'!B188&gt;=24,IF('Model inputs'!B188="","",'Model inputs'!B188&gt;=24))="",FALSE,IF(ISERROR('Model inputs'!B188&gt;=24),'Model inputs'!B188&gt;=24,IF('Model inputs'!B188="","",'Model inputs'!B188&gt;=24))),IF('Model inputs'!AJ167="","",'Model inputs'!AJ167),IF(IF(IF(ISERROR('Model inputs'!B188&gt;=18),'Model inputs'!B188&gt;=18,IF('Model inputs'!B188="","",'Model inputs'!B188&gt;=18))="",FALSE,IF(ISERROR('Model inputs'!B188&gt;=18),'Model inputs'!B188&gt;=18,IF('Model inputs'!B188="","",'Model inputs'!B188&gt;=18))),IF('Model inputs'!AJ166="","",'Model inputs'!AJ166),IF(IF(IF(ISERROR('Model inputs'!B188&gt;=12),'Model inputs'!B188&gt;=12,IF('Model inputs'!B188="","",'Model inputs'!B188&gt;=12))="",FALSE,IF(ISERROR('Model inputs'!B188&gt;=12),'Model inputs'!B188&gt;=12,IF('Model inputs'!B188="","",'Model inputs'!B188&gt;=12))),IF('Model inputs'!AJ165="","",'Model inputs'!AJ165),IF(IF(IF(ISERROR('Model inputs'!B188&gt;=9),'Model inputs'!B188&gt;=9,IF('Model inputs'!B188="","",'Model inputs'!B188&gt;=9))="",FALSE,IF(ISERROR('Model inputs'!B188&gt;=9),'Model inputs'!B188&gt;=9,IF('Model inputs'!B188="","",'Model inputs'!B188&gt;=9))),IF('Model inputs'!AJ168="","",'Model inputs'!AJ168),0))))</f>
        <v>0</v>
      </c>
      <c r="C449" s="8">
        <f>IF(IF(IF(ISERROR('Model inputs'!C188&gt;=24),'Model inputs'!C188&gt;=24,IF('Model inputs'!C188="","",'Model inputs'!C188&gt;=24))="",FALSE,IF(ISERROR('Model inputs'!C188&gt;=24),'Model inputs'!C188&gt;=24,IF('Model inputs'!C188="","",'Model inputs'!C188&gt;=24))),IF('Model inputs'!AJ167="","",'Model inputs'!AJ167),IF(IF(IF(ISERROR('Model inputs'!C188&gt;=18),'Model inputs'!C188&gt;=18,IF('Model inputs'!C188="","",'Model inputs'!C188&gt;=18))="",FALSE,IF(ISERROR('Model inputs'!C188&gt;=18),'Model inputs'!C188&gt;=18,IF('Model inputs'!C188="","",'Model inputs'!C188&gt;=18))),IF('Model inputs'!AJ166="","",'Model inputs'!AJ166),IF(IF(IF(ISERROR('Model inputs'!C188&gt;=12),'Model inputs'!C188&gt;=12,IF('Model inputs'!C188="","",'Model inputs'!C188&gt;=12))="",FALSE,IF(ISERROR('Model inputs'!C188&gt;=12),'Model inputs'!C188&gt;=12,IF('Model inputs'!C188="","",'Model inputs'!C188&gt;=12))),IF('Model inputs'!AJ165="","",'Model inputs'!AJ165),IF(IF(IF(ISERROR('Model inputs'!C188&gt;=9),'Model inputs'!C188&gt;=9,IF('Model inputs'!C188="","",'Model inputs'!C188&gt;=9))="",FALSE,IF(ISERROR('Model inputs'!C188&gt;=9),'Model inputs'!C188&gt;=9,IF('Model inputs'!C188="","",'Model inputs'!C188&gt;=9))),IF('Model inputs'!AJ168="","",'Model inputs'!AJ168),0))))</f>
        <v>0</v>
      </c>
      <c r="D449" s="8">
        <f>IF(IF(IF(ISERROR('Model inputs'!D188&gt;=24),'Model inputs'!D188&gt;=24,IF('Model inputs'!D188="","",'Model inputs'!D188&gt;=24))="",FALSE,IF(ISERROR('Model inputs'!D188&gt;=24),'Model inputs'!D188&gt;=24,IF('Model inputs'!D188="","",'Model inputs'!D188&gt;=24))),IF('Model inputs'!AJ167="","",'Model inputs'!AJ167),IF(IF(IF(ISERROR('Model inputs'!D188&gt;=18),'Model inputs'!D188&gt;=18,IF('Model inputs'!D188="","",'Model inputs'!D188&gt;=18))="",FALSE,IF(ISERROR('Model inputs'!D188&gt;=18),'Model inputs'!D188&gt;=18,IF('Model inputs'!D188="","",'Model inputs'!D188&gt;=18))),IF('Model inputs'!AJ166="","",'Model inputs'!AJ166),IF(IF(IF(ISERROR('Model inputs'!D188&gt;=12),'Model inputs'!D188&gt;=12,IF('Model inputs'!D188="","",'Model inputs'!D188&gt;=12))="",FALSE,IF(ISERROR('Model inputs'!D188&gt;=12),'Model inputs'!D188&gt;=12,IF('Model inputs'!D188="","",'Model inputs'!D188&gt;=12))),IF('Model inputs'!AJ165="","",'Model inputs'!AJ165),IF(IF(IF(ISERROR('Model inputs'!D188&gt;=9),'Model inputs'!D188&gt;=9,IF('Model inputs'!D188="","",'Model inputs'!D188&gt;=9))="",FALSE,IF(ISERROR('Model inputs'!D188&gt;=9),'Model inputs'!D188&gt;=9,IF('Model inputs'!D188="","",'Model inputs'!D188&gt;=9))),IF('Model inputs'!AJ168="","",'Model inputs'!AJ168),0))))</f>
        <v>0</v>
      </c>
      <c r="E449" s="8">
        <f>IF(IF(IF(ISERROR('Model inputs'!E188&gt;=24),'Model inputs'!E188&gt;=24,IF('Model inputs'!E188="","",'Model inputs'!E188&gt;=24))="",FALSE,IF(ISERROR('Model inputs'!E188&gt;=24),'Model inputs'!E188&gt;=24,IF('Model inputs'!E188="","",'Model inputs'!E188&gt;=24))),IF('Model inputs'!AJ167="","",'Model inputs'!AJ167),IF(IF(IF(ISERROR('Model inputs'!E188&gt;=18),'Model inputs'!E188&gt;=18,IF('Model inputs'!E188="","",'Model inputs'!E188&gt;=18))="",FALSE,IF(ISERROR('Model inputs'!E188&gt;=18),'Model inputs'!E188&gt;=18,IF('Model inputs'!E188="","",'Model inputs'!E188&gt;=18))),IF('Model inputs'!AJ166="","",'Model inputs'!AJ166),IF(IF(IF(ISERROR('Model inputs'!E188&gt;=12),'Model inputs'!E188&gt;=12,IF('Model inputs'!E188="","",'Model inputs'!E188&gt;=12))="",FALSE,IF(ISERROR('Model inputs'!E188&gt;=12),'Model inputs'!E188&gt;=12,IF('Model inputs'!E188="","",'Model inputs'!E188&gt;=12))),IF('Model inputs'!AJ165="","",'Model inputs'!AJ165),IF(IF(IF(ISERROR('Model inputs'!E188&gt;=9),'Model inputs'!E188&gt;=9,IF('Model inputs'!E188="","",'Model inputs'!E188&gt;=9))="",FALSE,IF(ISERROR('Model inputs'!E188&gt;=9),'Model inputs'!E188&gt;=9,IF('Model inputs'!E188="","",'Model inputs'!E188&gt;=9))),IF('Model inputs'!AJ168="","",'Model inputs'!AJ168),0))))</f>
        <v>0</v>
      </c>
      <c r="F449" s="8">
        <f>IF(IF(IF(ISERROR('Model inputs'!F188&gt;=24),'Model inputs'!F188&gt;=24,IF('Model inputs'!F188="","",'Model inputs'!F188&gt;=24))="",FALSE,IF(ISERROR('Model inputs'!F188&gt;=24),'Model inputs'!F188&gt;=24,IF('Model inputs'!F188="","",'Model inputs'!F188&gt;=24))),IF('Model inputs'!AJ167="","",'Model inputs'!AJ167),IF(IF(IF(ISERROR('Model inputs'!F188&gt;=18),'Model inputs'!F188&gt;=18,IF('Model inputs'!F188="","",'Model inputs'!F188&gt;=18))="",FALSE,IF(ISERROR('Model inputs'!F188&gt;=18),'Model inputs'!F188&gt;=18,IF('Model inputs'!F188="","",'Model inputs'!F188&gt;=18))),IF('Model inputs'!AJ166="","",'Model inputs'!AJ166),IF(IF(IF(ISERROR('Model inputs'!F188&gt;=12),'Model inputs'!F188&gt;=12,IF('Model inputs'!F188="","",'Model inputs'!F188&gt;=12))="",FALSE,IF(ISERROR('Model inputs'!F188&gt;=12),'Model inputs'!F188&gt;=12,IF('Model inputs'!F188="","",'Model inputs'!F188&gt;=12))),IF('Model inputs'!AJ165="","",'Model inputs'!AJ165),IF(IF(IF(ISERROR('Model inputs'!F188&gt;=9),'Model inputs'!F188&gt;=9,IF('Model inputs'!F188="","",'Model inputs'!F188&gt;=9))="",FALSE,IF(ISERROR('Model inputs'!F188&gt;=9),'Model inputs'!F188&gt;=9,IF('Model inputs'!F188="","",'Model inputs'!F188&gt;=9))),IF('Model inputs'!AJ168="","",'Model inputs'!AJ168),0))))</f>
        <v>0</v>
      </c>
      <c r="G449" s="8">
        <f>IF(IF(IF(ISERROR('Model inputs'!G188&gt;=24),'Model inputs'!G188&gt;=24,IF('Model inputs'!G188="","",'Model inputs'!G188&gt;=24))="",FALSE,IF(ISERROR('Model inputs'!G188&gt;=24),'Model inputs'!G188&gt;=24,IF('Model inputs'!G188="","",'Model inputs'!G188&gt;=24))),IF('Model inputs'!AJ167="","",'Model inputs'!AJ167),IF(IF(IF(ISERROR('Model inputs'!G188&gt;=18),'Model inputs'!G188&gt;=18,IF('Model inputs'!G188="","",'Model inputs'!G188&gt;=18))="",FALSE,IF(ISERROR('Model inputs'!G188&gt;=18),'Model inputs'!G188&gt;=18,IF('Model inputs'!G188="","",'Model inputs'!G188&gt;=18))),IF('Model inputs'!AJ166="","",'Model inputs'!AJ166),IF(IF(IF(ISERROR('Model inputs'!G188&gt;=12),'Model inputs'!G188&gt;=12,IF('Model inputs'!G188="","",'Model inputs'!G188&gt;=12))="",FALSE,IF(ISERROR('Model inputs'!G188&gt;=12),'Model inputs'!G188&gt;=12,IF('Model inputs'!G188="","",'Model inputs'!G188&gt;=12))),IF('Model inputs'!AJ165="","",'Model inputs'!AJ165),IF(IF(IF(ISERROR('Model inputs'!G188&gt;=9),'Model inputs'!G188&gt;=9,IF('Model inputs'!G188="","",'Model inputs'!G188&gt;=9))="",FALSE,IF(ISERROR('Model inputs'!G188&gt;=9),'Model inputs'!G188&gt;=9,IF('Model inputs'!G188="","",'Model inputs'!G188&gt;=9))),IF('Model inputs'!AJ168="","",'Model inputs'!AJ168),0))))</f>
        <v>0</v>
      </c>
      <c r="H449" s="8">
        <f>IF(IF(IF(ISERROR('Model inputs'!H188&gt;=24),'Model inputs'!H188&gt;=24,IF('Model inputs'!H188="","",'Model inputs'!H188&gt;=24))="",FALSE,IF(ISERROR('Model inputs'!H188&gt;=24),'Model inputs'!H188&gt;=24,IF('Model inputs'!H188="","",'Model inputs'!H188&gt;=24))),IF('Model inputs'!AJ167="","",'Model inputs'!AJ167),IF(IF(IF(ISERROR('Model inputs'!H188&gt;=18),'Model inputs'!H188&gt;=18,IF('Model inputs'!H188="","",'Model inputs'!H188&gt;=18))="",FALSE,IF(ISERROR('Model inputs'!H188&gt;=18),'Model inputs'!H188&gt;=18,IF('Model inputs'!H188="","",'Model inputs'!H188&gt;=18))),IF('Model inputs'!AJ166="","",'Model inputs'!AJ166),IF(IF(IF(ISERROR('Model inputs'!H188&gt;=12),'Model inputs'!H188&gt;=12,IF('Model inputs'!H188="","",'Model inputs'!H188&gt;=12))="",FALSE,IF(ISERROR('Model inputs'!H188&gt;=12),'Model inputs'!H188&gt;=12,IF('Model inputs'!H188="","",'Model inputs'!H188&gt;=12))),IF('Model inputs'!AJ165="","",'Model inputs'!AJ165),IF(IF(IF(ISERROR('Model inputs'!H188&gt;=9),'Model inputs'!H188&gt;=9,IF('Model inputs'!H188="","",'Model inputs'!H188&gt;=9))="",FALSE,IF(ISERROR('Model inputs'!H188&gt;=9),'Model inputs'!H188&gt;=9,IF('Model inputs'!H188="","",'Model inputs'!H188&gt;=9))),IF('Model inputs'!AJ168="","",'Model inputs'!AJ168),0))))</f>
        <v>0</v>
      </c>
      <c r="I449" s="8">
        <f>IF(IF(IF(ISERROR('Model inputs'!I188&gt;=24),'Model inputs'!I188&gt;=24,IF('Model inputs'!I188="","",'Model inputs'!I188&gt;=24))="",FALSE,IF(ISERROR('Model inputs'!I188&gt;=24),'Model inputs'!I188&gt;=24,IF('Model inputs'!I188="","",'Model inputs'!I188&gt;=24))),IF('Model inputs'!AJ167="","",'Model inputs'!AJ167),IF(IF(IF(ISERROR('Model inputs'!I188&gt;=18),'Model inputs'!I188&gt;=18,IF('Model inputs'!I188="","",'Model inputs'!I188&gt;=18))="",FALSE,IF(ISERROR('Model inputs'!I188&gt;=18),'Model inputs'!I188&gt;=18,IF('Model inputs'!I188="","",'Model inputs'!I188&gt;=18))),IF('Model inputs'!AJ166="","",'Model inputs'!AJ166),IF(IF(IF(ISERROR('Model inputs'!I188&gt;=12),'Model inputs'!I188&gt;=12,IF('Model inputs'!I188="","",'Model inputs'!I188&gt;=12))="",FALSE,IF(ISERROR('Model inputs'!I188&gt;=12),'Model inputs'!I188&gt;=12,IF('Model inputs'!I188="","",'Model inputs'!I188&gt;=12))),IF('Model inputs'!AJ165="","",'Model inputs'!AJ165),IF(IF(IF(ISERROR('Model inputs'!I188&gt;=9),'Model inputs'!I188&gt;=9,IF('Model inputs'!I188="","",'Model inputs'!I188&gt;=9))="",FALSE,IF(ISERROR('Model inputs'!I188&gt;=9),'Model inputs'!I188&gt;=9,IF('Model inputs'!I188="","",'Model inputs'!I188&gt;=9))),IF('Model inputs'!AJ168="","",'Model inputs'!AJ168),0))))</f>
        <v>0</v>
      </c>
      <c r="J449" s="8">
        <f>IF(IF(IF(ISERROR('Model inputs'!J188&gt;=24),'Model inputs'!J188&gt;=24,IF('Model inputs'!J188="","",'Model inputs'!J188&gt;=24))="",FALSE,IF(ISERROR('Model inputs'!J188&gt;=24),'Model inputs'!J188&gt;=24,IF('Model inputs'!J188="","",'Model inputs'!J188&gt;=24))),IF('Model inputs'!AJ167="","",'Model inputs'!AJ167),IF(IF(IF(ISERROR('Model inputs'!J188&gt;=18),'Model inputs'!J188&gt;=18,IF('Model inputs'!J188="","",'Model inputs'!J188&gt;=18))="",FALSE,IF(ISERROR('Model inputs'!J188&gt;=18),'Model inputs'!J188&gt;=18,IF('Model inputs'!J188="","",'Model inputs'!J188&gt;=18))),IF('Model inputs'!AJ166="","",'Model inputs'!AJ166),IF(IF(IF(ISERROR('Model inputs'!J188&gt;=12),'Model inputs'!J188&gt;=12,IF('Model inputs'!J188="","",'Model inputs'!J188&gt;=12))="",FALSE,IF(ISERROR('Model inputs'!J188&gt;=12),'Model inputs'!J188&gt;=12,IF('Model inputs'!J188="","",'Model inputs'!J188&gt;=12))),IF('Model inputs'!AJ165="","",'Model inputs'!AJ165),IF(IF(IF(ISERROR('Model inputs'!J188&gt;=9),'Model inputs'!J188&gt;=9,IF('Model inputs'!J188="","",'Model inputs'!J188&gt;=9))="",FALSE,IF(ISERROR('Model inputs'!J188&gt;=9),'Model inputs'!J188&gt;=9,IF('Model inputs'!J188="","",'Model inputs'!J188&gt;=9))),IF('Model inputs'!AJ168="","",'Model inputs'!AJ168),0))))</f>
        <v>0</v>
      </c>
      <c r="K449" s="8">
        <f>IF(IF(IF(ISERROR('Model inputs'!K188&gt;=24),'Model inputs'!K188&gt;=24,IF('Model inputs'!K188="","",'Model inputs'!K188&gt;=24))="",FALSE,IF(ISERROR('Model inputs'!K188&gt;=24),'Model inputs'!K188&gt;=24,IF('Model inputs'!K188="","",'Model inputs'!K188&gt;=24))),IF('Model inputs'!AJ167="","",'Model inputs'!AJ167),IF(IF(IF(ISERROR('Model inputs'!K188&gt;=18),'Model inputs'!K188&gt;=18,IF('Model inputs'!K188="","",'Model inputs'!K188&gt;=18))="",FALSE,IF(ISERROR('Model inputs'!K188&gt;=18),'Model inputs'!K188&gt;=18,IF('Model inputs'!K188="","",'Model inputs'!K188&gt;=18))),IF('Model inputs'!AJ166="","",'Model inputs'!AJ166),IF(IF(IF(ISERROR('Model inputs'!K188&gt;=12),'Model inputs'!K188&gt;=12,IF('Model inputs'!K188="","",'Model inputs'!K188&gt;=12))="",FALSE,IF(ISERROR('Model inputs'!K188&gt;=12),'Model inputs'!K188&gt;=12,IF('Model inputs'!K188="","",'Model inputs'!K188&gt;=12))),IF('Model inputs'!AJ165="","",'Model inputs'!AJ165),IF(IF(IF(ISERROR('Model inputs'!K188&gt;=9),'Model inputs'!K188&gt;=9,IF('Model inputs'!K188="","",'Model inputs'!K188&gt;=9))="",FALSE,IF(ISERROR('Model inputs'!K188&gt;=9),'Model inputs'!K188&gt;=9,IF('Model inputs'!K188="","",'Model inputs'!K188&gt;=9))),IF('Model inputs'!AJ168="","",'Model inputs'!AJ168),0))))</f>
        <v>0</v>
      </c>
      <c r="L449" s="8">
        <f>IF(IF(IF(ISERROR('Model inputs'!L188&gt;=24),'Model inputs'!L188&gt;=24,IF('Model inputs'!L188="","",'Model inputs'!L188&gt;=24))="",FALSE,IF(ISERROR('Model inputs'!L188&gt;=24),'Model inputs'!L188&gt;=24,IF('Model inputs'!L188="","",'Model inputs'!L188&gt;=24))),IF('Model inputs'!AJ167="","",'Model inputs'!AJ167),IF(IF(IF(ISERROR('Model inputs'!L188&gt;=18),'Model inputs'!L188&gt;=18,IF('Model inputs'!L188="","",'Model inputs'!L188&gt;=18))="",FALSE,IF(ISERROR('Model inputs'!L188&gt;=18),'Model inputs'!L188&gt;=18,IF('Model inputs'!L188="","",'Model inputs'!L188&gt;=18))),IF('Model inputs'!AJ166="","",'Model inputs'!AJ166),IF(IF(IF(ISERROR('Model inputs'!L188&gt;=12),'Model inputs'!L188&gt;=12,IF('Model inputs'!L188="","",'Model inputs'!L188&gt;=12))="",FALSE,IF(ISERROR('Model inputs'!L188&gt;=12),'Model inputs'!L188&gt;=12,IF('Model inputs'!L188="","",'Model inputs'!L188&gt;=12))),IF('Model inputs'!AJ165="","",'Model inputs'!AJ165),IF(IF(IF(ISERROR('Model inputs'!L188&gt;=9),'Model inputs'!L188&gt;=9,IF('Model inputs'!L188="","",'Model inputs'!L188&gt;=9))="",FALSE,IF(ISERROR('Model inputs'!L188&gt;=9),'Model inputs'!L188&gt;=9,IF('Model inputs'!L188="","",'Model inputs'!L188&gt;=9))),IF('Model inputs'!AJ168="","",'Model inputs'!AJ168),0))))</f>
        <v>0</v>
      </c>
      <c r="M449" s="8">
        <f>IF(IF(IF(ISERROR('Model inputs'!M188&gt;=24),'Model inputs'!M188&gt;=24,IF('Model inputs'!M188="","",'Model inputs'!M188&gt;=24))="",FALSE,IF(ISERROR('Model inputs'!M188&gt;=24),'Model inputs'!M188&gt;=24,IF('Model inputs'!M188="","",'Model inputs'!M188&gt;=24))),IF('Model inputs'!AJ167="","",'Model inputs'!AJ167),IF(IF(IF(ISERROR('Model inputs'!M188&gt;=18),'Model inputs'!M188&gt;=18,IF('Model inputs'!M188="","",'Model inputs'!M188&gt;=18))="",FALSE,IF(ISERROR('Model inputs'!M188&gt;=18),'Model inputs'!M188&gt;=18,IF('Model inputs'!M188="","",'Model inputs'!M188&gt;=18))),IF('Model inputs'!AJ166="","",'Model inputs'!AJ166),IF(IF(IF(ISERROR('Model inputs'!M188&gt;=12),'Model inputs'!M188&gt;=12,IF('Model inputs'!M188="","",'Model inputs'!M188&gt;=12))="",FALSE,IF(ISERROR('Model inputs'!M188&gt;=12),'Model inputs'!M188&gt;=12,IF('Model inputs'!M188="","",'Model inputs'!M188&gt;=12))),IF('Model inputs'!AJ165="","",'Model inputs'!AJ165),IF(IF(IF(ISERROR('Model inputs'!M188&gt;=9),'Model inputs'!M188&gt;=9,IF('Model inputs'!M188="","",'Model inputs'!M188&gt;=9))="",FALSE,IF(ISERROR('Model inputs'!M188&gt;=9),'Model inputs'!M188&gt;=9,IF('Model inputs'!M188="","",'Model inputs'!M188&gt;=9))),IF('Model inputs'!AJ168="","",'Model inputs'!AJ168),0))))</f>
        <v>0</v>
      </c>
      <c r="N449" s="8">
        <f>IF(IF(IF(ISERROR('Model inputs'!N188&gt;=24),'Model inputs'!N188&gt;=24,IF('Model inputs'!N188="","",'Model inputs'!N188&gt;=24))="",FALSE,IF(ISERROR('Model inputs'!N188&gt;=24),'Model inputs'!N188&gt;=24,IF('Model inputs'!N188="","",'Model inputs'!N188&gt;=24))),IF('Model inputs'!AJ167="","",'Model inputs'!AJ167),IF(IF(IF(ISERROR('Model inputs'!N188&gt;=18),'Model inputs'!N188&gt;=18,IF('Model inputs'!N188="","",'Model inputs'!N188&gt;=18))="",FALSE,IF(ISERROR('Model inputs'!N188&gt;=18),'Model inputs'!N188&gt;=18,IF('Model inputs'!N188="","",'Model inputs'!N188&gt;=18))),IF('Model inputs'!AJ166="","",'Model inputs'!AJ166),IF(IF(IF(ISERROR('Model inputs'!N188&gt;=12),'Model inputs'!N188&gt;=12,IF('Model inputs'!N188="","",'Model inputs'!N188&gt;=12))="",FALSE,IF(ISERROR('Model inputs'!N188&gt;=12),'Model inputs'!N188&gt;=12,IF('Model inputs'!N188="","",'Model inputs'!N188&gt;=12))),IF('Model inputs'!AJ165="","",'Model inputs'!AJ165),IF(IF(IF(ISERROR('Model inputs'!N188&gt;=9),'Model inputs'!N188&gt;=9,IF('Model inputs'!N188="","",'Model inputs'!N188&gt;=9))="",FALSE,IF(ISERROR('Model inputs'!N188&gt;=9),'Model inputs'!N188&gt;=9,IF('Model inputs'!N188="","",'Model inputs'!N188&gt;=9))),IF('Model inputs'!AJ168="","",'Model inputs'!AJ168),0))))</f>
        <v>0</v>
      </c>
      <c r="O449" s="8">
        <f>IF(IF(IF(ISERROR('Model inputs'!O188&gt;=24),'Model inputs'!O188&gt;=24,IF('Model inputs'!O188="","",'Model inputs'!O188&gt;=24))="",FALSE,IF(ISERROR('Model inputs'!O188&gt;=24),'Model inputs'!O188&gt;=24,IF('Model inputs'!O188="","",'Model inputs'!O188&gt;=24))),IF('Model inputs'!AJ167="","",'Model inputs'!AJ167),IF(IF(IF(ISERROR('Model inputs'!O188&gt;=18),'Model inputs'!O188&gt;=18,IF('Model inputs'!O188="","",'Model inputs'!O188&gt;=18))="",FALSE,IF(ISERROR('Model inputs'!O188&gt;=18),'Model inputs'!O188&gt;=18,IF('Model inputs'!O188="","",'Model inputs'!O188&gt;=18))),IF('Model inputs'!AJ166="","",'Model inputs'!AJ166),IF(IF(IF(ISERROR('Model inputs'!O188&gt;=12),'Model inputs'!O188&gt;=12,IF('Model inputs'!O188="","",'Model inputs'!O188&gt;=12))="",FALSE,IF(ISERROR('Model inputs'!O188&gt;=12),'Model inputs'!O188&gt;=12,IF('Model inputs'!O188="","",'Model inputs'!O188&gt;=12))),IF('Model inputs'!AJ165="","",'Model inputs'!AJ165),IF(IF(IF(ISERROR('Model inputs'!O188&gt;=9),'Model inputs'!O188&gt;=9,IF('Model inputs'!O188="","",'Model inputs'!O188&gt;=9))="",FALSE,IF(ISERROR('Model inputs'!O188&gt;=9),'Model inputs'!O188&gt;=9,IF('Model inputs'!O188="","",'Model inputs'!O188&gt;=9))),IF('Model inputs'!AJ168="","",'Model inputs'!AJ168),0))))</f>
        <v>0</v>
      </c>
      <c r="P449" s="8">
        <f>IF(IF(IF(ISERROR('Model inputs'!P188&gt;=24),'Model inputs'!P188&gt;=24,IF('Model inputs'!P188="","",'Model inputs'!P188&gt;=24))="",FALSE,IF(ISERROR('Model inputs'!P188&gt;=24),'Model inputs'!P188&gt;=24,IF('Model inputs'!P188="","",'Model inputs'!P188&gt;=24))),IF('Model inputs'!AJ167="","",'Model inputs'!AJ167),IF(IF(IF(ISERROR('Model inputs'!P188&gt;=18),'Model inputs'!P188&gt;=18,IF('Model inputs'!P188="","",'Model inputs'!P188&gt;=18))="",FALSE,IF(ISERROR('Model inputs'!P188&gt;=18),'Model inputs'!P188&gt;=18,IF('Model inputs'!P188="","",'Model inputs'!P188&gt;=18))),IF('Model inputs'!AJ166="","",'Model inputs'!AJ166),IF(IF(IF(ISERROR('Model inputs'!P188&gt;=12),'Model inputs'!P188&gt;=12,IF('Model inputs'!P188="","",'Model inputs'!P188&gt;=12))="",FALSE,IF(ISERROR('Model inputs'!P188&gt;=12),'Model inputs'!P188&gt;=12,IF('Model inputs'!P188="","",'Model inputs'!P188&gt;=12))),IF('Model inputs'!AJ165="","",'Model inputs'!AJ165),IF(IF(IF(ISERROR('Model inputs'!P188&gt;=9),'Model inputs'!P188&gt;=9,IF('Model inputs'!P188="","",'Model inputs'!P188&gt;=9))="",FALSE,IF(ISERROR('Model inputs'!P188&gt;=9),'Model inputs'!P188&gt;=9,IF('Model inputs'!P188="","",'Model inputs'!P188&gt;=9))),IF('Model inputs'!AJ168="","",'Model inputs'!AJ168),0))))</f>
        <v>0</v>
      </c>
      <c r="Q449" s="8">
        <f>IF(IF(IF(ISERROR('Model inputs'!Q188&gt;=24),'Model inputs'!Q188&gt;=24,IF('Model inputs'!Q188="","",'Model inputs'!Q188&gt;=24))="",FALSE,IF(ISERROR('Model inputs'!Q188&gt;=24),'Model inputs'!Q188&gt;=24,IF('Model inputs'!Q188="","",'Model inputs'!Q188&gt;=24))),IF('Model inputs'!AJ167="","",'Model inputs'!AJ167),IF(IF(IF(ISERROR('Model inputs'!Q188&gt;=18),'Model inputs'!Q188&gt;=18,IF('Model inputs'!Q188="","",'Model inputs'!Q188&gt;=18))="",FALSE,IF(ISERROR('Model inputs'!Q188&gt;=18),'Model inputs'!Q188&gt;=18,IF('Model inputs'!Q188="","",'Model inputs'!Q188&gt;=18))),IF('Model inputs'!AJ166="","",'Model inputs'!AJ166),IF(IF(IF(ISERROR('Model inputs'!Q188&gt;=12),'Model inputs'!Q188&gt;=12,IF('Model inputs'!Q188="","",'Model inputs'!Q188&gt;=12))="",FALSE,IF(ISERROR('Model inputs'!Q188&gt;=12),'Model inputs'!Q188&gt;=12,IF('Model inputs'!Q188="","",'Model inputs'!Q188&gt;=12))),IF('Model inputs'!AJ165="","",'Model inputs'!AJ165),IF(IF(IF(ISERROR('Model inputs'!Q188&gt;=9),'Model inputs'!Q188&gt;=9,IF('Model inputs'!Q188="","",'Model inputs'!Q188&gt;=9))="",FALSE,IF(ISERROR('Model inputs'!Q188&gt;=9),'Model inputs'!Q188&gt;=9,IF('Model inputs'!Q188="","",'Model inputs'!Q188&gt;=9))),IF('Model inputs'!AJ168="","",'Model inputs'!AJ168),0))))</f>
        <v>0</v>
      </c>
      <c r="R449" s="8">
        <f>IF(IF(IF(ISERROR('Model inputs'!R188&gt;=24),'Model inputs'!R188&gt;=24,IF('Model inputs'!R188="","",'Model inputs'!R188&gt;=24))="",FALSE,IF(ISERROR('Model inputs'!R188&gt;=24),'Model inputs'!R188&gt;=24,IF('Model inputs'!R188="","",'Model inputs'!R188&gt;=24))),IF('Model inputs'!AJ167="","",'Model inputs'!AJ167),IF(IF(IF(ISERROR('Model inputs'!R188&gt;=18),'Model inputs'!R188&gt;=18,IF('Model inputs'!R188="","",'Model inputs'!R188&gt;=18))="",FALSE,IF(ISERROR('Model inputs'!R188&gt;=18),'Model inputs'!R188&gt;=18,IF('Model inputs'!R188="","",'Model inputs'!R188&gt;=18))),IF('Model inputs'!AJ166="","",'Model inputs'!AJ166),IF(IF(IF(ISERROR('Model inputs'!R188&gt;=12),'Model inputs'!R188&gt;=12,IF('Model inputs'!R188="","",'Model inputs'!R188&gt;=12))="",FALSE,IF(ISERROR('Model inputs'!R188&gt;=12),'Model inputs'!R188&gt;=12,IF('Model inputs'!R188="","",'Model inputs'!R188&gt;=12))),IF('Model inputs'!AJ165="","",'Model inputs'!AJ165),IF(IF(IF(ISERROR('Model inputs'!R188&gt;=9),'Model inputs'!R188&gt;=9,IF('Model inputs'!R188="","",'Model inputs'!R188&gt;=9))="",FALSE,IF(ISERROR('Model inputs'!R188&gt;=9),'Model inputs'!R188&gt;=9,IF('Model inputs'!R188="","",'Model inputs'!R188&gt;=9))),IF('Model inputs'!AJ168="","",'Model inputs'!AJ168),0))))</f>
        <v>0</v>
      </c>
      <c r="S449" s="8">
        <f>IF(IF(IF(ISERROR('Model inputs'!S188&gt;=24),'Model inputs'!S188&gt;=24,IF('Model inputs'!S188="","",'Model inputs'!S188&gt;=24))="",FALSE,IF(ISERROR('Model inputs'!S188&gt;=24),'Model inputs'!S188&gt;=24,IF('Model inputs'!S188="","",'Model inputs'!S188&gt;=24))),IF('Model inputs'!AJ167="","",'Model inputs'!AJ167),IF(IF(IF(ISERROR('Model inputs'!S188&gt;=18),'Model inputs'!S188&gt;=18,IF('Model inputs'!S188="","",'Model inputs'!S188&gt;=18))="",FALSE,IF(ISERROR('Model inputs'!S188&gt;=18),'Model inputs'!S188&gt;=18,IF('Model inputs'!S188="","",'Model inputs'!S188&gt;=18))),IF('Model inputs'!AJ166="","",'Model inputs'!AJ166),IF(IF(IF(ISERROR('Model inputs'!S188&gt;=12),'Model inputs'!S188&gt;=12,IF('Model inputs'!S188="","",'Model inputs'!S188&gt;=12))="",FALSE,IF(ISERROR('Model inputs'!S188&gt;=12),'Model inputs'!S188&gt;=12,IF('Model inputs'!S188="","",'Model inputs'!S188&gt;=12))),IF('Model inputs'!AJ165="","",'Model inputs'!AJ165),IF(IF(IF(ISERROR('Model inputs'!S188&gt;=9),'Model inputs'!S188&gt;=9,IF('Model inputs'!S188="","",'Model inputs'!S188&gt;=9))="",FALSE,IF(ISERROR('Model inputs'!S188&gt;=9),'Model inputs'!S188&gt;=9,IF('Model inputs'!S188="","",'Model inputs'!S188&gt;=9))),IF('Model inputs'!AJ168="","",'Model inputs'!AJ168),0))))</f>
        <v>0</v>
      </c>
      <c r="T449" s="8">
        <f>IF(IF(IF(ISERROR('Model inputs'!T188&gt;=24),'Model inputs'!T188&gt;=24,IF('Model inputs'!T188="","",'Model inputs'!T188&gt;=24))="",FALSE,IF(ISERROR('Model inputs'!T188&gt;=24),'Model inputs'!T188&gt;=24,IF('Model inputs'!T188="","",'Model inputs'!T188&gt;=24))),IF('Model inputs'!AJ167="","",'Model inputs'!AJ167),IF(IF(IF(ISERROR('Model inputs'!T188&gt;=18),'Model inputs'!T188&gt;=18,IF('Model inputs'!T188="","",'Model inputs'!T188&gt;=18))="",FALSE,IF(ISERROR('Model inputs'!T188&gt;=18),'Model inputs'!T188&gt;=18,IF('Model inputs'!T188="","",'Model inputs'!T188&gt;=18))),IF('Model inputs'!AJ166="","",'Model inputs'!AJ166),IF(IF(IF(ISERROR('Model inputs'!T188&gt;=12),'Model inputs'!T188&gt;=12,IF('Model inputs'!T188="","",'Model inputs'!T188&gt;=12))="",FALSE,IF(ISERROR('Model inputs'!T188&gt;=12),'Model inputs'!T188&gt;=12,IF('Model inputs'!T188="","",'Model inputs'!T188&gt;=12))),IF('Model inputs'!AJ165="","",'Model inputs'!AJ165),IF(IF(IF(ISERROR('Model inputs'!T188&gt;=9),'Model inputs'!T188&gt;=9,IF('Model inputs'!T188="","",'Model inputs'!T188&gt;=9))="",FALSE,IF(ISERROR('Model inputs'!T188&gt;=9),'Model inputs'!T188&gt;=9,IF('Model inputs'!T188="","",'Model inputs'!T188&gt;=9))),IF('Model inputs'!AJ168="","",'Model inputs'!AJ168),0))))</f>
        <v>5000</v>
      </c>
      <c r="U449" s="8">
        <f>IF(IF(IF(ISERROR('Model inputs'!U188&gt;=24),'Model inputs'!U188&gt;=24,IF('Model inputs'!U188="","",'Model inputs'!U188&gt;=24))="",FALSE,IF(ISERROR('Model inputs'!U188&gt;=24),'Model inputs'!U188&gt;=24,IF('Model inputs'!U188="","",'Model inputs'!U188&gt;=24))),IF('Model inputs'!AJ167="","",'Model inputs'!AJ167),IF(IF(IF(ISERROR('Model inputs'!U188&gt;=18),'Model inputs'!U188&gt;=18,IF('Model inputs'!U188="","",'Model inputs'!U188&gt;=18))="",FALSE,IF(ISERROR('Model inputs'!U188&gt;=18),'Model inputs'!U188&gt;=18,IF('Model inputs'!U188="","",'Model inputs'!U188&gt;=18))),IF('Model inputs'!AJ166="","",'Model inputs'!AJ166),IF(IF(IF(ISERROR('Model inputs'!U188&gt;=12),'Model inputs'!U188&gt;=12,IF('Model inputs'!U188="","",'Model inputs'!U188&gt;=12))="",FALSE,IF(ISERROR('Model inputs'!U188&gt;=12),'Model inputs'!U188&gt;=12,IF('Model inputs'!U188="","",'Model inputs'!U188&gt;=12))),IF('Model inputs'!AJ165="","",'Model inputs'!AJ165),IF(IF(IF(ISERROR('Model inputs'!U188&gt;=9),'Model inputs'!U188&gt;=9,IF('Model inputs'!U188="","",'Model inputs'!U188&gt;=9))="",FALSE,IF(ISERROR('Model inputs'!U188&gt;=9),'Model inputs'!U188&gt;=9,IF('Model inputs'!U188="","",'Model inputs'!U188&gt;=9))),IF('Model inputs'!AJ168="","",'Model inputs'!AJ168),0))))</f>
        <v>5000</v>
      </c>
      <c r="V449" s="8">
        <f>IF(IF(IF(ISERROR('Model inputs'!V188&gt;=24),'Model inputs'!V188&gt;=24,IF('Model inputs'!V188="","",'Model inputs'!V188&gt;=24))="",FALSE,IF(ISERROR('Model inputs'!V188&gt;=24),'Model inputs'!V188&gt;=24,IF('Model inputs'!V188="","",'Model inputs'!V188&gt;=24))),IF('Model inputs'!AJ167="","",'Model inputs'!AJ167),IF(IF(IF(ISERROR('Model inputs'!V188&gt;=18),'Model inputs'!V188&gt;=18,IF('Model inputs'!V188="","",'Model inputs'!V188&gt;=18))="",FALSE,IF(ISERROR('Model inputs'!V188&gt;=18),'Model inputs'!V188&gt;=18,IF('Model inputs'!V188="","",'Model inputs'!V188&gt;=18))),IF('Model inputs'!AJ166="","",'Model inputs'!AJ166),IF(IF(IF(ISERROR('Model inputs'!V188&gt;=12),'Model inputs'!V188&gt;=12,IF('Model inputs'!V188="","",'Model inputs'!V188&gt;=12))="",FALSE,IF(ISERROR('Model inputs'!V188&gt;=12),'Model inputs'!V188&gt;=12,IF('Model inputs'!V188="","",'Model inputs'!V188&gt;=12))),IF('Model inputs'!AJ165="","",'Model inputs'!AJ165),IF(IF(IF(ISERROR('Model inputs'!V188&gt;=9),'Model inputs'!V188&gt;=9,IF('Model inputs'!V188="","",'Model inputs'!V188&gt;=9))="",FALSE,IF(ISERROR('Model inputs'!V188&gt;=9),'Model inputs'!V188&gt;=9,IF('Model inputs'!V188="","",'Model inputs'!V188&gt;=9))),IF('Model inputs'!AJ168="","",'Model inputs'!AJ168),0))))</f>
        <v>5000</v>
      </c>
      <c r="W449" s="8">
        <f>IF(IF(IF(ISERROR('Model inputs'!W188&gt;=24),'Model inputs'!W188&gt;=24,IF('Model inputs'!W188="","",'Model inputs'!W188&gt;=24))="",FALSE,IF(ISERROR('Model inputs'!W188&gt;=24),'Model inputs'!W188&gt;=24,IF('Model inputs'!W188="","",'Model inputs'!W188&gt;=24))),IF('Model inputs'!AJ167="","",'Model inputs'!AJ167),IF(IF(IF(ISERROR('Model inputs'!W188&gt;=18),'Model inputs'!W188&gt;=18,IF('Model inputs'!W188="","",'Model inputs'!W188&gt;=18))="",FALSE,IF(ISERROR('Model inputs'!W188&gt;=18),'Model inputs'!W188&gt;=18,IF('Model inputs'!W188="","",'Model inputs'!W188&gt;=18))),IF('Model inputs'!AJ166="","",'Model inputs'!AJ166),IF(IF(IF(ISERROR('Model inputs'!W188&gt;=12),'Model inputs'!W188&gt;=12,IF('Model inputs'!W188="","",'Model inputs'!W188&gt;=12))="",FALSE,IF(ISERROR('Model inputs'!W188&gt;=12),'Model inputs'!W188&gt;=12,IF('Model inputs'!W188="","",'Model inputs'!W188&gt;=12))),IF('Model inputs'!AJ165="","",'Model inputs'!AJ165),IF(IF(IF(ISERROR('Model inputs'!W188&gt;=9),'Model inputs'!W188&gt;=9,IF('Model inputs'!W188="","",'Model inputs'!W188&gt;=9))="",FALSE,IF(ISERROR('Model inputs'!W188&gt;=9),'Model inputs'!W188&gt;=9,IF('Model inputs'!W188="","",'Model inputs'!W188&gt;=9))),IF('Model inputs'!AJ168="","",'Model inputs'!AJ168),0))))</f>
        <v>10000</v>
      </c>
      <c r="X449" s="8">
        <f>IF(IF(IF(ISERROR('Model inputs'!X188&gt;=24),'Model inputs'!X188&gt;=24,IF('Model inputs'!X188="","",'Model inputs'!X188&gt;=24))="",FALSE,IF(ISERROR('Model inputs'!X188&gt;=24),'Model inputs'!X188&gt;=24,IF('Model inputs'!X188="","",'Model inputs'!X188&gt;=24))),IF('Model inputs'!AJ167="","",'Model inputs'!AJ167),IF(IF(IF(ISERROR('Model inputs'!X188&gt;=18),'Model inputs'!X188&gt;=18,IF('Model inputs'!X188="","",'Model inputs'!X188&gt;=18))="",FALSE,IF(ISERROR('Model inputs'!X188&gt;=18),'Model inputs'!X188&gt;=18,IF('Model inputs'!X188="","",'Model inputs'!X188&gt;=18))),IF('Model inputs'!AJ166="","",'Model inputs'!AJ166),IF(IF(IF(ISERROR('Model inputs'!X188&gt;=12),'Model inputs'!X188&gt;=12,IF('Model inputs'!X188="","",'Model inputs'!X188&gt;=12))="",FALSE,IF(ISERROR('Model inputs'!X188&gt;=12),'Model inputs'!X188&gt;=12,IF('Model inputs'!X188="","",'Model inputs'!X188&gt;=12))),IF('Model inputs'!AJ165="","",'Model inputs'!AJ165),IF(IF(IF(ISERROR('Model inputs'!X188&gt;=9),'Model inputs'!X188&gt;=9,IF('Model inputs'!X188="","",'Model inputs'!X188&gt;=9))="",FALSE,IF(ISERROR('Model inputs'!X188&gt;=9),'Model inputs'!X188&gt;=9,IF('Model inputs'!X188="","",'Model inputs'!X188&gt;=9))),IF('Model inputs'!AJ168="","",'Model inputs'!AJ168),0))))</f>
        <v>10000</v>
      </c>
      <c r="Y449" s="8">
        <f>IF(IF(IF(ISERROR('Model inputs'!Y188&gt;=24),'Model inputs'!Y188&gt;=24,IF('Model inputs'!Y188="","",'Model inputs'!Y188&gt;=24))="",FALSE,IF(ISERROR('Model inputs'!Y188&gt;=24),'Model inputs'!Y188&gt;=24,IF('Model inputs'!Y188="","",'Model inputs'!Y188&gt;=24))),IF('Model inputs'!AJ167="","",'Model inputs'!AJ167),IF(IF(IF(ISERROR('Model inputs'!Y188&gt;=18),'Model inputs'!Y188&gt;=18,IF('Model inputs'!Y188="","",'Model inputs'!Y188&gt;=18))="",FALSE,IF(ISERROR('Model inputs'!Y188&gt;=18),'Model inputs'!Y188&gt;=18,IF('Model inputs'!Y188="","",'Model inputs'!Y188&gt;=18))),IF('Model inputs'!AJ166="","",'Model inputs'!AJ166),IF(IF(IF(ISERROR('Model inputs'!Y188&gt;=12),'Model inputs'!Y188&gt;=12,IF('Model inputs'!Y188="","",'Model inputs'!Y188&gt;=12))="",FALSE,IF(ISERROR('Model inputs'!Y188&gt;=12),'Model inputs'!Y188&gt;=12,IF('Model inputs'!Y188="","",'Model inputs'!Y188&gt;=12))),IF('Model inputs'!AJ165="","",'Model inputs'!AJ165),IF(IF(IF(ISERROR('Model inputs'!Y188&gt;=9),'Model inputs'!Y188&gt;=9,IF('Model inputs'!Y188="","",'Model inputs'!Y188&gt;=9))="",FALSE,IF(ISERROR('Model inputs'!Y188&gt;=9),'Model inputs'!Y188&gt;=9,IF('Model inputs'!Y188="","",'Model inputs'!Y188&gt;=9))),IF('Model inputs'!AJ168="","",'Model inputs'!AJ168),0))))</f>
        <v>10000</v>
      </c>
      <c r="Z449" s="8">
        <f>IF(IF(IF(ISERROR('Model inputs'!Z188&gt;=24),'Model inputs'!Z188&gt;=24,IF('Model inputs'!Z188="","",'Model inputs'!Z188&gt;=24))="",FALSE,IF(ISERROR('Model inputs'!Z188&gt;=24),'Model inputs'!Z188&gt;=24,IF('Model inputs'!Z188="","",'Model inputs'!Z188&gt;=24))),IF('Model inputs'!AJ167="","",'Model inputs'!AJ167),IF(IF(IF(ISERROR('Model inputs'!Z188&gt;=18),'Model inputs'!Z188&gt;=18,IF('Model inputs'!Z188="","",'Model inputs'!Z188&gt;=18))="",FALSE,IF(ISERROR('Model inputs'!Z188&gt;=18),'Model inputs'!Z188&gt;=18,IF('Model inputs'!Z188="","",'Model inputs'!Z188&gt;=18))),IF('Model inputs'!AJ166="","",'Model inputs'!AJ166),IF(IF(IF(ISERROR('Model inputs'!Z188&gt;=12),'Model inputs'!Z188&gt;=12,IF('Model inputs'!Z188="","",'Model inputs'!Z188&gt;=12))="",FALSE,IF(ISERROR('Model inputs'!Z188&gt;=12),'Model inputs'!Z188&gt;=12,IF('Model inputs'!Z188="","",'Model inputs'!Z188&gt;=12))),IF('Model inputs'!AJ165="","",'Model inputs'!AJ165),IF(IF(IF(ISERROR('Model inputs'!Z188&gt;=9),'Model inputs'!Z188&gt;=9,IF('Model inputs'!Z188="","",'Model inputs'!Z188&gt;=9))="",FALSE,IF(ISERROR('Model inputs'!Z188&gt;=9),'Model inputs'!Z188&gt;=9,IF('Model inputs'!Z188="","",'Model inputs'!Z188&gt;=9))),IF('Model inputs'!AJ168="","",'Model inputs'!AJ168),0))))</f>
        <v>10000</v>
      </c>
      <c r="AA449" s="8">
        <f>IF(IF(IF(ISERROR('Model inputs'!AA188&gt;=24),'Model inputs'!AA188&gt;=24,IF('Model inputs'!AA188="","",'Model inputs'!AA188&gt;=24))="",FALSE,IF(ISERROR('Model inputs'!AA188&gt;=24),'Model inputs'!AA188&gt;=24,IF('Model inputs'!AA188="","",'Model inputs'!AA188&gt;=24))),IF('Model inputs'!AJ167="","",'Model inputs'!AJ167),IF(IF(IF(ISERROR('Model inputs'!AA188&gt;=18),'Model inputs'!AA188&gt;=18,IF('Model inputs'!AA188="","",'Model inputs'!AA188&gt;=18))="",FALSE,IF(ISERROR('Model inputs'!AA188&gt;=18),'Model inputs'!AA188&gt;=18,IF('Model inputs'!AA188="","",'Model inputs'!AA188&gt;=18))),IF('Model inputs'!AJ166="","",'Model inputs'!AJ166),IF(IF(IF(ISERROR('Model inputs'!AA188&gt;=12),'Model inputs'!AA188&gt;=12,IF('Model inputs'!AA188="","",'Model inputs'!AA188&gt;=12))="",FALSE,IF(ISERROR('Model inputs'!AA188&gt;=12),'Model inputs'!AA188&gt;=12,IF('Model inputs'!AA188="","",'Model inputs'!AA188&gt;=12))),IF('Model inputs'!AJ165="","",'Model inputs'!AJ165),IF(IF(IF(ISERROR('Model inputs'!AA188&gt;=9),'Model inputs'!AA188&gt;=9,IF('Model inputs'!AA188="","",'Model inputs'!AA188&gt;=9))="",FALSE,IF(ISERROR('Model inputs'!AA188&gt;=9),'Model inputs'!AA188&gt;=9,IF('Model inputs'!AA188="","",'Model inputs'!AA188&gt;=9))),IF('Model inputs'!AJ168="","",'Model inputs'!AJ168),0))))</f>
        <v>10000</v>
      </c>
      <c r="AB449" s="8">
        <f>IF(IF(IF(ISERROR('Model inputs'!AB188&gt;=24),'Model inputs'!AB188&gt;=24,IF('Model inputs'!AB188="","",'Model inputs'!AB188&gt;=24))="",FALSE,IF(ISERROR('Model inputs'!AB188&gt;=24),'Model inputs'!AB188&gt;=24,IF('Model inputs'!AB188="","",'Model inputs'!AB188&gt;=24))),IF('Model inputs'!AJ167="","",'Model inputs'!AJ167),IF(IF(IF(ISERROR('Model inputs'!AB188&gt;=18),'Model inputs'!AB188&gt;=18,IF('Model inputs'!AB188="","",'Model inputs'!AB188&gt;=18))="",FALSE,IF(ISERROR('Model inputs'!AB188&gt;=18),'Model inputs'!AB188&gt;=18,IF('Model inputs'!AB188="","",'Model inputs'!AB188&gt;=18))),IF('Model inputs'!AJ166="","",'Model inputs'!AJ166),IF(IF(IF(ISERROR('Model inputs'!AB188&gt;=12),'Model inputs'!AB188&gt;=12,IF('Model inputs'!AB188="","",'Model inputs'!AB188&gt;=12))="",FALSE,IF(ISERROR('Model inputs'!AB188&gt;=12),'Model inputs'!AB188&gt;=12,IF('Model inputs'!AB188="","",'Model inputs'!AB188&gt;=12))),IF('Model inputs'!AJ165="","",'Model inputs'!AJ165),IF(IF(IF(ISERROR('Model inputs'!AB188&gt;=9),'Model inputs'!AB188&gt;=9,IF('Model inputs'!AB188="","",'Model inputs'!AB188&gt;=9))="",FALSE,IF(ISERROR('Model inputs'!AB188&gt;=9),'Model inputs'!AB188&gt;=9,IF('Model inputs'!AB188="","",'Model inputs'!AB188&gt;=9))),IF('Model inputs'!AJ168="","",'Model inputs'!AJ168),0))))</f>
        <v>10000</v>
      </c>
      <c r="AC449" s="8">
        <f>IF(IF(IF(ISERROR('Model inputs'!AC188&gt;=24),'Model inputs'!AC188&gt;=24,IF('Model inputs'!AC188="","",'Model inputs'!AC188&gt;=24))="",FALSE,IF(ISERROR('Model inputs'!AC188&gt;=24),'Model inputs'!AC188&gt;=24,IF('Model inputs'!AC188="","",'Model inputs'!AC188&gt;=24))),IF('Model inputs'!AJ167="","",'Model inputs'!AJ167),IF(IF(IF(ISERROR('Model inputs'!AC188&gt;=18),'Model inputs'!AC188&gt;=18,IF('Model inputs'!AC188="","",'Model inputs'!AC188&gt;=18))="",FALSE,IF(ISERROR('Model inputs'!AC188&gt;=18),'Model inputs'!AC188&gt;=18,IF('Model inputs'!AC188="","",'Model inputs'!AC188&gt;=18))),IF('Model inputs'!AJ166="","",'Model inputs'!AJ166),IF(IF(IF(ISERROR('Model inputs'!AC188&gt;=12),'Model inputs'!AC188&gt;=12,IF('Model inputs'!AC188="","",'Model inputs'!AC188&gt;=12))="",FALSE,IF(ISERROR('Model inputs'!AC188&gt;=12),'Model inputs'!AC188&gt;=12,IF('Model inputs'!AC188="","",'Model inputs'!AC188&gt;=12))),IF('Model inputs'!AJ165="","",'Model inputs'!AJ165),IF(IF(IF(ISERROR('Model inputs'!AC188&gt;=9),'Model inputs'!AC188&gt;=9,IF('Model inputs'!AC188="","",'Model inputs'!AC188&gt;=9))="",FALSE,IF(ISERROR('Model inputs'!AC188&gt;=9),'Model inputs'!AC188&gt;=9,IF('Model inputs'!AC188="","",'Model inputs'!AC188&gt;=9))),IF('Model inputs'!AJ168="","",'Model inputs'!AJ168),0))))</f>
        <v>17500</v>
      </c>
      <c r="AD449" s="8">
        <f>IF(IF(IF(ISERROR('Model inputs'!AD188&gt;=24),'Model inputs'!AD188&gt;=24,IF('Model inputs'!AD188="","",'Model inputs'!AD188&gt;=24))="",FALSE,IF(ISERROR('Model inputs'!AD188&gt;=24),'Model inputs'!AD188&gt;=24,IF('Model inputs'!AD188="","",'Model inputs'!AD188&gt;=24))),IF('Model inputs'!AJ167="","",'Model inputs'!AJ167),IF(IF(IF(ISERROR('Model inputs'!AD188&gt;=18),'Model inputs'!AD188&gt;=18,IF('Model inputs'!AD188="","",'Model inputs'!AD188&gt;=18))="",FALSE,IF(ISERROR('Model inputs'!AD188&gt;=18),'Model inputs'!AD188&gt;=18,IF('Model inputs'!AD188="","",'Model inputs'!AD188&gt;=18))),IF('Model inputs'!AJ166="","",'Model inputs'!AJ166),IF(IF(IF(ISERROR('Model inputs'!AD188&gt;=12),'Model inputs'!AD188&gt;=12,IF('Model inputs'!AD188="","",'Model inputs'!AD188&gt;=12))="",FALSE,IF(ISERROR('Model inputs'!AD188&gt;=12),'Model inputs'!AD188&gt;=12,IF('Model inputs'!AD188="","",'Model inputs'!AD188&gt;=12))),IF('Model inputs'!AJ165="","",'Model inputs'!AJ165),IF(IF(IF(ISERROR('Model inputs'!AD188&gt;=9),'Model inputs'!AD188&gt;=9,IF('Model inputs'!AD188="","",'Model inputs'!AD188&gt;=9))="",FALSE,IF(ISERROR('Model inputs'!AD188&gt;=9),'Model inputs'!AD188&gt;=9,IF('Model inputs'!AD188="","",'Model inputs'!AD188&gt;=9))),IF('Model inputs'!AJ168="","",'Model inputs'!AJ168),0))))</f>
        <v>17500</v>
      </c>
      <c r="AE449" s="8">
        <f>IF(IF(IF(ISERROR('Model inputs'!AE188&gt;=24),'Model inputs'!AE188&gt;=24,IF('Model inputs'!AE188="","",'Model inputs'!AE188&gt;=24))="",FALSE,IF(ISERROR('Model inputs'!AE188&gt;=24),'Model inputs'!AE188&gt;=24,IF('Model inputs'!AE188="","",'Model inputs'!AE188&gt;=24))),IF('Model inputs'!AJ167="","",'Model inputs'!AJ167),IF(IF(IF(ISERROR('Model inputs'!AE188&gt;=18),'Model inputs'!AE188&gt;=18,IF('Model inputs'!AE188="","",'Model inputs'!AE188&gt;=18))="",FALSE,IF(ISERROR('Model inputs'!AE188&gt;=18),'Model inputs'!AE188&gt;=18,IF('Model inputs'!AE188="","",'Model inputs'!AE188&gt;=18))),IF('Model inputs'!AJ166="","",'Model inputs'!AJ166),IF(IF(IF(ISERROR('Model inputs'!AE188&gt;=12),'Model inputs'!AE188&gt;=12,IF('Model inputs'!AE188="","",'Model inputs'!AE188&gt;=12))="",FALSE,IF(ISERROR('Model inputs'!AE188&gt;=12),'Model inputs'!AE188&gt;=12,IF('Model inputs'!AE188="","",'Model inputs'!AE188&gt;=12))),IF('Model inputs'!AJ165="","",'Model inputs'!AJ165),IF(IF(IF(ISERROR('Model inputs'!AE188&gt;=9),'Model inputs'!AE188&gt;=9,IF('Model inputs'!AE188="","",'Model inputs'!AE188&gt;=9))="",FALSE,IF(ISERROR('Model inputs'!AE188&gt;=9),'Model inputs'!AE188&gt;=9,IF('Model inputs'!AE188="","",'Model inputs'!AE188&gt;=9))),IF('Model inputs'!AJ168="","",'Model inputs'!AJ168),0))))</f>
        <v>17500</v>
      </c>
      <c r="AF449" s="8">
        <f>IF(IF(IF(ISERROR('Model inputs'!AF188&gt;=24),'Model inputs'!AF188&gt;=24,IF('Model inputs'!AF188="","",'Model inputs'!AF188&gt;=24))="",FALSE,IF(ISERROR('Model inputs'!AF188&gt;=24),'Model inputs'!AF188&gt;=24,IF('Model inputs'!AF188="","",'Model inputs'!AF188&gt;=24))),IF('Model inputs'!AJ167="","",'Model inputs'!AJ167),IF(IF(IF(ISERROR('Model inputs'!AF188&gt;=18),'Model inputs'!AF188&gt;=18,IF('Model inputs'!AF188="","",'Model inputs'!AF188&gt;=18))="",FALSE,IF(ISERROR('Model inputs'!AF188&gt;=18),'Model inputs'!AF188&gt;=18,IF('Model inputs'!AF188="","",'Model inputs'!AF188&gt;=18))),IF('Model inputs'!AJ166="","",'Model inputs'!AJ166),IF(IF(IF(ISERROR('Model inputs'!AF188&gt;=12),'Model inputs'!AF188&gt;=12,IF('Model inputs'!AF188="","",'Model inputs'!AF188&gt;=12))="",FALSE,IF(ISERROR('Model inputs'!AF188&gt;=12),'Model inputs'!AF188&gt;=12,IF('Model inputs'!AF188="","",'Model inputs'!AF188&gt;=12))),IF('Model inputs'!AJ165="","",'Model inputs'!AJ165),IF(IF(IF(ISERROR('Model inputs'!AF188&gt;=9),'Model inputs'!AF188&gt;=9,IF('Model inputs'!AF188="","",'Model inputs'!AF188&gt;=9))="",FALSE,IF(ISERROR('Model inputs'!AF188&gt;=9),'Model inputs'!AF188&gt;=9,IF('Model inputs'!AF188="","",'Model inputs'!AF188&gt;=9))),IF('Model inputs'!AJ168="","",'Model inputs'!AJ168),0))))</f>
        <v>17500</v>
      </c>
      <c r="AG449" s="8">
        <f>IF(IF(IF(ISERROR('Model inputs'!AG188&gt;=24),'Model inputs'!AG188&gt;=24,IF('Model inputs'!AG188="","",'Model inputs'!AG188&gt;=24))="",FALSE,IF(ISERROR('Model inputs'!AG188&gt;=24),'Model inputs'!AG188&gt;=24,IF('Model inputs'!AG188="","",'Model inputs'!AG188&gt;=24))),IF('Model inputs'!AJ167="","",'Model inputs'!AJ167),IF(IF(IF(ISERROR('Model inputs'!AG188&gt;=18),'Model inputs'!AG188&gt;=18,IF('Model inputs'!AG188="","",'Model inputs'!AG188&gt;=18))="",FALSE,IF(ISERROR('Model inputs'!AG188&gt;=18),'Model inputs'!AG188&gt;=18,IF('Model inputs'!AG188="","",'Model inputs'!AG188&gt;=18))),IF('Model inputs'!AJ166="","",'Model inputs'!AJ166),IF(IF(IF(ISERROR('Model inputs'!AG188&gt;=12),'Model inputs'!AG188&gt;=12,IF('Model inputs'!AG188="","",'Model inputs'!AG188&gt;=12))="",FALSE,IF(ISERROR('Model inputs'!AG188&gt;=12),'Model inputs'!AG188&gt;=12,IF('Model inputs'!AG188="","",'Model inputs'!AG188&gt;=12))),IF('Model inputs'!AJ165="","",'Model inputs'!AJ165),IF(IF(IF(ISERROR('Model inputs'!AG188&gt;=9),'Model inputs'!AG188&gt;=9,IF('Model inputs'!AG188="","",'Model inputs'!AG188&gt;=9))="",FALSE,IF(ISERROR('Model inputs'!AG188&gt;=9),'Model inputs'!AG188&gt;=9,IF('Model inputs'!AG188="","",'Model inputs'!AG188&gt;=9))),IF('Model inputs'!AJ168="","",'Model inputs'!AJ168),0))))</f>
        <v>17500</v>
      </c>
      <c r="AH449" s="8">
        <f>IF(IF(IF(ISERROR('Model inputs'!AH188&gt;=24),'Model inputs'!AH188&gt;=24,IF('Model inputs'!AH188="","",'Model inputs'!AH188&gt;=24))="",FALSE,IF(ISERROR('Model inputs'!AH188&gt;=24),'Model inputs'!AH188&gt;=24,IF('Model inputs'!AH188="","",'Model inputs'!AH188&gt;=24))),IF('Model inputs'!AJ167="","",'Model inputs'!AJ167),IF(IF(IF(ISERROR('Model inputs'!AH188&gt;=18),'Model inputs'!AH188&gt;=18,IF('Model inputs'!AH188="","",'Model inputs'!AH188&gt;=18))="",FALSE,IF(ISERROR('Model inputs'!AH188&gt;=18),'Model inputs'!AH188&gt;=18,IF('Model inputs'!AH188="","",'Model inputs'!AH188&gt;=18))),IF('Model inputs'!AJ166="","",'Model inputs'!AJ166),IF(IF(IF(ISERROR('Model inputs'!AH188&gt;=12),'Model inputs'!AH188&gt;=12,IF('Model inputs'!AH188="","",'Model inputs'!AH188&gt;=12))="",FALSE,IF(ISERROR('Model inputs'!AH188&gt;=12),'Model inputs'!AH188&gt;=12,IF('Model inputs'!AH188="","",'Model inputs'!AH188&gt;=12))),IF('Model inputs'!AJ165="","",'Model inputs'!AJ165),IF(IF(IF(ISERROR('Model inputs'!AH188&gt;=9),'Model inputs'!AH188&gt;=9,IF('Model inputs'!AH188="","",'Model inputs'!AH188&gt;=9))="",FALSE,IF(ISERROR('Model inputs'!AH188&gt;=9),'Model inputs'!AH188&gt;=9,IF('Model inputs'!AH188="","",'Model inputs'!AH188&gt;=9))),IF('Model inputs'!AJ168="","",'Model inputs'!AJ168),0))))</f>
        <v>17500</v>
      </c>
      <c r="AI449" s="8">
        <f>IF(IF(IF(ISERROR('Model inputs'!AI188&gt;=24),'Model inputs'!AI188&gt;=24,IF('Model inputs'!AI188="","",'Model inputs'!AI188&gt;=24))="",FALSE,IF(ISERROR('Model inputs'!AI188&gt;=24),'Model inputs'!AI188&gt;=24,IF('Model inputs'!AI188="","",'Model inputs'!AI188&gt;=24))),IF('Model inputs'!AJ167="","",'Model inputs'!AJ167),IF(IF(IF(ISERROR('Model inputs'!AI188&gt;=18),'Model inputs'!AI188&gt;=18,IF('Model inputs'!AI188="","",'Model inputs'!AI188&gt;=18))="",FALSE,IF(ISERROR('Model inputs'!AI188&gt;=18),'Model inputs'!AI188&gt;=18,IF('Model inputs'!AI188="","",'Model inputs'!AI188&gt;=18))),IF('Model inputs'!AJ166="","",'Model inputs'!AJ166),IF(IF(IF(ISERROR('Model inputs'!AI188&gt;=12),'Model inputs'!AI188&gt;=12,IF('Model inputs'!AI188="","",'Model inputs'!AI188&gt;=12))="",FALSE,IF(ISERROR('Model inputs'!AI188&gt;=12),'Model inputs'!AI188&gt;=12,IF('Model inputs'!AI188="","",'Model inputs'!AI188&gt;=12))),IF('Model inputs'!AJ165="","",'Model inputs'!AJ165),IF(IF(IF(ISERROR('Model inputs'!AI188&gt;=9),'Model inputs'!AI188&gt;=9,IF('Model inputs'!AI188="","",'Model inputs'!AI188&gt;=9))="",FALSE,IF(ISERROR('Model inputs'!AI188&gt;=9),'Model inputs'!AI188&gt;=9,IF('Model inputs'!AI188="","",'Model inputs'!AI188&gt;=9))),IF('Model inputs'!AJ168="","",'Model inputs'!AJ168),0))))</f>
        <v>25000</v>
      </c>
    </row>
    <row r="451">
      <c r="A451" t="inlineStr" s="11">
        <is>
          <t xml:space="preserve">Dimensions</t>
        </is>
      </c>
    </row>
    <row r="452">
      <c r="A452" t="inlineStr" s="13">
        <is>
          <t xml:space="preserve">Haq input</t>
        </is>
      </c>
      <c r="B452" t="inlineStr" s="15">
        <is>
          <t xml:space="preserve">Annual renewal retention</t>
        </is>
      </c>
      <c r="C452" t="inlineStr" s="15">
        <is>
          <t xml:space="preserve">Benefit commission rate</t>
        </is>
      </c>
      <c r="D452" t="inlineStr" s="15">
        <is>
          <t xml:space="preserve">CSC checks per operator</t>
        </is>
      </c>
      <c r="E452" t="inlineStr" s="15">
        <is>
          <t xml:space="preserve">CSC extra check price</t>
        </is>
      </c>
      <c r="F452" t="inlineStr" s="15">
        <is>
          <t xml:space="preserve">CSC gross monthly growth</t>
        </is>
      </c>
      <c r="G452" t="inlineStr" s="15">
        <is>
          <t xml:space="preserve">CSC included checks</t>
        </is>
      </c>
      <c r="H452" t="inlineStr" s="15">
        <is>
          <t xml:space="preserve">CSC incremental CAC</t>
        </is>
      </c>
      <c r="I452" t="inlineStr" s="15">
        <is>
          <t xml:space="preserve">CSC launch month</t>
        </is>
      </c>
      <c r="J452" t="inlineStr" s="15">
        <is>
          <t xml:space="preserve">CSC launch operators</t>
        </is>
      </c>
      <c r="K452" t="inlineStr" s="15">
        <is>
          <t xml:space="preserve">CSC monthly churn</t>
        </is>
      </c>
      <c r="L452" t="inlineStr" s="15">
        <is>
          <t xml:space="preserve">CSC monthly price</t>
        </is>
      </c>
      <c r="M452" t="inlineStr" s="15">
        <is>
          <t xml:space="preserve">CSR annual district price</t>
        </is>
      </c>
      <c r="N452" t="inlineStr" s="15">
        <is>
          <t xml:space="preserve">CSR checks per district year</t>
        </is>
      </c>
      <c r="O452" t="inlineStr" s="15">
        <is>
          <t xml:space="preserve">CSR district equivalents M12</t>
        </is>
      </c>
      <c r="P452" t="inlineStr" s="15">
        <is>
          <t xml:space="preserve">CSR district equivalents M15</t>
        </is>
      </c>
      <c r="Q452" t="inlineStr" s="15">
        <is>
          <t xml:space="preserve">CSR district equivalents M18</t>
        </is>
      </c>
      <c r="R452" t="inlineStr" s="15">
        <is>
          <t xml:space="preserve">CSR district equivalents M21</t>
        </is>
      </c>
      <c r="S452" t="inlineStr" s="15">
        <is>
          <t xml:space="preserve">CSR district equivalents M23</t>
        </is>
      </c>
      <c r="T452" t="inlineStr" s="15">
        <is>
          <t xml:space="preserve">CSR district equivalents M24</t>
        </is>
      </c>
      <c r="U452" t="inlineStr" s="15">
        <is>
          <t xml:space="preserve">CSR district equivalents M6</t>
        </is>
      </c>
      <c r="V452" t="inlineStr" s="15">
        <is>
          <t xml:space="preserve">CSR district equivalents M9</t>
        </is>
      </c>
      <c r="W452" t="inlineStr" s="15">
        <is>
          <t xml:space="preserve">Cache begins month</t>
        </is>
      </c>
      <c r="X452" t="inlineStr" s="15">
        <is>
          <t xml:space="preserve">Cached check cost</t>
        </is>
      </c>
      <c r="Y452" t="inlineStr" s="15">
        <is>
          <t xml:space="preserve">Citizen price</t>
        </is>
      </c>
      <c r="Z452" t="inlineStr" s="15">
        <is>
          <t xml:space="preserve">Cloud fixed monthly</t>
        </is>
      </c>
      <c r="AA452" t="inlineStr" s="15">
        <is>
          <t xml:space="preserve">Cloud per 100 checks</t>
        </is>
      </c>
      <c r="AB452" t="inlineStr" s="15">
        <is>
          <t xml:space="preserve">Collection delay</t>
        </is>
      </c>
      <c r="AC452" t="inlineStr" s="15">
        <is>
          <t xml:space="preserve">Collection fee rate</t>
        </is>
      </c>
      <c r="AD452" t="inlineStr" s="15">
        <is>
          <t xml:space="preserve">Developer count</t>
        </is>
      </c>
      <c r="AE452" t="inlineStr" s="15">
        <is>
          <t xml:space="preserve">Developer monthly salary</t>
        </is>
      </c>
      <c r="AF452" t="inlineStr" s="15">
        <is>
          <t xml:space="preserve">Developer start month</t>
        </is>
      </c>
      <c r="AG452" t="inlineStr" s="15">
        <is>
          <t xml:space="preserve">District launch cost</t>
        </is>
      </c>
      <c r="AH452" t="inlineStr" s="15">
        <is>
          <t xml:space="preserve">Employer annual worker price</t>
        </is>
      </c>
      <c r="AI452" t="inlineStr" s="15">
        <is>
          <t xml:space="preserve">Employer checks per worker year</t>
        </is>
      </c>
      <c r="AJ452" t="inlineStr" s="15">
        <is>
          <t xml:space="preserve">Employer workers M12</t>
        </is>
      </c>
      <c r="AK452" t="inlineStr" s="15">
        <is>
          <t xml:space="preserve">Employer workers M18</t>
        </is>
      </c>
      <c r="AL452" t="inlineStr" s="15">
        <is>
          <t xml:space="preserve">Employer workers M24</t>
        </is>
      </c>
      <c r="AM452" t="inlineStr" s="15">
        <is>
          <t xml:space="preserve">Employer workers M9</t>
        </is>
      </c>
      <c r="AN452" t="inlineStr" s="15">
        <is>
          <t xml:space="preserve">Field lead count</t>
        </is>
      </c>
      <c r="AO452" t="inlineStr" s="15">
        <is>
          <t xml:space="preserve">Field lead monthly salary</t>
        </is>
      </c>
      <c r="AP452" t="inlineStr" s="15">
        <is>
          <t xml:space="preserve">Field lead start month</t>
        </is>
      </c>
      <c r="AQ452" t="inlineStr" s="15">
        <is>
          <t xml:space="preserve">Founder count</t>
        </is>
      </c>
      <c r="AR452" t="inlineStr" s="15">
        <is>
          <t xml:space="preserve">Founder monthly salary</t>
        </is>
      </c>
      <c r="AS452" t="inlineStr" s="15">
        <is>
          <t xml:space="preserve">Founder start month</t>
        </is>
      </c>
      <c r="AT452" t="inlineStr" s="15">
        <is>
          <t xml:space="preserve">Funding safety reserve</t>
        </is>
      </c>
      <c r="AU452" t="inlineStr" s="15">
        <is>
          <t xml:space="preserve">Marketing acquisition allocation</t>
        </is>
      </c>
      <c r="AV452" t="inlineStr" s="15">
        <is>
          <t xml:space="preserve">Marketing monthly</t>
        </is>
      </c>
      <c r="AW452" t="inlineStr" s="15">
        <is>
          <t xml:space="preserve">Preview AI cost multiplier</t>
        </is>
      </c>
      <c r="AX452" t="inlineStr" s="15">
        <is>
          <t xml:space="preserve">Preview additional funding</t>
        </is>
      </c>
      <c r="AY452" t="inlineStr" s="15">
        <is>
          <t xml:space="preserve">Recommended CSC price</t>
        </is>
      </c>
      <c r="AZ452" t="inlineStr" s="15">
        <is>
          <t xml:space="preserve">Recommended extra price</t>
        </is>
      </c>
      <c r="BA452" t="inlineStr" s="15">
        <is>
          <t xml:space="preserve">Scale begins month</t>
        </is>
      </c>
      <c r="BB452" t="inlineStr" s="15">
        <is>
          <t xml:space="preserve">Scale check cost</t>
        </is>
      </c>
      <c r="BC452" t="inlineStr" s="15">
        <is>
          <t xml:space="preserve">Starting cash</t>
        </is>
      </c>
      <c r="BD452" t="inlineStr" s="15">
        <is>
          <t xml:space="preserve">Uncached check cost</t>
        </is>
      </c>
    </row>
    <row r="454">
      <c r="A454" t="inlineStr" s="11">
        <is>
          <t xml:space="preserve">Supporting calculations</t>
        </is>
      </c>
    </row>
    <row r="455">
      <c r="A455" t="inlineStr" s="13">
        <is>
          <t xml:space="preserve">Calculation</t>
        </is>
      </c>
      <c r="B455">
        <f>IF(IFERROR(DATE(2026,1,1)&gt;=DATE(2026,11,1)=FALSE,FALSE),FALSE,IF(IFERROR(DATE(2026,1,1)&lt;=DATE(2028,10,1)=FALSE,FALSE),FALSE,IF(IFERROR(IF(ISERROR('Model inputs'!B15&gt;=0),'Model inputs'!B15&gt;=0,IF('Model inputs'!B15="","",'Model inputs'!B15&gt;=0))=FALSE,FALSE),FALSE,IF(IF(ISERROR('Model inputs'!B15&gt;=0),'Model inputs'!B15&gt;=0,IF('Model inputs'!B15="","",'Model inputs'!B15&gt;=0))="","",AND(DATE(2026,1,1)&gt;=DATE(2026,11,1),DATE(2026,1,1)&lt;=DATE(2028,10,1),IF(ISERROR('Model inputs'!B15&gt;=0),'Model inputs'!B15&gt;=0,IF('Model inputs'!B15="","",'Model inputs'!B15&gt;=0)))))))</f>
      </c>
    </row>
    <row r="456">
      <c r="A456" t="inlineStr" s="13">
        <is>
          <t xml:space="preserve">Calculation</t>
        </is>
      </c>
      <c r="B456">
        <f>IF(IFERROR(DATE(2026,2,1)&gt;=DATE(2026,11,1)=FALSE,FALSE),FALSE,IF(IFERROR(DATE(2026,2,1)&lt;=DATE(2028,10,1)=FALSE,FALSE),FALSE,IF(IFERROR(IF(ISERROR('Model inputs'!C15&gt;=0),'Model inputs'!C15&gt;=0,IF('Model inputs'!C15="","",'Model inputs'!C15&gt;=0))=FALSE,FALSE),FALSE,IF(IF(ISERROR('Model inputs'!C15&gt;=0),'Model inputs'!C15&gt;=0,IF('Model inputs'!C15="","",'Model inputs'!C15&gt;=0))="","",AND(DATE(2026,2,1)&gt;=DATE(2026,11,1),DATE(2026,2,1)&lt;=DATE(2028,10,1),IF(ISERROR('Model inputs'!C15&gt;=0),'Model inputs'!C15&gt;=0,IF('Model inputs'!C15="","",'Model inputs'!C15&gt;=0)))))))</f>
      </c>
    </row>
    <row r="457">
      <c r="A457" t="inlineStr" s="13">
        <is>
          <t xml:space="preserve">Calculation</t>
        </is>
      </c>
      <c r="B457">
        <f>IF(IFERROR(DATE(2026,3,1)&gt;=DATE(2026,11,1)=FALSE,FALSE),FALSE,IF(IFERROR(DATE(2026,3,1)&lt;=DATE(2028,10,1)=FALSE,FALSE),FALSE,IF(IFERROR(IF(ISERROR('Model inputs'!D15&gt;=0),'Model inputs'!D15&gt;=0,IF('Model inputs'!D15="","",'Model inputs'!D15&gt;=0))=FALSE,FALSE),FALSE,IF(IF(ISERROR('Model inputs'!D15&gt;=0),'Model inputs'!D15&gt;=0,IF('Model inputs'!D15="","",'Model inputs'!D15&gt;=0))="","",AND(DATE(2026,3,1)&gt;=DATE(2026,11,1),DATE(2026,3,1)&lt;=DATE(2028,10,1),IF(ISERROR('Model inputs'!D15&gt;=0),'Model inputs'!D15&gt;=0,IF('Model inputs'!D15="","",'Model inputs'!D15&gt;=0)))))))</f>
      </c>
    </row>
    <row r="458">
      <c r="A458" t="inlineStr" s="13">
        <is>
          <t xml:space="preserve">Calculation</t>
        </is>
      </c>
      <c r="B458">
        <f>IF(IFERROR(DATE(2026,4,1)&gt;=DATE(2026,11,1)=FALSE,FALSE),FALSE,IF(IFERROR(DATE(2026,4,1)&lt;=DATE(2028,10,1)=FALSE,FALSE),FALSE,IF(IFERROR(IF(ISERROR('Model inputs'!E15&gt;=0),'Model inputs'!E15&gt;=0,IF('Model inputs'!E15="","",'Model inputs'!E15&gt;=0))=FALSE,FALSE),FALSE,IF(IF(ISERROR('Model inputs'!E15&gt;=0),'Model inputs'!E15&gt;=0,IF('Model inputs'!E15="","",'Model inputs'!E15&gt;=0))="","",AND(DATE(2026,4,1)&gt;=DATE(2026,11,1),DATE(2026,4,1)&lt;=DATE(2028,10,1),IF(ISERROR('Model inputs'!E15&gt;=0),'Model inputs'!E15&gt;=0,IF('Model inputs'!E15="","",'Model inputs'!E15&gt;=0)))))))</f>
      </c>
    </row>
    <row r="459">
      <c r="A459" t="inlineStr" s="13">
        <is>
          <t xml:space="preserve">Calculation</t>
        </is>
      </c>
      <c r="B459">
        <f>IF(IFERROR(DATE(2026,5,1)&gt;=DATE(2026,11,1)=FALSE,FALSE),FALSE,IF(IFERROR(DATE(2026,5,1)&lt;=DATE(2028,10,1)=FALSE,FALSE),FALSE,IF(IFERROR(IF(ISERROR('Model inputs'!F15&gt;=0),'Model inputs'!F15&gt;=0,IF('Model inputs'!F15="","",'Model inputs'!F15&gt;=0))=FALSE,FALSE),FALSE,IF(IF(ISERROR('Model inputs'!F15&gt;=0),'Model inputs'!F15&gt;=0,IF('Model inputs'!F15="","",'Model inputs'!F15&gt;=0))="","",AND(DATE(2026,5,1)&gt;=DATE(2026,11,1),DATE(2026,5,1)&lt;=DATE(2028,10,1),IF(ISERROR('Model inputs'!F15&gt;=0),'Model inputs'!F15&gt;=0,IF('Model inputs'!F15="","",'Model inputs'!F15&gt;=0)))))))</f>
      </c>
    </row>
    <row r="460">
      <c r="A460" t="inlineStr" s="13">
        <is>
          <t xml:space="preserve">Calculation</t>
        </is>
      </c>
      <c r="B460">
        <f>IF(IFERROR(DATE(2026,6,1)&gt;=DATE(2026,11,1)=FALSE,FALSE),FALSE,IF(IFERROR(DATE(2026,6,1)&lt;=DATE(2028,10,1)=FALSE,FALSE),FALSE,IF(IFERROR(IF(ISERROR('Model inputs'!G15&gt;=0),'Model inputs'!G15&gt;=0,IF('Model inputs'!G15="","",'Model inputs'!G15&gt;=0))=FALSE,FALSE),FALSE,IF(IF(ISERROR('Model inputs'!G15&gt;=0),'Model inputs'!G15&gt;=0,IF('Model inputs'!G15="","",'Model inputs'!G15&gt;=0))="","",AND(DATE(2026,6,1)&gt;=DATE(2026,11,1),DATE(2026,6,1)&lt;=DATE(2028,10,1),IF(ISERROR('Model inputs'!G15&gt;=0),'Model inputs'!G15&gt;=0,IF('Model inputs'!G15="","",'Model inputs'!G15&gt;=0)))))))</f>
      </c>
    </row>
    <row r="461">
      <c r="A461" t="inlineStr" s="13">
        <is>
          <t xml:space="preserve">Calculation</t>
        </is>
      </c>
      <c r="B461">
        <f>IF(IFERROR(DATE(2026,7,1)&gt;=DATE(2026,11,1)=FALSE,FALSE),FALSE,IF(IFERROR(DATE(2026,7,1)&lt;=DATE(2028,10,1)=FALSE,FALSE),FALSE,IF(IFERROR(IF(ISERROR('Model inputs'!H15&gt;=0),'Model inputs'!H15&gt;=0,IF('Model inputs'!H15="","",'Model inputs'!H15&gt;=0))=FALSE,FALSE),FALSE,IF(IF(ISERROR('Model inputs'!H15&gt;=0),'Model inputs'!H15&gt;=0,IF('Model inputs'!H15="","",'Model inputs'!H15&gt;=0))="","",AND(DATE(2026,7,1)&gt;=DATE(2026,11,1),DATE(2026,7,1)&lt;=DATE(2028,10,1),IF(ISERROR('Model inputs'!H15&gt;=0),'Model inputs'!H15&gt;=0,IF('Model inputs'!H15="","",'Model inputs'!H15&gt;=0)))))))</f>
      </c>
    </row>
    <row r="462">
      <c r="A462" t="inlineStr" s="13">
        <is>
          <t xml:space="preserve">Calculation</t>
        </is>
      </c>
      <c r="B462">
        <f>IF(IFERROR(DATE(2026,8,1)&gt;=DATE(2026,11,1)=FALSE,FALSE),FALSE,IF(IFERROR(DATE(2026,8,1)&lt;=DATE(2028,10,1)=FALSE,FALSE),FALSE,IF(IFERROR(IF(ISERROR('Model inputs'!I15&gt;=0),'Model inputs'!I15&gt;=0,IF('Model inputs'!I15="","",'Model inputs'!I15&gt;=0))=FALSE,FALSE),FALSE,IF(IF(ISERROR('Model inputs'!I15&gt;=0),'Model inputs'!I15&gt;=0,IF('Model inputs'!I15="","",'Model inputs'!I15&gt;=0))="","",AND(DATE(2026,8,1)&gt;=DATE(2026,11,1),DATE(2026,8,1)&lt;=DATE(2028,10,1),IF(ISERROR('Model inputs'!I15&gt;=0),'Model inputs'!I15&gt;=0,IF('Model inputs'!I15="","",'Model inputs'!I15&gt;=0)))))))</f>
      </c>
    </row>
    <row r="463">
      <c r="A463" t="inlineStr" s="13">
        <is>
          <t xml:space="preserve">Calculation</t>
        </is>
      </c>
      <c r="B463">
        <f>IF(IFERROR(DATE(2026,9,1)&gt;=DATE(2026,11,1)=FALSE,FALSE),FALSE,IF(IFERROR(DATE(2026,9,1)&lt;=DATE(2028,10,1)=FALSE,FALSE),FALSE,IF(IFERROR(IF(ISERROR('Model inputs'!J15&gt;=0),'Model inputs'!J15&gt;=0,IF('Model inputs'!J15="","",'Model inputs'!J15&gt;=0))=FALSE,FALSE),FALSE,IF(IF(ISERROR('Model inputs'!J15&gt;=0),'Model inputs'!J15&gt;=0,IF('Model inputs'!J15="","",'Model inputs'!J15&gt;=0))="","",AND(DATE(2026,9,1)&gt;=DATE(2026,11,1),DATE(2026,9,1)&lt;=DATE(2028,10,1),IF(ISERROR('Model inputs'!J15&gt;=0),'Model inputs'!J15&gt;=0,IF('Model inputs'!J15="","",'Model inputs'!J15&gt;=0)))))))</f>
      </c>
    </row>
    <row r="464">
      <c r="A464" t="inlineStr" s="13">
        <is>
          <t xml:space="preserve">Calculation</t>
        </is>
      </c>
      <c r="B464">
        <f>IF(IFERROR(DATE(2026,10,1)&gt;=DATE(2026,11,1)=FALSE,FALSE),FALSE,IF(IFERROR(DATE(2026,10,1)&lt;=DATE(2028,10,1)=FALSE,FALSE),FALSE,IF(IFERROR(IF(ISERROR('Model inputs'!K15&gt;=0),'Model inputs'!K15&gt;=0,IF('Model inputs'!K15="","",'Model inputs'!K15&gt;=0))=FALSE,FALSE),FALSE,IF(IF(ISERROR('Model inputs'!K15&gt;=0),'Model inputs'!K15&gt;=0,IF('Model inputs'!K15="","",'Model inputs'!K15&gt;=0))="","",AND(DATE(2026,10,1)&gt;=DATE(2026,11,1),DATE(2026,10,1)&lt;=DATE(2028,10,1),IF(ISERROR('Model inputs'!K15&gt;=0),'Model inputs'!K15&gt;=0,IF('Model inputs'!K15="","",'Model inputs'!K15&gt;=0)))))))</f>
      </c>
    </row>
    <row r="465">
      <c r="A465" t="inlineStr" s="13">
        <is>
          <t xml:space="preserve">Calculation</t>
        </is>
      </c>
      <c r="B465">
        <f>IF(IFERROR(DATE(2026,11,1)&gt;=DATE(2026,11,1)=FALSE,FALSE),FALSE,IF(IFERROR(DATE(2026,11,1)&lt;=DATE(2028,10,1)=FALSE,FALSE),FALSE,IF(IFERROR(IF(ISERROR('Model inputs'!L15&gt;=0),'Model inputs'!L15&gt;=0,IF('Model inputs'!L15="","",'Model inputs'!L15&gt;=0))=FALSE,FALSE),FALSE,IF(IF(ISERROR('Model inputs'!L15&gt;=0),'Model inputs'!L15&gt;=0,IF('Model inputs'!L15="","",'Model inputs'!L15&gt;=0))="","",AND(DATE(2026,11,1)&gt;=DATE(2026,11,1),DATE(2026,11,1)&lt;=DATE(2028,10,1),IF(ISERROR('Model inputs'!L15&gt;=0),'Model inputs'!L15&gt;=0,IF('Model inputs'!L15="","",'Model inputs'!L15&gt;=0)))))))</f>
      </c>
    </row>
    <row r="466">
      <c r="A466" t="inlineStr" s="13">
        <is>
          <t xml:space="preserve">Calculation</t>
        </is>
      </c>
      <c r="B466">
        <f>IF(IFERROR(DATE(2026,12,1)&gt;=DATE(2026,11,1)=FALSE,FALSE),FALSE,IF(IFERROR(DATE(2026,12,1)&lt;=DATE(2028,10,1)=FALSE,FALSE),FALSE,IF(IFERROR(IF(ISERROR('Model inputs'!M15&gt;=0),'Model inputs'!M15&gt;=0,IF('Model inputs'!M15="","",'Model inputs'!M15&gt;=0))=FALSE,FALSE),FALSE,IF(IF(ISERROR('Model inputs'!M15&gt;=0),'Model inputs'!M15&gt;=0,IF('Model inputs'!M15="","",'Model inputs'!M15&gt;=0))="","",AND(DATE(2026,12,1)&gt;=DATE(2026,11,1),DATE(2026,12,1)&lt;=DATE(2028,10,1),IF(ISERROR('Model inputs'!M15&gt;=0),'Model inputs'!M15&gt;=0,IF('Model inputs'!M15="","",'Model inputs'!M15&gt;=0)))))))</f>
      </c>
    </row>
    <row r="467">
      <c r="A467" t="inlineStr" s="13">
        <is>
          <t xml:space="preserve">Calculation</t>
        </is>
      </c>
      <c r="B467">
        <f>IF(IFERROR(DATE(2027,1,1)&gt;=DATE(2026,11,1)=FALSE,FALSE),FALSE,IF(IFERROR(DATE(2027,1,1)&lt;=DATE(2028,10,1)=FALSE,FALSE),FALSE,IF(IFERROR(IF(ISERROR('Model inputs'!N15&gt;=0),'Model inputs'!N15&gt;=0,IF('Model inputs'!N15="","",'Model inputs'!N15&gt;=0))=FALSE,FALSE),FALSE,IF(IF(ISERROR('Model inputs'!N15&gt;=0),'Model inputs'!N15&gt;=0,IF('Model inputs'!N15="","",'Model inputs'!N15&gt;=0))="","",AND(DATE(2027,1,1)&gt;=DATE(2026,11,1),DATE(2027,1,1)&lt;=DATE(2028,10,1),IF(ISERROR('Model inputs'!N15&gt;=0),'Model inputs'!N15&gt;=0,IF('Model inputs'!N15="","",'Model inputs'!N15&gt;=0)))))))</f>
      </c>
    </row>
    <row r="468">
      <c r="A468" t="inlineStr" s="13">
        <is>
          <t xml:space="preserve">Calculation</t>
        </is>
      </c>
      <c r="B468">
        <f>IF(IFERROR(DATE(2027,2,1)&gt;=DATE(2026,11,1)=FALSE,FALSE),FALSE,IF(IFERROR(DATE(2027,2,1)&lt;=DATE(2028,10,1)=FALSE,FALSE),FALSE,IF(IFERROR(IF(ISERROR('Model inputs'!O15&gt;=0),'Model inputs'!O15&gt;=0,IF('Model inputs'!O15="","",'Model inputs'!O15&gt;=0))=FALSE,FALSE),FALSE,IF(IF(ISERROR('Model inputs'!O15&gt;=0),'Model inputs'!O15&gt;=0,IF('Model inputs'!O15="","",'Model inputs'!O15&gt;=0))="","",AND(DATE(2027,2,1)&gt;=DATE(2026,11,1),DATE(2027,2,1)&lt;=DATE(2028,10,1),IF(ISERROR('Model inputs'!O15&gt;=0),'Model inputs'!O15&gt;=0,IF('Model inputs'!O15="","",'Model inputs'!O15&gt;=0)))))))</f>
      </c>
    </row>
    <row r="469">
      <c r="A469" t="inlineStr" s="13">
        <is>
          <t xml:space="preserve">Calculation</t>
        </is>
      </c>
      <c r="B469">
        <f>IF(IFERROR(DATE(2027,3,1)&gt;=DATE(2026,11,1)=FALSE,FALSE),FALSE,IF(IFERROR(DATE(2027,3,1)&lt;=DATE(2028,10,1)=FALSE,FALSE),FALSE,IF(IFERROR(IF(ISERROR('Model inputs'!P15&gt;=0),'Model inputs'!P15&gt;=0,IF('Model inputs'!P15="","",'Model inputs'!P15&gt;=0))=FALSE,FALSE),FALSE,IF(IF(ISERROR('Model inputs'!P15&gt;=0),'Model inputs'!P15&gt;=0,IF('Model inputs'!P15="","",'Model inputs'!P15&gt;=0))="","",AND(DATE(2027,3,1)&gt;=DATE(2026,11,1),DATE(2027,3,1)&lt;=DATE(2028,10,1),IF(ISERROR('Model inputs'!P15&gt;=0),'Model inputs'!P15&gt;=0,IF('Model inputs'!P15="","",'Model inputs'!P15&gt;=0)))))))</f>
      </c>
    </row>
    <row r="470">
      <c r="A470" t="inlineStr" s="13">
        <is>
          <t xml:space="preserve">Calculation</t>
        </is>
      </c>
      <c r="B470">
        <f>IF(IFERROR(DATE(2027,4,1)&gt;=DATE(2026,11,1)=FALSE,FALSE),FALSE,IF(IFERROR(DATE(2027,4,1)&lt;=DATE(2028,10,1)=FALSE,FALSE),FALSE,IF(IFERROR(IF(ISERROR('Model inputs'!Q15&gt;=0),'Model inputs'!Q15&gt;=0,IF('Model inputs'!Q15="","",'Model inputs'!Q15&gt;=0))=FALSE,FALSE),FALSE,IF(IF(ISERROR('Model inputs'!Q15&gt;=0),'Model inputs'!Q15&gt;=0,IF('Model inputs'!Q15="","",'Model inputs'!Q15&gt;=0))="","",AND(DATE(2027,4,1)&gt;=DATE(2026,11,1),DATE(2027,4,1)&lt;=DATE(2028,10,1),IF(ISERROR('Model inputs'!Q15&gt;=0),'Model inputs'!Q15&gt;=0,IF('Model inputs'!Q15="","",'Model inputs'!Q15&gt;=0)))))))</f>
      </c>
    </row>
    <row r="471">
      <c r="A471" t="inlineStr" s="13">
        <is>
          <t xml:space="preserve">Calculation</t>
        </is>
      </c>
      <c r="B471">
        <f>IF(IFERROR(DATE(2027,5,1)&gt;=DATE(2026,11,1)=FALSE,FALSE),FALSE,IF(IFERROR(DATE(2027,5,1)&lt;=DATE(2028,10,1)=FALSE,FALSE),FALSE,IF(IFERROR(IF(ISERROR('Model inputs'!R15&gt;=0),'Model inputs'!R15&gt;=0,IF('Model inputs'!R15="","",'Model inputs'!R15&gt;=0))=FALSE,FALSE),FALSE,IF(IF(ISERROR('Model inputs'!R15&gt;=0),'Model inputs'!R15&gt;=0,IF('Model inputs'!R15="","",'Model inputs'!R15&gt;=0))="","",AND(DATE(2027,5,1)&gt;=DATE(2026,11,1),DATE(2027,5,1)&lt;=DATE(2028,10,1),IF(ISERROR('Model inputs'!R15&gt;=0),'Model inputs'!R15&gt;=0,IF('Model inputs'!R15="","",'Model inputs'!R15&gt;=0)))))))</f>
      </c>
    </row>
    <row r="472">
      <c r="A472" t="inlineStr" s="13">
        <is>
          <t xml:space="preserve">Calculation</t>
        </is>
      </c>
      <c r="B472">
        <f>IF(IFERROR(DATE(2027,6,1)&gt;=DATE(2026,11,1)=FALSE,FALSE),FALSE,IF(IFERROR(DATE(2027,6,1)&lt;=DATE(2028,10,1)=FALSE,FALSE),FALSE,IF(IFERROR(IF(ISERROR('Model inputs'!S15&gt;=0),'Model inputs'!S15&gt;=0,IF('Model inputs'!S15="","",'Model inputs'!S15&gt;=0))=FALSE,FALSE),FALSE,IF(IF(ISERROR('Model inputs'!S15&gt;=0),'Model inputs'!S15&gt;=0,IF('Model inputs'!S15="","",'Model inputs'!S15&gt;=0))="","",AND(DATE(2027,6,1)&gt;=DATE(2026,11,1),DATE(2027,6,1)&lt;=DATE(2028,10,1),IF(ISERROR('Model inputs'!S15&gt;=0),'Model inputs'!S15&gt;=0,IF('Model inputs'!S15="","",'Model inputs'!S15&gt;=0)))))))</f>
      </c>
    </row>
    <row r="473">
      <c r="A473" t="inlineStr" s="13">
        <is>
          <t xml:space="preserve">Calculation</t>
        </is>
      </c>
      <c r="B473">
        <f>IF(IFERROR(DATE(2027,7,1)&gt;=DATE(2026,11,1)=FALSE,FALSE),FALSE,IF(IFERROR(DATE(2027,7,1)&lt;=DATE(2028,10,1)=FALSE,FALSE),FALSE,IF(IFERROR(IF(ISERROR('Model inputs'!T15&gt;=0),'Model inputs'!T15&gt;=0,IF('Model inputs'!T15="","",'Model inputs'!T15&gt;=0))=FALSE,FALSE),FALSE,IF(IF(ISERROR('Model inputs'!T15&gt;=0),'Model inputs'!T15&gt;=0,IF('Model inputs'!T15="","",'Model inputs'!T15&gt;=0))="","",AND(DATE(2027,7,1)&gt;=DATE(2026,11,1),DATE(2027,7,1)&lt;=DATE(2028,10,1),IF(ISERROR('Model inputs'!T15&gt;=0),'Model inputs'!T15&gt;=0,IF('Model inputs'!T15="","",'Model inputs'!T15&gt;=0)))))))</f>
      </c>
    </row>
    <row r="474">
      <c r="A474" t="inlineStr" s="13">
        <is>
          <t xml:space="preserve">Calculation</t>
        </is>
      </c>
      <c r="B474">
        <f>IF(IFERROR(DATE(2027,8,1)&gt;=DATE(2026,11,1)=FALSE,FALSE),FALSE,IF(IFERROR(DATE(2027,8,1)&lt;=DATE(2028,10,1)=FALSE,FALSE),FALSE,IF(IFERROR(IF(ISERROR('Model inputs'!U15&gt;=0),'Model inputs'!U15&gt;=0,IF('Model inputs'!U15="","",'Model inputs'!U15&gt;=0))=FALSE,FALSE),FALSE,IF(IF(ISERROR('Model inputs'!U15&gt;=0),'Model inputs'!U15&gt;=0,IF('Model inputs'!U15="","",'Model inputs'!U15&gt;=0))="","",AND(DATE(2027,8,1)&gt;=DATE(2026,11,1),DATE(2027,8,1)&lt;=DATE(2028,10,1),IF(ISERROR('Model inputs'!U15&gt;=0),'Model inputs'!U15&gt;=0,IF('Model inputs'!U15="","",'Model inputs'!U15&gt;=0)))))))</f>
      </c>
    </row>
    <row r="475">
      <c r="A475" t="inlineStr" s="13">
        <is>
          <t xml:space="preserve">Calculation</t>
        </is>
      </c>
      <c r="B475">
        <f>IF(IFERROR(DATE(2027,9,1)&gt;=DATE(2026,11,1)=FALSE,FALSE),FALSE,IF(IFERROR(DATE(2027,9,1)&lt;=DATE(2028,10,1)=FALSE,FALSE),FALSE,IF(IFERROR(IF(ISERROR('Model inputs'!V15&gt;=0),'Model inputs'!V15&gt;=0,IF('Model inputs'!V15="","",'Model inputs'!V15&gt;=0))=FALSE,FALSE),FALSE,IF(IF(ISERROR('Model inputs'!V15&gt;=0),'Model inputs'!V15&gt;=0,IF('Model inputs'!V15="","",'Model inputs'!V15&gt;=0))="","",AND(DATE(2027,9,1)&gt;=DATE(2026,11,1),DATE(2027,9,1)&lt;=DATE(2028,10,1),IF(ISERROR('Model inputs'!V15&gt;=0),'Model inputs'!V15&gt;=0,IF('Model inputs'!V15="","",'Model inputs'!V15&gt;=0)))))))</f>
      </c>
    </row>
    <row r="476">
      <c r="A476" t="inlineStr" s="13">
        <is>
          <t xml:space="preserve">Calculation</t>
        </is>
      </c>
      <c r="B476">
        <f>IF(IFERROR(DATE(2027,10,1)&gt;=DATE(2026,11,1)=FALSE,FALSE),FALSE,IF(IFERROR(DATE(2027,10,1)&lt;=DATE(2028,10,1)=FALSE,FALSE),FALSE,IF(IFERROR(IF(ISERROR('Model inputs'!W15&gt;=0),'Model inputs'!W15&gt;=0,IF('Model inputs'!W15="","",'Model inputs'!W15&gt;=0))=FALSE,FALSE),FALSE,IF(IF(ISERROR('Model inputs'!W15&gt;=0),'Model inputs'!W15&gt;=0,IF('Model inputs'!W15="","",'Model inputs'!W15&gt;=0))="","",AND(DATE(2027,10,1)&gt;=DATE(2026,11,1),DATE(2027,10,1)&lt;=DATE(2028,10,1),IF(ISERROR('Model inputs'!W15&gt;=0),'Model inputs'!W15&gt;=0,IF('Model inputs'!W15="","",'Model inputs'!W15&gt;=0)))))))</f>
      </c>
    </row>
    <row r="477">
      <c r="A477" t="inlineStr" s="13">
        <is>
          <t xml:space="preserve">Calculation</t>
        </is>
      </c>
      <c r="B477">
        <f>IF(IFERROR(DATE(2027,11,1)&gt;=DATE(2026,11,1)=FALSE,FALSE),FALSE,IF(IFERROR(DATE(2027,11,1)&lt;=DATE(2028,10,1)=FALSE,FALSE),FALSE,IF(IFERROR(IF(ISERROR('Model inputs'!X15&gt;=0),'Model inputs'!X15&gt;=0,IF('Model inputs'!X15="","",'Model inputs'!X15&gt;=0))=FALSE,FALSE),FALSE,IF(IF(ISERROR('Model inputs'!X15&gt;=0),'Model inputs'!X15&gt;=0,IF('Model inputs'!X15="","",'Model inputs'!X15&gt;=0))="","",AND(DATE(2027,11,1)&gt;=DATE(2026,11,1),DATE(2027,11,1)&lt;=DATE(2028,10,1),IF(ISERROR('Model inputs'!X15&gt;=0),'Model inputs'!X15&gt;=0,IF('Model inputs'!X15="","",'Model inputs'!X15&gt;=0)))))))</f>
      </c>
    </row>
    <row r="478">
      <c r="A478" t="inlineStr" s="13">
        <is>
          <t xml:space="preserve">Calculation</t>
        </is>
      </c>
      <c r="B478">
        <f>IF(IFERROR(DATE(2027,12,1)&gt;=DATE(2026,11,1)=FALSE,FALSE),FALSE,IF(IFERROR(DATE(2027,12,1)&lt;=DATE(2028,10,1)=FALSE,FALSE),FALSE,IF(IFERROR(IF(ISERROR('Model inputs'!Y15&gt;=0),'Model inputs'!Y15&gt;=0,IF('Model inputs'!Y15="","",'Model inputs'!Y15&gt;=0))=FALSE,FALSE),FALSE,IF(IF(ISERROR('Model inputs'!Y15&gt;=0),'Model inputs'!Y15&gt;=0,IF('Model inputs'!Y15="","",'Model inputs'!Y15&gt;=0))="","",AND(DATE(2027,12,1)&gt;=DATE(2026,11,1),DATE(2027,12,1)&lt;=DATE(2028,10,1),IF(ISERROR('Model inputs'!Y15&gt;=0),'Model inputs'!Y15&gt;=0,IF('Model inputs'!Y15="","",'Model inputs'!Y15&gt;=0)))))))</f>
      </c>
    </row>
    <row r="479">
      <c r="A479" t="inlineStr" s="13">
        <is>
          <t xml:space="preserve">Calculation</t>
        </is>
      </c>
      <c r="B479">
        <f>IF(IFERROR(DATE(2026,1,1)&gt;=DATE(2026,11,1)=FALSE,FALSE),FALSE,IF(IFERROR(DATE(2026,1,1)&lt;=DATE(2028,10,1)=FALSE,FALSE),FALSE,IF(IFERROR(IF(ISERROR('Model inputs'!B17&gt;=0),'Model inputs'!B17&gt;=0,IF('Model inputs'!B17="","",'Model inputs'!B17&gt;=0))=FALSE,FALSE),FALSE,IF(IF(ISERROR('Model inputs'!B17&gt;=0),'Model inputs'!B17&gt;=0,IF('Model inputs'!B17="","",'Model inputs'!B17&gt;=0))="","",AND(DATE(2026,1,1)&gt;=DATE(2026,11,1),DATE(2026,1,1)&lt;=DATE(2028,10,1),IF(ISERROR('Model inputs'!B17&gt;=0),'Model inputs'!B17&gt;=0,IF('Model inputs'!B17="","",'Model inputs'!B17&gt;=0)))))))</f>
      </c>
    </row>
    <row r="480">
      <c r="A480" t="inlineStr" s="13">
        <is>
          <t xml:space="preserve">Calculation</t>
        </is>
      </c>
      <c r="B480">
        <f>IF(IFERROR(DATE(2026,2,1)&gt;=DATE(2026,11,1)=FALSE,FALSE),FALSE,IF(IFERROR(DATE(2026,2,1)&lt;=DATE(2028,10,1)=FALSE,FALSE),FALSE,IF(IFERROR(IF(ISERROR('Model inputs'!C17&gt;=0),'Model inputs'!C17&gt;=0,IF('Model inputs'!C17="","",'Model inputs'!C17&gt;=0))=FALSE,FALSE),FALSE,IF(IF(ISERROR('Model inputs'!C17&gt;=0),'Model inputs'!C17&gt;=0,IF('Model inputs'!C17="","",'Model inputs'!C17&gt;=0))="","",AND(DATE(2026,2,1)&gt;=DATE(2026,11,1),DATE(2026,2,1)&lt;=DATE(2028,10,1),IF(ISERROR('Model inputs'!C17&gt;=0),'Model inputs'!C17&gt;=0,IF('Model inputs'!C17="","",'Model inputs'!C17&gt;=0)))))))</f>
      </c>
    </row>
    <row r="481">
      <c r="A481" t="inlineStr" s="13">
        <is>
          <t xml:space="preserve">Calculation</t>
        </is>
      </c>
      <c r="B481">
        <f>IF(IFERROR(DATE(2026,3,1)&gt;=DATE(2026,11,1)=FALSE,FALSE),FALSE,IF(IFERROR(DATE(2026,3,1)&lt;=DATE(2028,10,1)=FALSE,FALSE),FALSE,IF(IFERROR(IF(ISERROR('Model inputs'!D17&gt;=0),'Model inputs'!D17&gt;=0,IF('Model inputs'!D17="","",'Model inputs'!D17&gt;=0))=FALSE,FALSE),FALSE,IF(IF(ISERROR('Model inputs'!D17&gt;=0),'Model inputs'!D17&gt;=0,IF('Model inputs'!D17="","",'Model inputs'!D17&gt;=0))="","",AND(DATE(2026,3,1)&gt;=DATE(2026,11,1),DATE(2026,3,1)&lt;=DATE(2028,10,1),IF(ISERROR('Model inputs'!D17&gt;=0),'Model inputs'!D17&gt;=0,IF('Model inputs'!D17="","",'Model inputs'!D17&gt;=0)))))))</f>
      </c>
    </row>
    <row r="482">
      <c r="A482" t="inlineStr" s="13">
        <is>
          <t xml:space="preserve">Calculation</t>
        </is>
      </c>
      <c r="B482">
        <f>IF(IFERROR(DATE(2026,4,1)&gt;=DATE(2026,11,1)=FALSE,FALSE),FALSE,IF(IFERROR(DATE(2026,4,1)&lt;=DATE(2028,10,1)=FALSE,FALSE),FALSE,IF(IFERROR(IF(ISERROR('Model inputs'!E17&gt;=0),'Model inputs'!E17&gt;=0,IF('Model inputs'!E17="","",'Model inputs'!E17&gt;=0))=FALSE,FALSE),FALSE,IF(IF(ISERROR('Model inputs'!E17&gt;=0),'Model inputs'!E17&gt;=0,IF('Model inputs'!E17="","",'Model inputs'!E17&gt;=0))="","",AND(DATE(2026,4,1)&gt;=DATE(2026,11,1),DATE(2026,4,1)&lt;=DATE(2028,10,1),IF(ISERROR('Model inputs'!E17&gt;=0),'Model inputs'!E17&gt;=0,IF('Model inputs'!E17="","",'Model inputs'!E17&gt;=0)))))))</f>
      </c>
    </row>
    <row r="483">
      <c r="A483" t="inlineStr" s="13">
        <is>
          <t xml:space="preserve">Calculation</t>
        </is>
      </c>
      <c r="B483">
        <f>IF(IFERROR(DATE(2026,5,1)&gt;=DATE(2026,11,1)=FALSE,FALSE),FALSE,IF(IFERROR(DATE(2026,5,1)&lt;=DATE(2028,10,1)=FALSE,FALSE),FALSE,IF(IFERROR(IF(ISERROR('Model inputs'!F17&gt;=0),'Model inputs'!F17&gt;=0,IF('Model inputs'!F17="","",'Model inputs'!F17&gt;=0))=FALSE,FALSE),FALSE,IF(IF(ISERROR('Model inputs'!F17&gt;=0),'Model inputs'!F17&gt;=0,IF('Model inputs'!F17="","",'Model inputs'!F17&gt;=0))="","",AND(DATE(2026,5,1)&gt;=DATE(2026,11,1),DATE(2026,5,1)&lt;=DATE(2028,10,1),IF(ISERROR('Model inputs'!F17&gt;=0),'Model inputs'!F17&gt;=0,IF('Model inputs'!F17="","",'Model inputs'!F17&gt;=0)))))))</f>
      </c>
    </row>
    <row r="484">
      <c r="A484" t="inlineStr" s="13">
        <is>
          <t xml:space="preserve">Calculation</t>
        </is>
      </c>
      <c r="B484">
        <f>IF(IFERROR(DATE(2026,6,1)&gt;=DATE(2026,11,1)=FALSE,FALSE),FALSE,IF(IFERROR(DATE(2026,6,1)&lt;=DATE(2028,10,1)=FALSE,FALSE),FALSE,IF(IFERROR(IF(ISERROR('Model inputs'!G17&gt;=0),'Model inputs'!G17&gt;=0,IF('Model inputs'!G17="","",'Model inputs'!G17&gt;=0))=FALSE,FALSE),FALSE,IF(IF(ISERROR('Model inputs'!G17&gt;=0),'Model inputs'!G17&gt;=0,IF('Model inputs'!G17="","",'Model inputs'!G17&gt;=0))="","",AND(DATE(2026,6,1)&gt;=DATE(2026,11,1),DATE(2026,6,1)&lt;=DATE(2028,10,1),IF(ISERROR('Model inputs'!G17&gt;=0),'Model inputs'!G17&gt;=0,IF('Model inputs'!G17="","",'Model inputs'!G17&gt;=0)))))))</f>
      </c>
    </row>
    <row r="485">
      <c r="A485" t="inlineStr" s="13">
        <is>
          <t xml:space="preserve">Calculation</t>
        </is>
      </c>
      <c r="B485">
        <f>IF(IFERROR(DATE(2026,7,1)&gt;=DATE(2026,11,1)=FALSE,FALSE),FALSE,IF(IFERROR(DATE(2026,7,1)&lt;=DATE(2028,10,1)=FALSE,FALSE),FALSE,IF(IFERROR(IF(ISERROR('Model inputs'!H17&gt;=0),'Model inputs'!H17&gt;=0,IF('Model inputs'!H17="","",'Model inputs'!H17&gt;=0))=FALSE,FALSE),FALSE,IF(IF(ISERROR('Model inputs'!H17&gt;=0),'Model inputs'!H17&gt;=0,IF('Model inputs'!H17="","",'Model inputs'!H17&gt;=0))="","",AND(DATE(2026,7,1)&gt;=DATE(2026,11,1),DATE(2026,7,1)&lt;=DATE(2028,10,1),IF(ISERROR('Model inputs'!H17&gt;=0),'Model inputs'!H17&gt;=0,IF('Model inputs'!H17="","",'Model inputs'!H17&gt;=0)))))))</f>
      </c>
    </row>
    <row r="486">
      <c r="A486" t="inlineStr" s="13">
        <is>
          <t xml:space="preserve">Calculation</t>
        </is>
      </c>
      <c r="B486">
        <f>IF(IFERROR(DATE(2026,8,1)&gt;=DATE(2026,11,1)=FALSE,FALSE),FALSE,IF(IFERROR(DATE(2026,8,1)&lt;=DATE(2028,10,1)=FALSE,FALSE),FALSE,IF(IFERROR(IF(ISERROR('Model inputs'!I17&gt;=0),'Model inputs'!I17&gt;=0,IF('Model inputs'!I17="","",'Model inputs'!I17&gt;=0))=FALSE,FALSE),FALSE,IF(IF(ISERROR('Model inputs'!I17&gt;=0),'Model inputs'!I17&gt;=0,IF('Model inputs'!I17="","",'Model inputs'!I17&gt;=0))="","",AND(DATE(2026,8,1)&gt;=DATE(2026,11,1),DATE(2026,8,1)&lt;=DATE(2028,10,1),IF(ISERROR('Model inputs'!I17&gt;=0),'Model inputs'!I17&gt;=0,IF('Model inputs'!I17="","",'Model inputs'!I17&gt;=0)))))))</f>
      </c>
    </row>
    <row r="487">
      <c r="A487" t="inlineStr" s="13">
        <is>
          <t xml:space="preserve">Calculation</t>
        </is>
      </c>
      <c r="B487">
        <f>IF(IFERROR(DATE(2026,9,1)&gt;=DATE(2026,11,1)=FALSE,FALSE),FALSE,IF(IFERROR(DATE(2026,9,1)&lt;=DATE(2028,10,1)=FALSE,FALSE),FALSE,IF(IFERROR(IF(ISERROR('Model inputs'!J17&gt;=0),'Model inputs'!J17&gt;=0,IF('Model inputs'!J17="","",'Model inputs'!J17&gt;=0))=FALSE,FALSE),FALSE,IF(IF(ISERROR('Model inputs'!J17&gt;=0),'Model inputs'!J17&gt;=0,IF('Model inputs'!J17="","",'Model inputs'!J17&gt;=0))="","",AND(DATE(2026,9,1)&gt;=DATE(2026,11,1),DATE(2026,9,1)&lt;=DATE(2028,10,1),IF(ISERROR('Model inputs'!J17&gt;=0),'Model inputs'!J17&gt;=0,IF('Model inputs'!J17="","",'Model inputs'!J17&gt;=0)))))))</f>
      </c>
    </row>
    <row r="488">
      <c r="A488" t="inlineStr" s="13">
        <is>
          <t xml:space="preserve">Calculation</t>
        </is>
      </c>
      <c r="B488">
        <f>IF(IFERROR(DATE(2026,10,1)&gt;=DATE(2026,11,1)=FALSE,FALSE),FALSE,IF(IFERROR(DATE(2026,10,1)&lt;=DATE(2028,10,1)=FALSE,FALSE),FALSE,IF(IFERROR(IF(ISERROR('Model inputs'!K17&gt;=0),'Model inputs'!K17&gt;=0,IF('Model inputs'!K17="","",'Model inputs'!K17&gt;=0))=FALSE,FALSE),FALSE,IF(IF(ISERROR('Model inputs'!K17&gt;=0),'Model inputs'!K17&gt;=0,IF('Model inputs'!K17="","",'Model inputs'!K17&gt;=0))="","",AND(DATE(2026,10,1)&gt;=DATE(2026,11,1),DATE(2026,10,1)&lt;=DATE(2028,10,1),IF(ISERROR('Model inputs'!K17&gt;=0),'Model inputs'!K17&gt;=0,IF('Model inputs'!K17="","",'Model inputs'!K17&gt;=0)))))))</f>
      </c>
    </row>
    <row r="489">
      <c r="A489" t="inlineStr" s="13">
        <is>
          <t xml:space="preserve">Calculation</t>
        </is>
      </c>
      <c r="B489">
        <f>IF(IFERROR(DATE(2026,11,1)&gt;=DATE(2026,11,1)=FALSE,FALSE),FALSE,IF(IFERROR(DATE(2026,11,1)&lt;=DATE(2028,10,1)=FALSE,FALSE),FALSE,IF(IFERROR(IF(ISERROR('Model inputs'!L17&gt;=0),'Model inputs'!L17&gt;=0,IF('Model inputs'!L17="","",'Model inputs'!L17&gt;=0))=FALSE,FALSE),FALSE,IF(IF(ISERROR('Model inputs'!L17&gt;=0),'Model inputs'!L17&gt;=0,IF('Model inputs'!L17="","",'Model inputs'!L17&gt;=0))="","",AND(DATE(2026,11,1)&gt;=DATE(2026,11,1),DATE(2026,11,1)&lt;=DATE(2028,10,1),IF(ISERROR('Model inputs'!L17&gt;=0),'Model inputs'!L17&gt;=0,IF('Model inputs'!L17="","",'Model inputs'!L17&gt;=0)))))))</f>
      </c>
    </row>
    <row r="490">
      <c r="A490" t="inlineStr" s="13">
        <is>
          <t xml:space="preserve">Calculation</t>
        </is>
      </c>
      <c r="B490">
        <f>IF(IFERROR(DATE(2026,12,1)&gt;=DATE(2026,11,1)=FALSE,FALSE),FALSE,IF(IFERROR(DATE(2026,12,1)&lt;=DATE(2028,10,1)=FALSE,FALSE),FALSE,IF(IFERROR(IF(ISERROR('Model inputs'!M17&gt;=0),'Model inputs'!M17&gt;=0,IF('Model inputs'!M17="","",'Model inputs'!M17&gt;=0))=FALSE,FALSE),FALSE,IF(IF(ISERROR('Model inputs'!M17&gt;=0),'Model inputs'!M17&gt;=0,IF('Model inputs'!M17="","",'Model inputs'!M17&gt;=0))="","",AND(DATE(2026,12,1)&gt;=DATE(2026,11,1),DATE(2026,12,1)&lt;=DATE(2028,10,1),IF(ISERROR('Model inputs'!M17&gt;=0),'Model inputs'!M17&gt;=0,IF('Model inputs'!M17="","",'Model inputs'!M17&gt;=0)))))))</f>
      </c>
    </row>
    <row r="491">
      <c r="A491" t="inlineStr" s="13">
        <is>
          <t xml:space="preserve">Calculation</t>
        </is>
      </c>
      <c r="B491">
        <f>IF(IFERROR(DATE(2027,1,1)&gt;=DATE(2026,11,1)=FALSE,FALSE),FALSE,IF(IFERROR(DATE(2027,1,1)&lt;=DATE(2028,10,1)=FALSE,FALSE),FALSE,IF(IFERROR(IF(ISERROR('Model inputs'!N17&gt;=0),'Model inputs'!N17&gt;=0,IF('Model inputs'!N17="","",'Model inputs'!N17&gt;=0))=FALSE,FALSE),FALSE,IF(IF(ISERROR('Model inputs'!N17&gt;=0),'Model inputs'!N17&gt;=0,IF('Model inputs'!N17="","",'Model inputs'!N17&gt;=0))="","",AND(DATE(2027,1,1)&gt;=DATE(2026,11,1),DATE(2027,1,1)&lt;=DATE(2028,10,1),IF(ISERROR('Model inputs'!N17&gt;=0),'Model inputs'!N17&gt;=0,IF('Model inputs'!N17="","",'Model inputs'!N17&gt;=0)))))))</f>
      </c>
    </row>
    <row r="492">
      <c r="A492" t="inlineStr" s="13">
        <is>
          <t xml:space="preserve">Calculation</t>
        </is>
      </c>
      <c r="B492">
        <f>IF(IFERROR(DATE(2027,2,1)&gt;=DATE(2026,11,1)=FALSE,FALSE),FALSE,IF(IFERROR(DATE(2027,2,1)&lt;=DATE(2028,10,1)=FALSE,FALSE),FALSE,IF(IFERROR(IF(ISERROR('Model inputs'!O17&gt;=0),'Model inputs'!O17&gt;=0,IF('Model inputs'!O17="","",'Model inputs'!O17&gt;=0))=FALSE,FALSE),FALSE,IF(IF(ISERROR('Model inputs'!O17&gt;=0),'Model inputs'!O17&gt;=0,IF('Model inputs'!O17="","",'Model inputs'!O17&gt;=0))="","",AND(DATE(2027,2,1)&gt;=DATE(2026,11,1),DATE(2027,2,1)&lt;=DATE(2028,10,1),IF(ISERROR('Model inputs'!O17&gt;=0),'Model inputs'!O17&gt;=0,IF('Model inputs'!O17="","",'Model inputs'!O17&gt;=0)))))))</f>
      </c>
    </row>
    <row r="493">
      <c r="A493" t="inlineStr" s="13">
        <is>
          <t xml:space="preserve">Calculation</t>
        </is>
      </c>
      <c r="B493">
        <f>IF(IFERROR(DATE(2027,3,1)&gt;=DATE(2026,11,1)=FALSE,FALSE),FALSE,IF(IFERROR(DATE(2027,3,1)&lt;=DATE(2028,10,1)=FALSE,FALSE),FALSE,IF(IFERROR(IF(ISERROR('Model inputs'!P17&gt;=0),'Model inputs'!P17&gt;=0,IF('Model inputs'!P17="","",'Model inputs'!P17&gt;=0))=FALSE,FALSE),FALSE,IF(IF(ISERROR('Model inputs'!P17&gt;=0),'Model inputs'!P17&gt;=0,IF('Model inputs'!P17="","",'Model inputs'!P17&gt;=0))="","",AND(DATE(2027,3,1)&gt;=DATE(2026,11,1),DATE(2027,3,1)&lt;=DATE(2028,10,1),IF(ISERROR('Model inputs'!P17&gt;=0),'Model inputs'!P17&gt;=0,IF('Model inputs'!P17="","",'Model inputs'!P17&gt;=0)))))))</f>
      </c>
    </row>
    <row r="494">
      <c r="A494" t="inlineStr" s="13">
        <is>
          <t xml:space="preserve">Calculation</t>
        </is>
      </c>
      <c r="B494">
        <f>IF(IFERROR(DATE(2027,4,1)&gt;=DATE(2026,11,1)=FALSE,FALSE),FALSE,IF(IFERROR(DATE(2027,4,1)&lt;=DATE(2028,10,1)=FALSE,FALSE),FALSE,IF(IFERROR(IF(ISERROR('Model inputs'!Q17&gt;=0),'Model inputs'!Q17&gt;=0,IF('Model inputs'!Q17="","",'Model inputs'!Q17&gt;=0))=FALSE,FALSE),FALSE,IF(IF(ISERROR('Model inputs'!Q17&gt;=0),'Model inputs'!Q17&gt;=0,IF('Model inputs'!Q17="","",'Model inputs'!Q17&gt;=0))="","",AND(DATE(2027,4,1)&gt;=DATE(2026,11,1),DATE(2027,4,1)&lt;=DATE(2028,10,1),IF(ISERROR('Model inputs'!Q17&gt;=0),'Model inputs'!Q17&gt;=0,IF('Model inputs'!Q17="","",'Model inputs'!Q17&gt;=0)))))))</f>
      </c>
    </row>
    <row r="495">
      <c r="A495" t="inlineStr" s="13">
        <is>
          <t xml:space="preserve">Calculation</t>
        </is>
      </c>
      <c r="B495">
        <f>IF(IFERROR(DATE(2027,5,1)&gt;=DATE(2026,11,1)=FALSE,FALSE),FALSE,IF(IFERROR(DATE(2027,5,1)&lt;=DATE(2028,10,1)=FALSE,FALSE),FALSE,IF(IFERROR(IF(ISERROR('Model inputs'!R17&gt;=0),'Model inputs'!R17&gt;=0,IF('Model inputs'!R17="","",'Model inputs'!R17&gt;=0))=FALSE,FALSE),FALSE,IF(IF(ISERROR('Model inputs'!R17&gt;=0),'Model inputs'!R17&gt;=0,IF('Model inputs'!R17="","",'Model inputs'!R17&gt;=0))="","",AND(DATE(2027,5,1)&gt;=DATE(2026,11,1),DATE(2027,5,1)&lt;=DATE(2028,10,1),IF(ISERROR('Model inputs'!R17&gt;=0),'Model inputs'!R17&gt;=0,IF('Model inputs'!R17="","",'Model inputs'!R17&gt;=0)))))))</f>
      </c>
    </row>
    <row r="496">
      <c r="A496" t="inlineStr" s="13">
        <is>
          <t xml:space="preserve">Calculation</t>
        </is>
      </c>
      <c r="B496">
        <f>IF(IFERROR(DATE(2027,6,1)&gt;=DATE(2026,11,1)=FALSE,FALSE),FALSE,IF(IFERROR(DATE(2027,6,1)&lt;=DATE(2028,10,1)=FALSE,FALSE),FALSE,IF(IFERROR(IF(ISERROR('Model inputs'!S17&gt;=0),'Model inputs'!S17&gt;=0,IF('Model inputs'!S17="","",'Model inputs'!S17&gt;=0))=FALSE,FALSE),FALSE,IF(IF(ISERROR('Model inputs'!S17&gt;=0),'Model inputs'!S17&gt;=0,IF('Model inputs'!S17="","",'Model inputs'!S17&gt;=0))="","",AND(DATE(2027,6,1)&gt;=DATE(2026,11,1),DATE(2027,6,1)&lt;=DATE(2028,10,1),IF(ISERROR('Model inputs'!S17&gt;=0),'Model inputs'!S17&gt;=0,IF('Model inputs'!S17="","",'Model inputs'!S17&gt;=0)))))))</f>
      </c>
    </row>
    <row r="497">
      <c r="A497" t="inlineStr" s="13">
        <is>
          <t xml:space="preserve">Calculation</t>
        </is>
      </c>
      <c r="B497">
        <f>IF(IFERROR(DATE(2027,7,1)&gt;=DATE(2026,11,1)=FALSE,FALSE),FALSE,IF(IFERROR(DATE(2027,7,1)&lt;=DATE(2028,10,1)=FALSE,FALSE),FALSE,IF(IFERROR(IF(ISERROR('Model inputs'!T17&gt;=0),'Model inputs'!T17&gt;=0,IF('Model inputs'!T17="","",'Model inputs'!T17&gt;=0))=FALSE,FALSE),FALSE,IF(IF(ISERROR('Model inputs'!T17&gt;=0),'Model inputs'!T17&gt;=0,IF('Model inputs'!T17="","",'Model inputs'!T17&gt;=0))="","",AND(DATE(2027,7,1)&gt;=DATE(2026,11,1),DATE(2027,7,1)&lt;=DATE(2028,10,1),IF(ISERROR('Model inputs'!T17&gt;=0),'Model inputs'!T17&gt;=0,IF('Model inputs'!T17="","",'Model inputs'!T17&gt;=0)))))))</f>
      </c>
    </row>
    <row r="498">
      <c r="A498" t="inlineStr" s="13">
        <is>
          <t xml:space="preserve">Calculation</t>
        </is>
      </c>
      <c r="B498">
        <f>IF(IFERROR(DATE(2027,8,1)&gt;=DATE(2026,11,1)=FALSE,FALSE),FALSE,IF(IFERROR(DATE(2027,8,1)&lt;=DATE(2028,10,1)=FALSE,FALSE),FALSE,IF(IFERROR(IF(ISERROR('Model inputs'!U17&gt;=0),'Model inputs'!U17&gt;=0,IF('Model inputs'!U17="","",'Model inputs'!U17&gt;=0))=FALSE,FALSE),FALSE,IF(IF(ISERROR('Model inputs'!U17&gt;=0),'Model inputs'!U17&gt;=0,IF('Model inputs'!U17="","",'Model inputs'!U17&gt;=0))="","",AND(DATE(2027,8,1)&gt;=DATE(2026,11,1),DATE(2027,8,1)&lt;=DATE(2028,10,1),IF(ISERROR('Model inputs'!U17&gt;=0),'Model inputs'!U17&gt;=0,IF('Model inputs'!U17="","",'Model inputs'!U17&gt;=0)))))))</f>
      </c>
    </row>
    <row r="499">
      <c r="A499" t="inlineStr" s="13">
        <is>
          <t xml:space="preserve">Calculation</t>
        </is>
      </c>
      <c r="B499">
        <f>IF(IFERROR(DATE(2027,9,1)&gt;=DATE(2026,11,1)=FALSE,FALSE),FALSE,IF(IFERROR(DATE(2027,9,1)&lt;=DATE(2028,10,1)=FALSE,FALSE),FALSE,IF(IFERROR(IF(ISERROR('Model inputs'!V17&gt;=0),'Model inputs'!V17&gt;=0,IF('Model inputs'!V17="","",'Model inputs'!V17&gt;=0))=FALSE,FALSE),FALSE,IF(IF(ISERROR('Model inputs'!V17&gt;=0),'Model inputs'!V17&gt;=0,IF('Model inputs'!V17="","",'Model inputs'!V17&gt;=0))="","",AND(DATE(2027,9,1)&gt;=DATE(2026,11,1),DATE(2027,9,1)&lt;=DATE(2028,10,1),IF(ISERROR('Model inputs'!V17&gt;=0),'Model inputs'!V17&gt;=0,IF('Model inputs'!V17="","",'Model inputs'!V17&gt;=0)))))))</f>
      </c>
    </row>
    <row r="500">
      <c r="A500" t="inlineStr" s="13">
        <is>
          <t xml:space="preserve">Calculation</t>
        </is>
      </c>
      <c r="B500">
        <f>IF(IFERROR(DATE(2027,10,1)&gt;=DATE(2026,11,1)=FALSE,FALSE),FALSE,IF(IFERROR(DATE(2027,10,1)&lt;=DATE(2028,10,1)=FALSE,FALSE),FALSE,IF(IFERROR(IF(ISERROR('Model inputs'!W17&gt;=0),'Model inputs'!W17&gt;=0,IF('Model inputs'!W17="","",'Model inputs'!W17&gt;=0))=FALSE,FALSE),FALSE,IF(IF(ISERROR('Model inputs'!W17&gt;=0),'Model inputs'!W17&gt;=0,IF('Model inputs'!W17="","",'Model inputs'!W17&gt;=0))="","",AND(DATE(2027,10,1)&gt;=DATE(2026,11,1),DATE(2027,10,1)&lt;=DATE(2028,10,1),IF(ISERROR('Model inputs'!W17&gt;=0),'Model inputs'!W17&gt;=0,IF('Model inputs'!W17="","",'Model inputs'!W17&gt;=0)))))))</f>
      </c>
    </row>
    <row r="501">
      <c r="A501" t="inlineStr" s="13">
        <is>
          <t xml:space="preserve">Calculation</t>
        </is>
      </c>
      <c r="B501">
        <f>IF(IFERROR(DATE(2027,11,1)&gt;=DATE(2026,11,1)=FALSE,FALSE),FALSE,IF(IFERROR(DATE(2027,11,1)&lt;=DATE(2028,10,1)=FALSE,FALSE),FALSE,IF(IFERROR(IF(ISERROR('Model inputs'!X17&gt;=0),'Model inputs'!X17&gt;=0,IF('Model inputs'!X17="","",'Model inputs'!X17&gt;=0))=FALSE,FALSE),FALSE,IF(IF(ISERROR('Model inputs'!X17&gt;=0),'Model inputs'!X17&gt;=0,IF('Model inputs'!X17="","",'Model inputs'!X17&gt;=0))="","",AND(DATE(2027,11,1)&gt;=DATE(2026,11,1),DATE(2027,11,1)&lt;=DATE(2028,10,1),IF(ISERROR('Model inputs'!X17&gt;=0),'Model inputs'!X17&gt;=0,IF('Model inputs'!X17="","",'Model inputs'!X17&gt;=0)))))))</f>
      </c>
    </row>
    <row r="502">
      <c r="A502" t="inlineStr" s="13">
        <is>
          <t xml:space="preserve">Calculation</t>
        </is>
      </c>
      <c r="B502">
        <f>IF(IFERROR(DATE(2027,12,1)&gt;=DATE(2026,11,1)=FALSE,FALSE),FALSE,IF(IFERROR(DATE(2027,12,1)&lt;=DATE(2028,10,1)=FALSE,FALSE),FALSE,IF(IFERROR(IF(ISERROR('Model inputs'!Y17&gt;=0),'Model inputs'!Y17&gt;=0,IF('Model inputs'!Y17="","",'Model inputs'!Y17&gt;=0))=FALSE,FALSE),FALSE,IF(IF(ISERROR('Model inputs'!Y17&gt;=0),'Model inputs'!Y17&gt;=0,IF('Model inputs'!Y17="","",'Model inputs'!Y17&gt;=0))="","",AND(DATE(2027,12,1)&gt;=DATE(2026,11,1),DATE(2027,12,1)&lt;=DATE(2028,10,1),IF(ISERROR('Model inputs'!Y17&gt;=0),'Model inputs'!Y17&gt;=0,IF('Model inputs'!Y17="","",'Model inputs'!Y17&gt;=0)))))))</f>
      </c>
    </row>
    <row r="503">
      <c r="A503" t="inlineStr" s="13">
        <is>
          <t xml:space="preserve">Calculation</t>
        </is>
      </c>
      <c r="B503">
        <f>IF(IFERROR(DATE(2026,1,1)&gt;=DATE(2026,11,1)=FALSE,FALSE),FALSE,IF(IFERROR(DATE(2026,1,1)&lt;=DATE(2028,10,1)=FALSE,FALSE),FALSE,IF(IFERROR(IF(ISERROR('Model inputs'!B16&gt;=0),'Model inputs'!B16&gt;=0,IF('Model inputs'!B16="","",'Model inputs'!B16&gt;=0))=FALSE,FALSE),FALSE,IF(IF(ISERROR('Model inputs'!B16&gt;=0),'Model inputs'!B16&gt;=0,IF('Model inputs'!B16="","",'Model inputs'!B16&gt;=0))="","",AND(DATE(2026,1,1)&gt;=DATE(2026,11,1),DATE(2026,1,1)&lt;=DATE(2028,10,1),IF(ISERROR('Model inputs'!B16&gt;=0),'Model inputs'!B16&gt;=0,IF('Model inputs'!B16="","",'Model inputs'!B16&gt;=0)))))))</f>
      </c>
    </row>
    <row r="504">
      <c r="A504" t="inlineStr" s="13">
        <is>
          <t xml:space="preserve">Calculation</t>
        </is>
      </c>
      <c r="B504">
        <f>IF(IFERROR(DATE(2026,2,1)&gt;=DATE(2026,11,1)=FALSE,FALSE),FALSE,IF(IFERROR(DATE(2026,2,1)&lt;=DATE(2028,10,1)=FALSE,FALSE),FALSE,IF(IFERROR(IF(ISERROR('Model inputs'!C16&gt;=0),'Model inputs'!C16&gt;=0,IF('Model inputs'!C16="","",'Model inputs'!C16&gt;=0))=FALSE,FALSE),FALSE,IF(IF(ISERROR('Model inputs'!C16&gt;=0),'Model inputs'!C16&gt;=0,IF('Model inputs'!C16="","",'Model inputs'!C16&gt;=0))="","",AND(DATE(2026,2,1)&gt;=DATE(2026,11,1),DATE(2026,2,1)&lt;=DATE(2028,10,1),IF(ISERROR('Model inputs'!C16&gt;=0),'Model inputs'!C16&gt;=0,IF('Model inputs'!C16="","",'Model inputs'!C16&gt;=0)))))))</f>
      </c>
    </row>
    <row r="505">
      <c r="A505" t="inlineStr" s="13">
        <is>
          <t xml:space="preserve">Calculation</t>
        </is>
      </c>
      <c r="B505">
        <f>IF(IFERROR(DATE(2026,3,1)&gt;=DATE(2026,11,1)=FALSE,FALSE),FALSE,IF(IFERROR(DATE(2026,3,1)&lt;=DATE(2028,10,1)=FALSE,FALSE),FALSE,IF(IFERROR(IF(ISERROR('Model inputs'!D16&gt;=0),'Model inputs'!D16&gt;=0,IF('Model inputs'!D16="","",'Model inputs'!D16&gt;=0))=FALSE,FALSE),FALSE,IF(IF(ISERROR('Model inputs'!D16&gt;=0),'Model inputs'!D16&gt;=0,IF('Model inputs'!D16="","",'Model inputs'!D16&gt;=0))="","",AND(DATE(2026,3,1)&gt;=DATE(2026,11,1),DATE(2026,3,1)&lt;=DATE(2028,10,1),IF(ISERROR('Model inputs'!D16&gt;=0),'Model inputs'!D16&gt;=0,IF('Model inputs'!D16="","",'Model inputs'!D16&gt;=0)))))))</f>
      </c>
    </row>
    <row r="506">
      <c r="A506" t="inlineStr" s="13">
        <is>
          <t xml:space="preserve">Calculation</t>
        </is>
      </c>
      <c r="B506">
        <f>IF(IFERROR(DATE(2026,4,1)&gt;=DATE(2026,11,1)=FALSE,FALSE),FALSE,IF(IFERROR(DATE(2026,4,1)&lt;=DATE(2028,10,1)=FALSE,FALSE),FALSE,IF(IFERROR(IF(ISERROR('Model inputs'!E16&gt;=0),'Model inputs'!E16&gt;=0,IF('Model inputs'!E16="","",'Model inputs'!E16&gt;=0))=FALSE,FALSE),FALSE,IF(IF(ISERROR('Model inputs'!E16&gt;=0),'Model inputs'!E16&gt;=0,IF('Model inputs'!E16="","",'Model inputs'!E16&gt;=0))="","",AND(DATE(2026,4,1)&gt;=DATE(2026,11,1),DATE(2026,4,1)&lt;=DATE(2028,10,1),IF(ISERROR('Model inputs'!E16&gt;=0),'Model inputs'!E16&gt;=0,IF('Model inputs'!E16="","",'Model inputs'!E16&gt;=0)))))))</f>
      </c>
    </row>
    <row r="507">
      <c r="A507" t="inlineStr" s="13">
        <is>
          <t xml:space="preserve">Calculation</t>
        </is>
      </c>
      <c r="B507">
        <f>IF(IFERROR(DATE(2026,5,1)&gt;=DATE(2026,11,1)=FALSE,FALSE),FALSE,IF(IFERROR(DATE(2026,5,1)&lt;=DATE(2028,10,1)=FALSE,FALSE),FALSE,IF(IFERROR(IF(ISERROR('Model inputs'!F16&gt;=0),'Model inputs'!F16&gt;=0,IF('Model inputs'!F16="","",'Model inputs'!F16&gt;=0))=FALSE,FALSE),FALSE,IF(IF(ISERROR('Model inputs'!F16&gt;=0),'Model inputs'!F16&gt;=0,IF('Model inputs'!F16="","",'Model inputs'!F16&gt;=0))="","",AND(DATE(2026,5,1)&gt;=DATE(2026,11,1),DATE(2026,5,1)&lt;=DATE(2028,10,1),IF(ISERROR('Model inputs'!F16&gt;=0),'Model inputs'!F16&gt;=0,IF('Model inputs'!F16="","",'Model inputs'!F16&gt;=0)))))))</f>
      </c>
    </row>
    <row r="508">
      <c r="A508" t="inlineStr" s="13">
        <is>
          <t xml:space="preserve">Calculation</t>
        </is>
      </c>
      <c r="B508">
        <f>IF(IFERROR(DATE(2026,6,1)&gt;=DATE(2026,11,1)=FALSE,FALSE),FALSE,IF(IFERROR(DATE(2026,6,1)&lt;=DATE(2028,10,1)=FALSE,FALSE),FALSE,IF(IFERROR(IF(ISERROR('Model inputs'!G16&gt;=0),'Model inputs'!G16&gt;=0,IF('Model inputs'!G16="","",'Model inputs'!G16&gt;=0))=FALSE,FALSE),FALSE,IF(IF(ISERROR('Model inputs'!G16&gt;=0),'Model inputs'!G16&gt;=0,IF('Model inputs'!G16="","",'Model inputs'!G16&gt;=0))="","",AND(DATE(2026,6,1)&gt;=DATE(2026,11,1),DATE(2026,6,1)&lt;=DATE(2028,10,1),IF(ISERROR('Model inputs'!G16&gt;=0),'Model inputs'!G16&gt;=0,IF('Model inputs'!G16="","",'Model inputs'!G16&gt;=0)))))))</f>
      </c>
    </row>
    <row r="509">
      <c r="A509" t="inlineStr" s="13">
        <is>
          <t xml:space="preserve">Calculation</t>
        </is>
      </c>
      <c r="B509">
        <f>IF(IFERROR(DATE(2026,7,1)&gt;=DATE(2026,11,1)=FALSE,FALSE),FALSE,IF(IFERROR(DATE(2026,7,1)&lt;=DATE(2028,10,1)=FALSE,FALSE),FALSE,IF(IFERROR(IF(ISERROR('Model inputs'!H16&gt;=0),'Model inputs'!H16&gt;=0,IF('Model inputs'!H16="","",'Model inputs'!H16&gt;=0))=FALSE,FALSE),FALSE,IF(IF(ISERROR('Model inputs'!H16&gt;=0),'Model inputs'!H16&gt;=0,IF('Model inputs'!H16="","",'Model inputs'!H16&gt;=0))="","",AND(DATE(2026,7,1)&gt;=DATE(2026,11,1),DATE(2026,7,1)&lt;=DATE(2028,10,1),IF(ISERROR('Model inputs'!H16&gt;=0),'Model inputs'!H16&gt;=0,IF('Model inputs'!H16="","",'Model inputs'!H16&gt;=0)))))))</f>
      </c>
    </row>
    <row r="510">
      <c r="A510" t="inlineStr" s="13">
        <is>
          <t xml:space="preserve">Calculation</t>
        </is>
      </c>
      <c r="B510">
        <f>IF(IFERROR(DATE(2026,8,1)&gt;=DATE(2026,11,1)=FALSE,FALSE),FALSE,IF(IFERROR(DATE(2026,8,1)&lt;=DATE(2028,10,1)=FALSE,FALSE),FALSE,IF(IFERROR(IF(ISERROR('Model inputs'!I16&gt;=0),'Model inputs'!I16&gt;=0,IF('Model inputs'!I16="","",'Model inputs'!I16&gt;=0))=FALSE,FALSE),FALSE,IF(IF(ISERROR('Model inputs'!I16&gt;=0),'Model inputs'!I16&gt;=0,IF('Model inputs'!I16="","",'Model inputs'!I16&gt;=0))="","",AND(DATE(2026,8,1)&gt;=DATE(2026,11,1),DATE(2026,8,1)&lt;=DATE(2028,10,1),IF(ISERROR('Model inputs'!I16&gt;=0),'Model inputs'!I16&gt;=0,IF('Model inputs'!I16="","",'Model inputs'!I16&gt;=0)))))))</f>
      </c>
    </row>
    <row r="511">
      <c r="A511" t="inlineStr" s="13">
        <is>
          <t xml:space="preserve">Calculation</t>
        </is>
      </c>
      <c r="B511">
        <f>IF(IFERROR(DATE(2026,9,1)&gt;=DATE(2026,11,1)=FALSE,FALSE),FALSE,IF(IFERROR(DATE(2026,9,1)&lt;=DATE(2028,10,1)=FALSE,FALSE),FALSE,IF(IFERROR(IF(ISERROR('Model inputs'!J16&gt;=0),'Model inputs'!J16&gt;=0,IF('Model inputs'!J16="","",'Model inputs'!J16&gt;=0))=FALSE,FALSE),FALSE,IF(IF(ISERROR('Model inputs'!J16&gt;=0),'Model inputs'!J16&gt;=0,IF('Model inputs'!J16="","",'Model inputs'!J16&gt;=0))="","",AND(DATE(2026,9,1)&gt;=DATE(2026,11,1),DATE(2026,9,1)&lt;=DATE(2028,10,1),IF(ISERROR('Model inputs'!J16&gt;=0),'Model inputs'!J16&gt;=0,IF('Model inputs'!J16="","",'Model inputs'!J16&gt;=0)))))))</f>
      </c>
    </row>
    <row r="512">
      <c r="A512" t="inlineStr" s="13">
        <is>
          <t xml:space="preserve">Calculation</t>
        </is>
      </c>
      <c r="B512">
        <f>IF(IFERROR(DATE(2026,10,1)&gt;=DATE(2026,11,1)=FALSE,FALSE),FALSE,IF(IFERROR(DATE(2026,10,1)&lt;=DATE(2028,10,1)=FALSE,FALSE),FALSE,IF(IFERROR(IF(ISERROR('Model inputs'!K16&gt;=0),'Model inputs'!K16&gt;=0,IF('Model inputs'!K16="","",'Model inputs'!K16&gt;=0))=FALSE,FALSE),FALSE,IF(IF(ISERROR('Model inputs'!K16&gt;=0),'Model inputs'!K16&gt;=0,IF('Model inputs'!K16="","",'Model inputs'!K16&gt;=0))="","",AND(DATE(2026,10,1)&gt;=DATE(2026,11,1),DATE(2026,10,1)&lt;=DATE(2028,10,1),IF(ISERROR('Model inputs'!K16&gt;=0),'Model inputs'!K16&gt;=0,IF('Model inputs'!K16="","",'Model inputs'!K16&gt;=0)))))))</f>
      </c>
    </row>
    <row r="513">
      <c r="A513" t="inlineStr" s="13">
        <is>
          <t xml:space="preserve">Calculation</t>
        </is>
      </c>
      <c r="B513">
        <f>IF(IFERROR(DATE(2026,11,1)&gt;=DATE(2026,11,1)=FALSE,FALSE),FALSE,IF(IFERROR(DATE(2026,11,1)&lt;=DATE(2028,10,1)=FALSE,FALSE),FALSE,IF(IFERROR(IF(ISERROR('Model inputs'!L16&gt;=0),'Model inputs'!L16&gt;=0,IF('Model inputs'!L16="","",'Model inputs'!L16&gt;=0))=FALSE,FALSE),FALSE,IF(IF(ISERROR('Model inputs'!L16&gt;=0),'Model inputs'!L16&gt;=0,IF('Model inputs'!L16="","",'Model inputs'!L16&gt;=0))="","",AND(DATE(2026,11,1)&gt;=DATE(2026,11,1),DATE(2026,11,1)&lt;=DATE(2028,10,1),IF(ISERROR('Model inputs'!L16&gt;=0),'Model inputs'!L16&gt;=0,IF('Model inputs'!L16="","",'Model inputs'!L16&gt;=0)))))))</f>
      </c>
    </row>
    <row r="514">
      <c r="A514" t="inlineStr" s="13">
        <is>
          <t xml:space="preserve">Calculation</t>
        </is>
      </c>
      <c r="B514">
        <f>IF(IFERROR(DATE(2026,12,1)&gt;=DATE(2026,11,1)=FALSE,FALSE),FALSE,IF(IFERROR(DATE(2026,12,1)&lt;=DATE(2028,10,1)=FALSE,FALSE),FALSE,IF(IFERROR(IF(ISERROR('Model inputs'!M16&gt;=0),'Model inputs'!M16&gt;=0,IF('Model inputs'!M16="","",'Model inputs'!M16&gt;=0))=FALSE,FALSE),FALSE,IF(IF(ISERROR('Model inputs'!M16&gt;=0),'Model inputs'!M16&gt;=0,IF('Model inputs'!M16="","",'Model inputs'!M16&gt;=0))="","",AND(DATE(2026,12,1)&gt;=DATE(2026,11,1),DATE(2026,12,1)&lt;=DATE(2028,10,1),IF(ISERROR('Model inputs'!M16&gt;=0),'Model inputs'!M16&gt;=0,IF('Model inputs'!M16="","",'Model inputs'!M16&gt;=0)))))))</f>
      </c>
    </row>
    <row r="515">
      <c r="A515" t="inlineStr" s="13">
        <is>
          <t xml:space="preserve">Calculation</t>
        </is>
      </c>
      <c r="B515">
        <f>IF(IFERROR(DATE(2027,1,1)&gt;=DATE(2026,11,1)=FALSE,FALSE),FALSE,IF(IFERROR(DATE(2027,1,1)&lt;=DATE(2028,10,1)=FALSE,FALSE),FALSE,IF(IFERROR(IF(ISERROR('Model inputs'!N16&gt;=0),'Model inputs'!N16&gt;=0,IF('Model inputs'!N16="","",'Model inputs'!N16&gt;=0))=FALSE,FALSE),FALSE,IF(IF(ISERROR('Model inputs'!N16&gt;=0),'Model inputs'!N16&gt;=0,IF('Model inputs'!N16="","",'Model inputs'!N16&gt;=0))="","",AND(DATE(2027,1,1)&gt;=DATE(2026,11,1),DATE(2027,1,1)&lt;=DATE(2028,10,1),IF(ISERROR('Model inputs'!N16&gt;=0),'Model inputs'!N16&gt;=0,IF('Model inputs'!N16="","",'Model inputs'!N16&gt;=0)))))))</f>
      </c>
    </row>
    <row r="516">
      <c r="A516" t="inlineStr" s="13">
        <is>
          <t xml:space="preserve">Calculation</t>
        </is>
      </c>
      <c r="B516">
        <f>IF(IFERROR(DATE(2027,2,1)&gt;=DATE(2026,11,1)=FALSE,FALSE),FALSE,IF(IFERROR(DATE(2027,2,1)&lt;=DATE(2028,10,1)=FALSE,FALSE),FALSE,IF(IFERROR(IF(ISERROR('Model inputs'!O16&gt;=0),'Model inputs'!O16&gt;=0,IF('Model inputs'!O16="","",'Model inputs'!O16&gt;=0))=FALSE,FALSE),FALSE,IF(IF(ISERROR('Model inputs'!O16&gt;=0),'Model inputs'!O16&gt;=0,IF('Model inputs'!O16="","",'Model inputs'!O16&gt;=0))="","",AND(DATE(2027,2,1)&gt;=DATE(2026,11,1),DATE(2027,2,1)&lt;=DATE(2028,10,1),IF(ISERROR('Model inputs'!O16&gt;=0),'Model inputs'!O16&gt;=0,IF('Model inputs'!O16="","",'Model inputs'!O16&gt;=0)))))))</f>
      </c>
    </row>
    <row r="517">
      <c r="A517" t="inlineStr" s="13">
        <is>
          <t xml:space="preserve">Calculation</t>
        </is>
      </c>
      <c r="B517">
        <f>IF(IFERROR(DATE(2027,3,1)&gt;=DATE(2026,11,1)=FALSE,FALSE),FALSE,IF(IFERROR(DATE(2027,3,1)&lt;=DATE(2028,10,1)=FALSE,FALSE),FALSE,IF(IFERROR(IF(ISERROR('Model inputs'!P16&gt;=0),'Model inputs'!P16&gt;=0,IF('Model inputs'!P16="","",'Model inputs'!P16&gt;=0))=FALSE,FALSE),FALSE,IF(IF(ISERROR('Model inputs'!P16&gt;=0),'Model inputs'!P16&gt;=0,IF('Model inputs'!P16="","",'Model inputs'!P16&gt;=0))="","",AND(DATE(2027,3,1)&gt;=DATE(2026,11,1),DATE(2027,3,1)&lt;=DATE(2028,10,1),IF(ISERROR('Model inputs'!P16&gt;=0),'Model inputs'!P16&gt;=0,IF('Model inputs'!P16="","",'Model inputs'!P16&gt;=0)))))))</f>
      </c>
    </row>
    <row r="518">
      <c r="A518" t="inlineStr" s="13">
        <is>
          <t xml:space="preserve">Calculation</t>
        </is>
      </c>
      <c r="B518">
        <f>IF(IFERROR(DATE(2027,4,1)&gt;=DATE(2026,11,1)=FALSE,FALSE),FALSE,IF(IFERROR(DATE(2027,4,1)&lt;=DATE(2028,10,1)=FALSE,FALSE),FALSE,IF(IFERROR(IF(ISERROR('Model inputs'!Q16&gt;=0),'Model inputs'!Q16&gt;=0,IF('Model inputs'!Q16="","",'Model inputs'!Q16&gt;=0))=FALSE,FALSE),FALSE,IF(IF(ISERROR('Model inputs'!Q16&gt;=0),'Model inputs'!Q16&gt;=0,IF('Model inputs'!Q16="","",'Model inputs'!Q16&gt;=0))="","",AND(DATE(2027,4,1)&gt;=DATE(2026,11,1),DATE(2027,4,1)&lt;=DATE(2028,10,1),IF(ISERROR('Model inputs'!Q16&gt;=0),'Model inputs'!Q16&gt;=0,IF('Model inputs'!Q16="","",'Model inputs'!Q16&gt;=0)))))))</f>
      </c>
    </row>
    <row r="519">
      <c r="A519" t="inlineStr" s="13">
        <is>
          <t xml:space="preserve">Calculation</t>
        </is>
      </c>
      <c r="B519">
        <f>IF(IFERROR(DATE(2027,5,1)&gt;=DATE(2026,11,1)=FALSE,FALSE),FALSE,IF(IFERROR(DATE(2027,5,1)&lt;=DATE(2028,10,1)=FALSE,FALSE),FALSE,IF(IFERROR(IF(ISERROR('Model inputs'!R16&gt;=0),'Model inputs'!R16&gt;=0,IF('Model inputs'!R16="","",'Model inputs'!R16&gt;=0))=FALSE,FALSE),FALSE,IF(IF(ISERROR('Model inputs'!R16&gt;=0),'Model inputs'!R16&gt;=0,IF('Model inputs'!R16="","",'Model inputs'!R16&gt;=0))="","",AND(DATE(2027,5,1)&gt;=DATE(2026,11,1),DATE(2027,5,1)&lt;=DATE(2028,10,1),IF(ISERROR('Model inputs'!R16&gt;=0),'Model inputs'!R16&gt;=0,IF('Model inputs'!R16="","",'Model inputs'!R16&gt;=0)))))))</f>
      </c>
    </row>
    <row r="520">
      <c r="A520" t="inlineStr" s="13">
        <is>
          <t xml:space="preserve">Calculation</t>
        </is>
      </c>
      <c r="B520">
        <f>IF(IFERROR(DATE(2027,6,1)&gt;=DATE(2026,11,1)=FALSE,FALSE),FALSE,IF(IFERROR(DATE(2027,6,1)&lt;=DATE(2028,10,1)=FALSE,FALSE),FALSE,IF(IFERROR(IF(ISERROR('Model inputs'!S16&gt;=0),'Model inputs'!S16&gt;=0,IF('Model inputs'!S16="","",'Model inputs'!S16&gt;=0))=FALSE,FALSE),FALSE,IF(IF(ISERROR('Model inputs'!S16&gt;=0),'Model inputs'!S16&gt;=0,IF('Model inputs'!S16="","",'Model inputs'!S16&gt;=0))="","",AND(DATE(2027,6,1)&gt;=DATE(2026,11,1),DATE(2027,6,1)&lt;=DATE(2028,10,1),IF(ISERROR('Model inputs'!S16&gt;=0),'Model inputs'!S16&gt;=0,IF('Model inputs'!S16="","",'Model inputs'!S16&gt;=0)))))))</f>
      </c>
    </row>
    <row r="521">
      <c r="A521" t="inlineStr" s="13">
        <is>
          <t xml:space="preserve">Calculation</t>
        </is>
      </c>
      <c r="B521">
        <f>IF(IFERROR(DATE(2027,7,1)&gt;=DATE(2026,11,1)=FALSE,FALSE),FALSE,IF(IFERROR(DATE(2027,7,1)&lt;=DATE(2028,10,1)=FALSE,FALSE),FALSE,IF(IFERROR(IF(ISERROR('Model inputs'!T16&gt;=0),'Model inputs'!T16&gt;=0,IF('Model inputs'!T16="","",'Model inputs'!T16&gt;=0))=FALSE,FALSE),FALSE,IF(IF(ISERROR('Model inputs'!T16&gt;=0),'Model inputs'!T16&gt;=0,IF('Model inputs'!T16="","",'Model inputs'!T16&gt;=0))="","",AND(DATE(2027,7,1)&gt;=DATE(2026,11,1),DATE(2027,7,1)&lt;=DATE(2028,10,1),IF(ISERROR('Model inputs'!T16&gt;=0),'Model inputs'!T16&gt;=0,IF('Model inputs'!T16="","",'Model inputs'!T16&gt;=0)))))))</f>
      </c>
    </row>
    <row r="522">
      <c r="A522" t="inlineStr" s="13">
        <is>
          <t xml:space="preserve">Calculation</t>
        </is>
      </c>
      <c r="B522">
        <f>IF(IFERROR(DATE(2027,8,1)&gt;=DATE(2026,11,1)=FALSE,FALSE),FALSE,IF(IFERROR(DATE(2027,8,1)&lt;=DATE(2028,10,1)=FALSE,FALSE),FALSE,IF(IFERROR(IF(ISERROR('Model inputs'!U16&gt;=0),'Model inputs'!U16&gt;=0,IF('Model inputs'!U16="","",'Model inputs'!U16&gt;=0))=FALSE,FALSE),FALSE,IF(IF(ISERROR('Model inputs'!U16&gt;=0),'Model inputs'!U16&gt;=0,IF('Model inputs'!U16="","",'Model inputs'!U16&gt;=0))="","",AND(DATE(2027,8,1)&gt;=DATE(2026,11,1),DATE(2027,8,1)&lt;=DATE(2028,10,1),IF(ISERROR('Model inputs'!U16&gt;=0),'Model inputs'!U16&gt;=0,IF('Model inputs'!U16="","",'Model inputs'!U16&gt;=0)))))))</f>
      </c>
    </row>
    <row r="523">
      <c r="A523" t="inlineStr" s="13">
        <is>
          <t xml:space="preserve">Calculation</t>
        </is>
      </c>
      <c r="B523">
        <f>IF(IFERROR(DATE(2027,9,1)&gt;=DATE(2026,11,1)=FALSE,FALSE),FALSE,IF(IFERROR(DATE(2027,9,1)&lt;=DATE(2028,10,1)=FALSE,FALSE),FALSE,IF(IFERROR(IF(ISERROR('Model inputs'!V16&gt;=0),'Model inputs'!V16&gt;=0,IF('Model inputs'!V16="","",'Model inputs'!V16&gt;=0))=FALSE,FALSE),FALSE,IF(IF(ISERROR('Model inputs'!V16&gt;=0),'Model inputs'!V16&gt;=0,IF('Model inputs'!V16="","",'Model inputs'!V16&gt;=0))="","",AND(DATE(2027,9,1)&gt;=DATE(2026,11,1),DATE(2027,9,1)&lt;=DATE(2028,10,1),IF(ISERROR('Model inputs'!V16&gt;=0),'Model inputs'!V16&gt;=0,IF('Model inputs'!V16="","",'Model inputs'!V16&gt;=0)))))))</f>
      </c>
    </row>
    <row r="524">
      <c r="A524" t="inlineStr" s="13">
        <is>
          <t xml:space="preserve">Calculation</t>
        </is>
      </c>
      <c r="B524">
        <f>IF(IFERROR(DATE(2027,10,1)&gt;=DATE(2026,11,1)=FALSE,FALSE),FALSE,IF(IFERROR(DATE(2027,10,1)&lt;=DATE(2028,10,1)=FALSE,FALSE),FALSE,IF(IFERROR(IF(ISERROR('Model inputs'!W16&gt;=0),'Model inputs'!W16&gt;=0,IF('Model inputs'!W16="","",'Model inputs'!W16&gt;=0))=FALSE,FALSE),FALSE,IF(IF(ISERROR('Model inputs'!W16&gt;=0),'Model inputs'!W16&gt;=0,IF('Model inputs'!W16="","",'Model inputs'!W16&gt;=0))="","",AND(DATE(2027,10,1)&gt;=DATE(2026,11,1),DATE(2027,10,1)&lt;=DATE(2028,10,1),IF(ISERROR('Model inputs'!W16&gt;=0),'Model inputs'!W16&gt;=0,IF('Model inputs'!W16="","",'Model inputs'!W16&gt;=0)))))))</f>
      </c>
    </row>
    <row r="525">
      <c r="A525" t="inlineStr" s="13">
        <is>
          <t xml:space="preserve">Calculation</t>
        </is>
      </c>
      <c r="B525">
        <f>IF(IFERROR(DATE(2027,11,1)&gt;=DATE(2026,11,1)=FALSE,FALSE),FALSE,IF(IFERROR(DATE(2027,11,1)&lt;=DATE(2028,10,1)=FALSE,FALSE),FALSE,IF(IFERROR(IF(ISERROR('Model inputs'!X16&gt;=0),'Model inputs'!X16&gt;=0,IF('Model inputs'!X16="","",'Model inputs'!X16&gt;=0))=FALSE,FALSE),FALSE,IF(IF(ISERROR('Model inputs'!X16&gt;=0),'Model inputs'!X16&gt;=0,IF('Model inputs'!X16="","",'Model inputs'!X16&gt;=0))="","",AND(DATE(2027,11,1)&gt;=DATE(2026,11,1),DATE(2027,11,1)&lt;=DATE(2028,10,1),IF(ISERROR('Model inputs'!X16&gt;=0),'Model inputs'!X16&gt;=0,IF('Model inputs'!X16="","",'Model inputs'!X16&gt;=0)))))))</f>
      </c>
    </row>
    <row r="526">
      <c r="A526" t="inlineStr" s="13">
        <is>
          <t xml:space="preserve">Calculation</t>
        </is>
      </c>
      <c r="B526">
        <f>IF(IFERROR(DATE(2027,12,1)&gt;=DATE(2026,11,1)=FALSE,FALSE),FALSE,IF(IFERROR(DATE(2027,12,1)&lt;=DATE(2028,10,1)=FALSE,FALSE),FALSE,IF(IFERROR(IF(ISERROR('Model inputs'!Y16&gt;=0),'Model inputs'!Y16&gt;=0,IF('Model inputs'!Y16="","",'Model inputs'!Y16&gt;=0))=FALSE,FALSE),FALSE,IF(IF(ISERROR('Model inputs'!Y16&gt;=0),'Model inputs'!Y16&gt;=0,IF('Model inputs'!Y16="","",'Model inputs'!Y16&gt;=0))="","",AND(DATE(2027,12,1)&gt;=DATE(2026,11,1),DATE(2027,12,1)&lt;=DATE(2028,10,1),IF(ISERROR('Model inputs'!Y16&gt;=0),'Model inputs'!Y16&gt;=0,IF('Model inputs'!Y16="","",'Model inputs'!Y16&gt;=0)))))))</f>
      </c>
    </row>
    <row r="527">
      <c r="A527" t="inlineStr" s="13">
        <is>
          <t xml:space="preserve">Calculation</t>
        </is>
      </c>
      <c r="B527">
        <f>IF(IFERROR(DATE(2026,1,1)&gt;=DATE(2026,11,1)=FALSE,FALSE),FALSE,IF(IFERROR(DATE(2026,1,1)&lt;=DATE(2028,10,1)=FALSE,FALSE),FALSE,IF(IFERROR(IF(ISERROR('Model inputs'!B12&lt;0),'Model inputs'!B12&lt;0,IF('Model inputs'!B12="","",'Model inputs'!B12&lt;0))=FALSE,FALSE),FALSE,IF(IF(ISERROR('Model inputs'!B12&lt;0),'Model inputs'!B12&lt;0,IF('Model inputs'!B12="","",'Model inputs'!B12&lt;0))="","",AND(DATE(2026,1,1)&gt;=DATE(2026,11,1),DATE(2026,1,1)&lt;=DATE(2028,10,1),IF(ISERROR('Model inputs'!B12&lt;0),'Model inputs'!B12&lt;0,IF('Model inputs'!B12="","",'Model inputs'!B12&lt;0)))))))</f>
      </c>
    </row>
    <row r="528">
      <c r="A528" t="inlineStr" s="13">
        <is>
          <t xml:space="preserve">Calculation</t>
        </is>
      </c>
      <c r="B528">
        <f>IF(IFERROR(DATE(2026,2,1)&gt;=DATE(2026,11,1)=FALSE,FALSE),FALSE,IF(IFERROR(DATE(2026,2,1)&lt;=DATE(2028,10,1)=FALSE,FALSE),FALSE,IF(IFERROR(IF(ISERROR('Model inputs'!C12&lt;0),'Model inputs'!C12&lt;0,IF('Model inputs'!C12="","",'Model inputs'!C12&lt;0))=FALSE,FALSE),FALSE,IF(IF(ISERROR('Model inputs'!C12&lt;0),'Model inputs'!C12&lt;0,IF('Model inputs'!C12="","",'Model inputs'!C12&lt;0))="","",AND(DATE(2026,2,1)&gt;=DATE(2026,11,1),DATE(2026,2,1)&lt;=DATE(2028,10,1),IF(ISERROR('Model inputs'!C12&lt;0),'Model inputs'!C12&lt;0,IF('Model inputs'!C12="","",'Model inputs'!C12&lt;0)))))))</f>
      </c>
    </row>
    <row r="529">
      <c r="A529" t="inlineStr" s="13">
        <is>
          <t xml:space="preserve">Calculation</t>
        </is>
      </c>
      <c r="B529">
        <f>IF(IFERROR(DATE(2026,3,1)&gt;=DATE(2026,11,1)=FALSE,FALSE),FALSE,IF(IFERROR(DATE(2026,3,1)&lt;=DATE(2028,10,1)=FALSE,FALSE),FALSE,IF(IFERROR(IF(ISERROR('Model inputs'!D12&lt;0),'Model inputs'!D12&lt;0,IF('Model inputs'!D12="","",'Model inputs'!D12&lt;0))=FALSE,FALSE),FALSE,IF(IF(ISERROR('Model inputs'!D12&lt;0),'Model inputs'!D12&lt;0,IF('Model inputs'!D12="","",'Model inputs'!D12&lt;0))="","",AND(DATE(2026,3,1)&gt;=DATE(2026,11,1),DATE(2026,3,1)&lt;=DATE(2028,10,1),IF(ISERROR('Model inputs'!D12&lt;0),'Model inputs'!D12&lt;0,IF('Model inputs'!D12="","",'Model inputs'!D12&lt;0)))))))</f>
      </c>
    </row>
    <row r="530">
      <c r="A530" t="inlineStr" s="13">
        <is>
          <t xml:space="preserve">Calculation</t>
        </is>
      </c>
      <c r="B530">
        <f>IF(IFERROR(DATE(2026,4,1)&gt;=DATE(2026,11,1)=FALSE,FALSE),FALSE,IF(IFERROR(DATE(2026,4,1)&lt;=DATE(2028,10,1)=FALSE,FALSE),FALSE,IF(IFERROR(IF(ISERROR('Model inputs'!E12&lt;0),'Model inputs'!E12&lt;0,IF('Model inputs'!E12="","",'Model inputs'!E12&lt;0))=FALSE,FALSE),FALSE,IF(IF(ISERROR('Model inputs'!E12&lt;0),'Model inputs'!E12&lt;0,IF('Model inputs'!E12="","",'Model inputs'!E12&lt;0))="","",AND(DATE(2026,4,1)&gt;=DATE(2026,11,1),DATE(2026,4,1)&lt;=DATE(2028,10,1),IF(ISERROR('Model inputs'!E12&lt;0),'Model inputs'!E12&lt;0,IF('Model inputs'!E12="","",'Model inputs'!E12&lt;0)))))))</f>
      </c>
    </row>
    <row r="531">
      <c r="A531" t="inlineStr" s="13">
        <is>
          <t xml:space="preserve">Calculation</t>
        </is>
      </c>
      <c r="B531">
        <f>IF(IFERROR(DATE(2026,5,1)&gt;=DATE(2026,11,1)=FALSE,FALSE),FALSE,IF(IFERROR(DATE(2026,5,1)&lt;=DATE(2028,10,1)=FALSE,FALSE),FALSE,IF(IFERROR(IF(ISERROR('Model inputs'!F12&lt;0),'Model inputs'!F12&lt;0,IF('Model inputs'!F12="","",'Model inputs'!F12&lt;0))=FALSE,FALSE),FALSE,IF(IF(ISERROR('Model inputs'!F12&lt;0),'Model inputs'!F12&lt;0,IF('Model inputs'!F12="","",'Model inputs'!F12&lt;0))="","",AND(DATE(2026,5,1)&gt;=DATE(2026,11,1),DATE(2026,5,1)&lt;=DATE(2028,10,1),IF(ISERROR('Model inputs'!F12&lt;0),'Model inputs'!F12&lt;0,IF('Model inputs'!F12="","",'Model inputs'!F12&lt;0)))))))</f>
      </c>
    </row>
    <row r="532">
      <c r="A532" t="inlineStr" s="13">
        <is>
          <t xml:space="preserve">Calculation</t>
        </is>
      </c>
      <c r="B532">
        <f>IF(IFERROR(DATE(2026,6,1)&gt;=DATE(2026,11,1)=FALSE,FALSE),FALSE,IF(IFERROR(DATE(2026,6,1)&lt;=DATE(2028,10,1)=FALSE,FALSE),FALSE,IF(IFERROR(IF(ISERROR('Model inputs'!G12&lt;0),'Model inputs'!G12&lt;0,IF('Model inputs'!G12="","",'Model inputs'!G12&lt;0))=FALSE,FALSE),FALSE,IF(IF(ISERROR('Model inputs'!G12&lt;0),'Model inputs'!G12&lt;0,IF('Model inputs'!G12="","",'Model inputs'!G12&lt;0))="","",AND(DATE(2026,6,1)&gt;=DATE(2026,11,1),DATE(2026,6,1)&lt;=DATE(2028,10,1),IF(ISERROR('Model inputs'!G12&lt;0),'Model inputs'!G12&lt;0,IF('Model inputs'!G12="","",'Model inputs'!G12&lt;0)))))))</f>
      </c>
    </row>
    <row r="533">
      <c r="A533" t="inlineStr" s="13">
        <is>
          <t xml:space="preserve">Calculation</t>
        </is>
      </c>
      <c r="B533">
        <f>IF(IFERROR(DATE(2026,7,1)&gt;=DATE(2026,11,1)=FALSE,FALSE),FALSE,IF(IFERROR(DATE(2026,7,1)&lt;=DATE(2028,10,1)=FALSE,FALSE),FALSE,IF(IFERROR(IF(ISERROR('Model inputs'!H12&lt;0),'Model inputs'!H12&lt;0,IF('Model inputs'!H12="","",'Model inputs'!H12&lt;0))=FALSE,FALSE),FALSE,IF(IF(ISERROR('Model inputs'!H12&lt;0),'Model inputs'!H12&lt;0,IF('Model inputs'!H12="","",'Model inputs'!H12&lt;0))="","",AND(DATE(2026,7,1)&gt;=DATE(2026,11,1),DATE(2026,7,1)&lt;=DATE(2028,10,1),IF(ISERROR('Model inputs'!H12&lt;0),'Model inputs'!H12&lt;0,IF('Model inputs'!H12="","",'Model inputs'!H12&lt;0)))))))</f>
      </c>
    </row>
    <row r="534">
      <c r="A534" t="inlineStr" s="13">
        <is>
          <t xml:space="preserve">Calculation</t>
        </is>
      </c>
      <c r="B534">
        <f>IF(IFERROR(DATE(2026,8,1)&gt;=DATE(2026,11,1)=FALSE,FALSE),FALSE,IF(IFERROR(DATE(2026,8,1)&lt;=DATE(2028,10,1)=FALSE,FALSE),FALSE,IF(IFERROR(IF(ISERROR('Model inputs'!I12&lt;0),'Model inputs'!I12&lt;0,IF('Model inputs'!I12="","",'Model inputs'!I12&lt;0))=FALSE,FALSE),FALSE,IF(IF(ISERROR('Model inputs'!I12&lt;0),'Model inputs'!I12&lt;0,IF('Model inputs'!I12="","",'Model inputs'!I12&lt;0))="","",AND(DATE(2026,8,1)&gt;=DATE(2026,11,1),DATE(2026,8,1)&lt;=DATE(2028,10,1),IF(ISERROR('Model inputs'!I12&lt;0),'Model inputs'!I12&lt;0,IF('Model inputs'!I12="","",'Model inputs'!I12&lt;0)))))))</f>
      </c>
    </row>
    <row r="535">
      <c r="A535" t="inlineStr" s="13">
        <is>
          <t xml:space="preserve">Calculation</t>
        </is>
      </c>
      <c r="B535">
        <f>IF(IFERROR(DATE(2026,9,1)&gt;=DATE(2026,11,1)=FALSE,FALSE),FALSE,IF(IFERROR(DATE(2026,9,1)&lt;=DATE(2028,10,1)=FALSE,FALSE),FALSE,IF(IFERROR(IF(ISERROR('Model inputs'!J12&lt;0),'Model inputs'!J12&lt;0,IF('Model inputs'!J12="","",'Model inputs'!J12&lt;0))=FALSE,FALSE),FALSE,IF(IF(ISERROR('Model inputs'!J12&lt;0),'Model inputs'!J12&lt;0,IF('Model inputs'!J12="","",'Model inputs'!J12&lt;0))="","",AND(DATE(2026,9,1)&gt;=DATE(2026,11,1),DATE(2026,9,1)&lt;=DATE(2028,10,1),IF(ISERROR('Model inputs'!J12&lt;0),'Model inputs'!J12&lt;0,IF('Model inputs'!J12="","",'Model inputs'!J12&lt;0)))))))</f>
      </c>
    </row>
    <row r="536">
      <c r="A536" t="inlineStr" s="13">
        <is>
          <t xml:space="preserve">Calculation</t>
        </is>
      </c>
      <c r="B536">
        <f>IF(IFERROR(DATE(2026,10,1)&gt;=DATE(2026,11,1)=FALSE,FALSE),FALSE,IF(IFERROR(DATE(2026,10,1)&lt;=DATE(2028,10,1)=FALSE,FALSE),FALSE,IF(IFERROR(IF(ISERROR('Model inputs'!K12&lt;0),'Model inputs'!K12&lt;0,IF('Model inputs'!K12="","",'Model inputs'!K12&lt;0))=FALSE,FALSE),FALSE,IF(IF(ISERROR('Model inputs'!K12&lt;0),'Model inputs'!K12&lt;0,IF('Model inputs'!K12="","",'Model inputs'!K12&lt;0))="","",AND(DATE(2026,10,1)&gt;=DATE(2026,11,1),DATE(2026,10,1)&lt;=DATE(2028,10,1),IF(ISERROR('Model inputs'!K12&lt;0),'Model inputs'!K12&lt;0,IF('Model inputs'!K12="","",'Model inputs'!K12&lt;0)))))))</f>
      </c>
    </row>
    <row r="537">
      <c r="A537" t="inlineStr" s="13">
        <is>
          <t xml:space="preserve">Calculation</t>
        </is>
      </c>
      <c r="B537">
        <f>IF(IFERROR(DATE(2026,11,1)&gt;=DATE(2026,11,1)=FALSE,FALSE),FALSE,IF(IFERROR(DATE(2026,11,1)&lt;=DATE(2028,10,1)=FALSE,FALSE),FALSE,IF(IFERROR(IF(ISERROR('Model inputs'!L12&lt;0),'Model inputs'!L12&lt;0,IF('Model inputs'!L12="","",'Model inputs'!L12&lt;0))=FALSE,FALSE),FALSE,IF(IF(ISERROR('Model inputs'!L12&lt;0),'Model inputs'!L12&lt;0,IF('Model inputs'!L12="","",'Model inputs'!L12&lt;0))="","",AND(DATE(2026,11,1)&gt;=DATE(2026,11,1),DATE(2026,11,1)&lt;=DATE(2028,10,1),IF(ISERROR('Model inputs'!L12&lt;0),'Model inputs'!L12&lt;0,IF('Model inputs'!L12="","",'Model inputs'!L12&lt;0)))))))</f>
      </c>
    </row>
    <row r="538">
      <c r="A538" t="inlineStr" s="13">
        <is>
          <t xml:space="preserve">Calculation</t>
        </is>
      </c>
      <c r="B538">
        <f>IF(IFERROR(DATE(2026,12,1)&gt;=DATE(2026,11,1)=FALSE,FALSE),FALSE,IF(IFERROR(DATE(2026,12,1)&lt;=DATE(2028,10,1)=FALSE,FALSE),FALSE,IF(IFERROR(IF(ISERROR('Model inputs'!M12&lt;0),'Model inputs'!M12&lt;0,IF('Model inputs'!M12="","",'Model inputs'!M12&lt;0))=FALSE,FALSE),FALSE,IF(IF(ISERROR('Model inputs'!M12&lt;0),'Model inputs'!M12&lt;0,IF('Model inputs'!M12="","",'Model inputs'!M12&lt;0))="","",AND(DATE(2026,12,1)&gt;=DATE(2026,11,1),DATE(2026,12,1)&lt;=DATE(2028,10,1),IF(ISERROR('Model inputs'!M12&lt;0),'Model inputs'!M12&lt;0,IF('Model inputs'!M12="","",'Model inputs'!M12&lt;0)))))))</f>
      </c>
    </row>
    <row r="539">
      <c r="A539" t="inlineStr" s="13">
        <is>
          <t xml:space="preserve">Calculation</t>
        </is>
      </c>
      <c r="B539">
        <f>IF(IFERROR(DATE(2027,1,1)&gt;=DATE(2026,11,1)=FALSE,FALSE),FALSE,IF(IFERROR(DATE(2027,1,1)&lt;=DATE(2028,10,1)=FALSE,FALSE),FALSE,IF(IFERROR(IF(ISERROR('Model inputs'!N12&lt;0),'Model inputs'!N12&lt;0,IF('Model inputs'!N12="","",'Model inputs'!N12&lt;0))=FALSE,FALSE),FALSE,IF(IF(ISERROR('Model inputs'!N12&lt;0),'Model inputs'!N12&lt;0,IF('Model inputs'!N12="","",'Model inputs'!N12&lt;0))="","",AND(DATE(2027,1,1)&gt;=DATE(2026,11,1),DATE(2027,1,1)&lt;=DATE(2028,10,1),IF(ISERROR('Model inputs'!N12&lt;0),'Model inputs'!N12&lt;0,IF('Model inputs'!N12="","",'Model inputs'!N12&lt;0)))))))</f>
      </c>
    </row>
    <row r="540">
      <c r="A540" t="inlineStr" s="13">
        <is>
          <t xml:space="preserve">Calculation</t>
        </is>
      </c>
      <c r="B540">
        <f>IF(IFERROR(DATE(2027,2,1)&gt;=DATE(2026,11,1)=FALSE,FALSE),FALSE,IF(IFERROR(DATE(2027,2,1)&lt;=DATE(2028,10,1)=FALSE,FALSE),FALSE,IF(IFERROR(IF(ISERROR('Model inputs'!O12&lt;0),'Model inputs'!O12&lt;0,IF('Model inputs'!O12="","",'Model inputs'!O12&lt;0))=FALSE,FALSE),FALSE,IF(IF(ISERROR('Model inputs'!O12&lt;0),'Model inputs'!O12&lt;0,IF('Model inputs'!O12="","",'Model inputs'!O12&lt;0))="","",AND(DATE(2027,2,1)&gt;=DATE(2026,11,1),DATE(2027,2,1)&lt;=DATE(2028,10,1),IF(ISERROR('Model inputs'!O12&lt;0),'Model inputs'!O12&lt;0,IF('Model inputs'!O12="","",'Model inputs'!O12&lt;0)))))))</f>
      </c>
    </row>
    <row r="541">
      <c r="A541" t="inlineStr" s="13">
        <is>
          <t xml:space="preserve">Calculation</t>
        </is>
      </c>
      <c r="B541">
        <f>IF(IFERROR(DATE(2027,3,1)&gt;=DATE(2026,11,1)=FALSE,FALSE),FALSE,IF(IFERROR(DATE(2027,3,1)&lt;=DATE(2028,10,1)=FALSE,FALSE),FALSE,IF(IFERROR(IF(ISERROR('Model inputs'!P12&lt;0),'Model inputs'!P12&lt;0,IF('Model inputs'!P12="","",'Model inputs'!P12&lt;0))=FALSE,FALSE),FALSE,IF(IF(ISERROR('Model inputs'!P12&lt;0),'Model inputs'!P12&lt;0,IF('Model inputs'!P12="","",'Model inputs'!P12&lt;0))="","",AND(DATE(2027,3,1)&gt;=DATE(2026,11,1),DATE(2027,3,1)&lt;=DATE(2028,10,1),IF(ISERROR('Model inputs'!P12&lt;0),'Model inputs'!P12&lt;0,IF('Model inputs'!P12="","",'Model inputs'!P12&lt;0)))))))</f>
      </c>
    </row>
    <row r="542">
      <c r="A542" t="inlineStr" s="13">
        <is>
          <t xml:space="preserve">Calculation</t>
        </is>
      </c>
      <c r="B542">
        <f>IF(IFERROR(DATE(2027,4,1)&gt;=DATE(2026,11,1)=FALSE,FALSE),FALSE,IF(IFERROR(DATE(2027,4,1)&lt;=DATE(2028,10,1)=FALSE,FALSE),FALSE,IF(IFERROR(IF(ISERROR('Model inputs'!Q12&lt;0),'Model inputs'!Q12&lt;0,IF('Model inputs'!Q12="","",'Model inputs'!Q12&lt;0))=FALSE,FALSE),FALSE,IF(IF(ISERROR('Model inputs'!Q12&lt;0),'Model inputs'!Q12&lt;0,IF('Model inputs'!Q12="","",'Model inputs'!Q12&lt;0))="","",AND(DATE(2027,4,1)&gt;=DATE(2026,11,1),DATE(2027,4,1)&lt;=DATE(2028,10,1),IF(ISERROR('Model inputs'!Q12&lt;0),'Model inputs'!Q12&lt;0,IF('Model inputs'!Q12="","",'Model inputs'!Q12&lt;0)))))))</f>
      </c>
    </row>
    <row r="543">
      <c r="A543" t="inlineStr" s="13">
        <is>
          <t xml:space="preserve">Calculation</t>
        </is>
      </c>
      <c r="B543">
        <f>IF(IFERROR(DATE(2027,5,1)&gt;=DATE(2026,11,1)=FALSE,FALSE),FALSE,IF(IFERROR(DATE(2027,5,1)&lt;=DATE(2028,10,1)=FALSE,FALSE),FALSE,IF(IFERROR(IF(ISERROR('Model inputs'!R12&lt;0),'Model inputs'!R12&lt;0,IF('Model inputs'!R12="","",'Model inputs'!R12&lt;0))=FALSE,FALSE),FALSE,IF(IF(ISERROR('Model inputs'!R12&lt;0),'Model inputs'!R12&lt;0,IF('Model inputs'!R12="","",'Model inputs'!R12&lt;0))="","",AND(DATE(2027,5,1)&gt;=DATE(2026,11,1),DATE(2027,5,1)&lt;=DATE(2028,10,1),IF(ISERROR('Model inputs'!R12&lt;0),'Model inputs'!R12&lt;0,IF('Model inputs'!R12="","",'Model inputs'!R12&lt;0)))))))</f>
      </c>
    </row>
    <row r="544">
      <c r="A544" t="inlineStr" s="13">
        <is>
          <t xml:space="preserve">Calculation</t>
        </is>
      </c>
      <c r="B544">
        <f>IF(IFERROR(DATE(2027,6,1)&gt;=DATE(2026,11,1)=FALSE,FALSE),FALSE,IF(IFERROR(DATE(2027,6,1)&lt;=DATE(2028,10,1)=FALSE,FALSE),FALSE,IF(IFERROR(IF(ISERROR('Model inputs'!S12&lt;0),'Model inputs'!S12&lt;0,IF('Model inputs'!S12="","",'Model inputs'!S12&lt;0))=FALSE,FALSE),FALSE,IF(IF(ISERROR('Model inputs'!S12&lt;0),'Model inputs'!S12&lt;0,IF('Model inputs'!S12="","",'Model inputs'!S12&lt;0))="","",AND(DATE(2027,6,1)&gt;=DATE(2026,11,1),DATE(2027,6,1)&lt;=DATE(2028,10,1),IF(ISERROR('Model inputs'!S12&lt;0),'Model inputs'!S12&lt;0,IF('Model inputs'!S12="","",'Model inputs'!S12&lt;0)))))))</f>
      </c>
    </row>
    <row r="545">
      <c r="A545" t="inlineStr" s="13">
        <is>
          <t xml:space="preserve">Calculation</t>
        </is>
      </c>
      <c r="B545">
        <f>IF(IFERROR(DATE(2027,7,1)&gt;=DATE(2026,11,1)=FALSE,FALSE),FALSE,IF(IFERROR(DATE(2027,7,1)&lt;=DATE(2028,10,1)=FALSE,FALSE),FALSE,IF(IFERROR(IF(ISERROR('Model inputs'!T12&lt;0),'Model inputs'!T12&lt;0,IF('Model inputs'!T12="","",'Model inputs'!T12&lt;0))=FALSE,FALSE),FALSE,IF(IF(ISERROR('Model inputs'!T12&lt;0),'Model inputs'!T12&lt;0,IF('Model inputs'!T12="","",'Model inputs'!T12&lt;0))="","",AND(DATE(2027,7,1)&gt;=DATE(2026,11,1),DATE(2027,7,1)&lt;=DATE(2028,10,1),IF(ISERROR('Model inputs'!T12&lt;0),'Model inputs'!T12&lt;0,IF('Model inputs'!T12="","",'Model inputs'!T12&lt;0)))))))</f>
      </c>
    </row>
    <row r="546">
      <c r="A546" t="inlineStr" s="13">
        <is>
          <t xml:space="preserve">Calculation</t>
        </is>
      </c>
      <c r="B546">
        <f>IF(IFERROR(DATE(2027,8,1)&gt;=DATE(2026,11,1)=FALSE,FALSE),FALSE,IF(IFERROR(DATE(2027,8,1)&lt;=DATE(2028,10,1)=FALSE,FALSE),FALSE,IF(IFERROR(IF(ISERROR('Model inputs'!U12&lt;0),'Model inputs'!U12&lt;0,IF('Model inputs'!U12="","",'Model inputs'!U12&lt;0))=FALSE,FALSE),FALSE,IF(IF(ISERROR('Model inputs'!U12&lt;0),'Model inputs'!U12&lt;0,IF('Model inputs'!U12="","",'Model inputs'!U12&lt;0))="","",AND(DATE(2027,8,1)&gt;=DATE(2026,11,1),DATE(2027,8,1)&lt;=DATE(2028,10,1),IF(ISERROR('Model inputs'!U12&lt;0),'Model inputs'!U12&lt;0,IF('Model inputs'!U12="","",'Model inputs'!U12&lt;0)))))))</f>
      </c>
    </row>
    <row r="547">
      <c r="A547" t="inlineStr" s="13">
        <is>
          <t xml:space="preserve">Calculation</t>
        </is>
      </c>
      <c r="B547">
        <f>IF(IFERROR(DATE(2027,9,1)&gt;=DATE(2026,11,1)=FALSE,FALSE),FALSE,IF(IFERROR(DATE(2027,9,1)&lt;=DATE(2028,10,1)=FALSE,FALSE),FALSE,IF(IFERROR(IF(ISERROR('Model inputs'!V12&lt;0),'Model inputs'!V12&lt;0,IF('Model inputs'!V12="","",'Model inputs'!V12&lt;0))=FALSE,FALSE),FALSE,IF(IF(ISERROR('Model inputs'!V12&lt;0),'Model inputs'!V12&lt;0,IF('Model inputs'!V12="","",'Model inputs'!V12&lt;0))="","",AND(DATE(2027,9,1)&gt;=DATE(2026,11,1),DATE(2027,9,1)&lt;=DATE(2028,10,1),IF(ISERROR('Model inputs'!V12&lt;0),'Model inputs'!V12&lt;0,IF('Model inputs'!V12="","",'Model inputs'!V12&lt;0)))))))</f>
      </c>
    </row>
    <row r="548">
      <c r="A548" t="inlineStr" s="13">
        <is>
          <t xml:space="preserve">Calculation</t>
        </is>
      </c>
      <c r="B548">
        <f>IF(IFERROR(DATE(2027,10,1)&gt;=DATE(2026,11,1)=FALSE,FALSE),FALSE,IF(IFERROR(DATE(2027,10,1)&lt;=DATE(2028,10,1)=FALSE,FALSE),FALSE,IF(IFERROR(IF(ISERROR('Model inputs'!W12&lt;0),'Model inputs'!W12&lt;0,IF('Model inputs'!W12="","",'Model inputs'!W12&lt;0))=FALSE,FALSE),FALSE,IF(IF(ISERROR('Model inputs'!W12&lt;0),'Model inputs'!W12&lt;0,IF('Model inputs'!W12="","",'Model inputs'!W12&lt;0))="","",AND(DATE(2027,10,1)&gt;=DATE(2026,11,1),DATE(2027,10,1)&lt;=DATE(2028,10,1),IF(ISERROR('Model inputs'!W12&lt;0),'Model inputs'!W12&lt;0,IF('Model inputs'!W12="","",'Model inputs'!W12&lt;0)))))))</f>
      </c>
    </row>
    <row r="549">
      <c r="A549" t="inlineStr" s="13">
        <is>
          <t xml:space="preserve">Calculation</t>
        </is>
      </c>
      <c r="B549">
        <f>IF(IFERROR(DATE(2027,11,1)&gt;=DATE(2026,11,1)=FALSE,FALSE),FALSE,IF(IFERROR(DATE(2027,11,1)&lt;=DATE(2028,10,1)=FALSE,FALSE),FALSE,IF(IFERROR(IF(ISERROR('Model inputs'!X12&lt;0),'Model inputs'!X12&lt;0,IF('Model inputs'!X12="","",'Model inputs'!X12&lt;0))=FALSE,FALSE),FALSE,IF(IF(ISERROR('Model inputs'!X12&lt;0),'Model inputs'!X12&lt;0,IF('Model inputs'!X12="","",'Model inputs'!X12&lt;0))="","",AND(DATE(2027,11,1)&gt;=DATE(2026,11,1),DATE(2027,11,1)&lt;=DATE(2028,10,1),IF(ISERROR('Model inputs'!X12&lt;0),'Model inputs'!X12&lt;0,IF('Model inputs'!X12="","",'Model inputs'!X12&lt;0)))))))</f>
      </c>
    </row>
    <row r="550">
      <c r="A550" t="inlineStr" s="13">
        <is>
          <t xml:space="preserve">Calculation</t>
        </is>
      </c>
      <c r="B550">
        <f>IF(IFERROR(DATE(2027,12,1)&gt;=DATE(2026,11,1)=FALSE,FALSE),FALSE,IF(IFERROR(DATE(2027,12,1)&lt;=DATE(2028,10,1)=FALSE,FALSE),FALSE,IF(IFERROR(IF(ISERROR('Model inputs'!Y12&lt;0),'Model inputs'!Y12&lt;0,IF('Model inputs'!Y12="","",'Model inputs'!Y12&lt;0))=FALSE,FALSE),FALSE,IF(IF(ISERROR('Model inputs'!Y12&lt;0),'Model inputs'!Y12&lt;0,IF('Model inputs'!Y12="","",'Model inputs'!Y12&lt;0))="","",AND(DATE(2027,12,1)&gt;=DATE(2026,11,1),DATE(2027,12,1)&lt;=DATE(2028,10,1),IF(ISERROR('Model inputs'!Y12&lt;0),'Model inputs'!Y12&lt;0,IF('Model inputs'!Y12="","",'Model inputs'!Y12&lt;0)))))))</f>
      </c>
    </row>
    <row r="551">
      <c r="A551" t="inlineStr" s="13">
        <is>
          <t xml:space="preserve">Calculation</t>
        </is>
      </c>
      <c r="B551">
        <f>IF(IFERROR(DATE(2028,1,1)&gt;=DATE(2026,11,1)=FALSE,FALSE),FALSE,IF(IFERROR(DATE(2028,1,1)&lt;=DATE(2028,10,1)=FALSE,FALSE),FALSE,IF(IFERROR(IF(ISERROR('Model inputs'!Z12&lt;0),'Model inputs'!Z12&lt;0,IF('Model inputs'!Z12="","",'Model inputs'!Z12&lt;0))=FALSE,FALSE),FALSE,IF(IF(ISERROR('Model inputs'!Z12&lt;0),'Model inputs'!Z12&lt;0,IF('Model inputs'!Z12="","",'Model inputs'!Z12&lt;0))="","",AND(DATE(2028,1,1)&gt;=DATE(2026,11,1),DATE(2028,1,1)&lt;=DATE(2028,10,1),IF(ISERROR('Model inputs'!Z12&lt;0),'Model inputs'!Z12&lt;0,IF('Model inputs'!Z12="","",'Model inputs'!Z12&lt;0)))))))</f>
      </c>
    </row>
    <row r="552">
      <c r="A552" t="inlineStr" s="13">
        <is>
          <t xml:space="preserve">Calculation</t>
        </is>
      </c>
      <c r="B552">
        <f>IF(IFERROR(DATE(2028,2,1)&gt;=DATE(2026,11,1)=FALSE,FALSE),FALSE,IF(IFERROR(DATE(2028,2,1)&lt;=DATE(2028,10,1)=FALSE,FALSE),FALSE,IF(IFERROR(IF(ISERROR('Model inputs'!AA12&lt;0),'Model inputs'!AA12&lt;0,IF('Model inputs'!AA12="","",'Model inputs'!AA12&lt;0))=FALSE,FALSE),FALSE,IF(IF(ISERROR('Model inputs'!AA12&lt;0),'Model inputs'!AA12&lt;0,IF('Model inputs'!AA12="","",'Model inputs'!AA12&lt;0))="","",AND(DATE(2028,2,1)&gt;=DATE(2026,11,1),DATE(2028,2,1)&lt;=DATE(2028,10,1),IF(ISERROR('Model inputs'!AA12&lt;0),'Model inputs'!AA12&lt;0,IF('Model inputs'!AA12="","",'Model inputs'!AA12&lt;0)))))))</f>
      </c>
    </row>
    <row r="553">
      <c r="A553" t="inlineStr" s="13">
        <is>
          <t xml:space="preserve">Calculation</t>
        </is>
      </c>
      <c r="B553">
        <f>IF(IFERROR(DATE(2028,3,1)&gt;=DATE(2026,11,1)=FALSE,FALSE),FALSE,IF(IFERROR(DATE(2028,3,1)&lt;=DATE(2028,10,1)=FALSE,FALSE),FALSE,IF(IFERROR(IF(ISERROR('Model inputs'!AB12&lt;0),'Model inputs'!AB12&lt;0,IF('Model inputs'!AB12="","",'Model inputs'!AB12&lt;0))=FALSE,FALSE),FALSE,IF(IF(ISERROR('Model inputs'!AB12&lt;0),'Model inputs'!AB12&lt;0,IF('Model inputs'!AB12="","",'Model inputs'!AB12&lt;0))="","",AND(DATE(2028,3,1)&gt;=DATE(2026,11,1),DATE(2028,3,1)&lt;=DATE(2028,10,1),IF(ISERROR('Model inputs'!AB12&lt;0),'Model inputs'!AB12&lt;0,IF('Model inputs'!AB12="","",'Model inputs'!AB12&lt;0)))))))</f>
      </c>
    </row>
    <row r="554">
      <c r="A554" t="inlineStr" s="13">
        <is>
          <t xml:space="preserve">Calculation</t>
        </is>
      </c>
      <c r="B554">
        <f>IF(IFERROR(DATE(2028,4,1)&gt;=DATE(2026,11,1)=FALSE,FALSE),FALSE,IF(IFERROR(DATE(2028,4,1)&lt;=DATE(2028,10,1)=FALSE,FALSE),FALSE,IF(IFERROR(IF(ISERROR('Model inputs'!AC12&lt;0),'Model inputs'!AC12&lt;0,IF('Model inputs'!AC12="","",'Model inputs'!AC12&lt;0))=FALSE,FALSE),FALSE,IF(IF(ISERROR('Model inputs'!AC12&lt;0),'Model inputs'!AC12&lt;0,IF('Model inputs'!AC12="","",'Model inputs'!AC12&lt;0))="","",AND(DATE(2028,4,1)&gt;=DATE(2026,11,1),DATE(2028,4,1)&lt;=DATE(2028,10,1),IF(ISERROR('Model inputs'!AC12&lt;0),'Model inputs'!AC12&lt;0,IF('Model inputs'!AC12="","",'Model inputs'!AC12&lt;0)))))))</f>
      </c>
    </row>
    <row r="555">
      <c r="A555" t="inlineStr" s="13">
        <is>
          <t xml:space="preserve">Calculation</t>
        </is>
      </c>
      <c r="B555">
        <f>IF(IFERROR(DATE(2028,5,1)&gt;=DATE(2026,11,1)=FALSE,FALSE),FALSE,IF(IFERROR(DATE(2028,5,1)&lt;=DATE(2028,10,1)=FALSE,FALSE),FALSE,IF(IFERROR(IF(ISERROR('Model inputs'!AD12&lt;0),'Model inputs'!AD12&lt;0,IF('Model inputs'!AD12="","",'Model inputs'!AD12&lt;0))=FALSE,FALSE),FALSE,IF(IF(ISERROR('Model inputs'!AD12&lt;0),'Model inputs'!AD12&lt;0,IF('Model inputs'!AD12="","",'Model inputs'!AD12&lt;0))="","",AND(DATE(2028,5,1)&gt;=DATE(2026,11,1),DATE(2028,5,1)&lt;=DATE(2028,10,1),IF(ISERROR('Model inputs'!AD12&lt;0),'Model inputs'!AD12&lt;0,IF('Model inputs'!AD12="","",'Model inputs'!AD12&lt;0)))))))</f>
      </c>
    </row>
    <row r="556">
      <c r="A556" t="inlineStr" s="13">
        <is>
          <t xml:space="preserve">Calculation</t>
        </is>
      </c>
      <c r="B556">
        <f>IF(IFERROR(DATE(2028,6,1)&gt;=DATE(2026,11,1)=FALSE,FALSE),FALSE,IF(IFERROR(DATE(2028,6,1)&lt;=DATE(2028,10,1)=FALSE,FALSE),FALSE,IF(IFERROR(IF(ISERROR('Model inputs'!AE12&lt;0),'Model inputs'!AE12&lt;0,IF('Model inputs'!AE12="","",'Model inputs'!AE12&lt;0))=FALSE,FALSE),FALSE,IF(IF(ISERROR('Model inputs'!AE12&lt;0),'Model inputs'!AE12&lt;0,IF('Model inputs'!AE12="","",'Model inputs'!AE12&lt;0))="","",AND(DATE(2028,6,1)&gt;=DATE(2026,11,1),DATE(2028,6,1)&lt;=DATE(2028,10,1),IF(ISERROR('Model inputs'!AE12&lt;0),'Model inputs'!AE12&lt;0,IF('Model inputs'!AE12="","",'Model inputs'!AE12&lt;0)))))))</f>
      </c>
    </row>
    <row r="557">
      <c r="A557" t="inlineStr" s="13">
        <is>
          <t xml:space="preserve">Calculation</t>
        </is>
      </c>
      <c r="B557">
        <f>IF(IFERROR(DATE(2028,7,1)&gt;=DATE(2026,11,1)=FALSE,FALSE),FALSE,IF(IFERROR(DATE(2028,7,1)&lt;=DATE(2028,10,1)=FALSE,FALSE),FALSE,IF(IFERROR(IF(ISERROR('Model inputs'!AF12&lt;0),'Model inputs'!AF12&lt;0,IF('Model inputs'!AF12="","",'Model inputs'!AF12&lt;0))=FALSE,FALSE),FALSE,IF(IF(ISERROR('Model inputs'!AF12&lt;0),'Model inputs'!AF12&lt;0,IF('Model inputs'!AF12="","",'Model inputs'!AF12&lt;0))="","",AND(DATE(2028,7,1)&gt;=DATE(2026,11,1),DATE(2028,7,1)&lt;=DATE(2028,10,1),IF(ISERROR('Model inputs'!AF12&lt;0),'Model inputs'!AF12&lt;0,IF('Model inputs'!AF12="","",'Model inputs'!AF12&lt;0)))))))</f>
      </c>
    </row>
    <row r="558">
      <c r="A558" t="inlineStr" s="13">
        <is>
          <t xml:space="preserve">Calculation</t>
        </is>
      </c>
      <c r="B558">
        <f>IF(IFERROR(DATE(2028,8,1)&gt;=DATE(2026,11,1)=FALSE,FALSE),FALSE,IF(IFERROR(DATE(2028,8,1)&lt;=DATE(2028,10,1)=FALSE,FALSE),FALSE,IF(IFERROR(IF(ISERROR('Model inputs'!AG12&lt;0),'Model inputs'!AG12&lt;0,IF('Model inputs'!AG12="","",'Model inputs'!AG12&lt;0))=FALSE,FALSE),FALSE,IF(IF(ISERROR('Model inputs'!AG12&lt;0),'Model inputs'!AG12&lt;0,IF('Model inputs'!AG12="","",'Model inputs'!AG12&lt;0))="","",AND(DATE(2028,8,1)&gt;=DATE(2026,11,1),DATE(2028,8,1)&lt;=DATE(2028,10,1),IF(ISERROR('Model inputs'!AG12&lt;0),'Model inputs'!AG12&lt;0,IF('Model inputs'!AG12="","",'Model inputs'!AG12&lt;0)))))))</f>
      </c>
    </row>
    <row r="559">
      <c r="A559" t="inlineStr" s="13">
        <is>
          <t xml:space="preserve">Calculation</t>
        </is>
      </c>
      <c r="B559">
        <f>IF(IFERROR(DATE(2028,9,1)&gt;=DATE(2026,11,1)=FALSE,FALSE),FALSE,IF(IFERROR(DATE(2028,9,1)&lt;=DATE(2028,10,1)=FALSE,FALSE),FALSE,IF(IFERROR(IF(ISERROR('Model inputs'!AH12&lt;0),'Model inputs'!AH12&lt;0,IF('Model inputs'!AH12="","",'Model inputs'!AH12&lt;0))=FALSE,FALSE),FALSE,IF(IF(ISERROR('Model inputs'!AH12&lt;0),'Model inputs'!AH12&lt;0,IF('Model inputs'!AH12="","",'Model inputs'!AH12&lt;0))="","",AND(DATE(2028,9,1)&gt;=DATE(2026,11,1),DATE(2028,9,1)&lt;=DATE(2028,10,1),IF(ISERROR('Model inputs'!AH12&lt;0),'Model inputs'!AH12&lt;0,IF('Model inputs'!AH12="","",'Model inputs'!AH12&lt;0)))))))</f>
      </c>
    </row>
    <row r="560">
      <c r="A560" t="inlineStr" s="13">
        <is>
          <t xml:space="preserve">Calculation</t>
        </is>
      </c>
      <c r="B560">
        <f>IF(IFERROR(DATE(2028,10,1)&gt;=DATE(2026,11,1)=FALSE,FALSE),FALSE,IF(IFERROR(DATE(2028,10,1)&lt;=DATE(2028,10,1)=FALSE,FALSE),FALSE,IF(IFERROR(IF(ISERROR('Model inputs'!AI12&lt;0),'Model inputs'!AI12&lt;0,IF('Model inputs'!AI12="","",'Model inputs'!AI12&lt;0))=FALSE,FALSE),FALSE,IF(IF(ISERROR('Model inputs'!AI12&lt;0),'Model inputs'!AI12&lt;0,IF('Model inputs'!AI12="","",'Model inputs'!AI12&lt;0))="","",AND(DATE(2028,10,1)&gt;=DATE(2026,11,1),DATE(2028,10,1)&lt;=DATE(2028,10,1),IF(ISERROR('Model inputs'!AI12&lt;0),'Model inputs'!AI12&lt;0,IF('Model inputs'!AI12="","",'Model inputs'!AI12&lt;0)))))))</f>
      </c>
    </row>
    <row r="561">
      <c r="A561" t="inlineStr" s="13">
        <is>
          <t xml:space="preserve">Calculation</t>
        </is>
      </c>
      <c r="B561">
        <f>IF(IF('Model inputs'!B527="",FALSE,'Model inputs'!B527),'Model inputs'!B186,"")</f>
      </c>
    </row>
    <row r="562">
      <c r="A562" t="inlineStr" s="13">
        <is>
          <t xml:space="preserve">Calculation</t>
        </is>
      </c>
      <c r="B562">
        <f>IF(IF('Model inputs'!B528="",FALSE,'Model inputs'!B528),'Model inputs'!C186,"")</f>
      </c>
    </row>
    <row r="563">
      <c r="A563" t="inlineStr" s="13">
        <is>
          <t xml:space="preserve">Calculation</t>
        </is>
      </c>
      <c r="B563">
        <f>IF(IF('Model inputs'!B529="",FALSE,'Model inputs'!B529),'Model inputs'!D186,"")</f>
      </c>
    </row>
    <row r="564">
      <c r="A564" t="inlineStr" s="13">
        <is>
          <t xml:space="preserve">Calculation</t>
        </is>
      </c>
      <c r="B564">
        <f>IF(IF('Model inputs'!B530="",FALSE,'Model inputs'!B530),'Model inputs'!E186,"")</f>
      </c>
    </row>
    <row r="565">
      <c r="A565" t="inlineStr" s="13">
        <is>
          <t xml:space="preserve">Calculation</t>
        </is>
      </c>
      <c r="B565">
        <f>IF(IF('Model inputs'!B531="",FALSE,'Model inputs'!B531),'Model inputs'!F186,"")</f>
      </c>
    </row>
    <row r="566">
      <c r="A566" t="inlineStr" s="13">
        <is>
          <t xml:space="preserve">Calculation</t>
        </is>
      </c>
      <c r="B566">
        <f>IF(IF('Model inputs'!B532="",FALSE,'Model inputs'!B532),'Model inputs'!G186,"")</f>
      </c>
    </row>
    <row r="567">
      <c r="A567" t="inlineStr" s="13">
        <is>
          <t xml:space="preserve">Calculation</t>
        </is>
      </c>
      <c r="B567">
        <f>IF(IF('Model inputs'!B533="",FALSE,'Model inputs'!B533),'Model inputs'!H186,"")</f>
      </c>
    </row>
    <row r="568">
      <c r="A568" t="inlineStr" s="13">
        <is>
          <t xml:space="preserve">Calculation</t>
        </is>
      </c>
      <c r="B568">
        <f>IF(IF('Model inputs'!B534="",FALSE,'Model inputs'!B534),'Model inputs'!I186,"")</f>
      </c>
    </row>
    <row r="569">
      <c r="A569" t="inlineStr" s="13">
        <is>
          <t xml:space="preserve">Calculation</t>
        </is>
      </c>
      <c r="B569">
        <f>IF(IF('Model inputs'!B535="",FALSE,'Model inputs'!B535),'Model inputs'!J186,"")</f>
      </c>
    </row>
    <row r="570">
      <c r="A570" t="inlineStr" s="13">
        <is>
          <t xml:space="preserve">Calculation</t>
        </is>
      </c>
      <c r="B570">
        <f>IF(IF('Model inputs'!B536="",FALSE,'Model inputs'!B536),'Model inputs'!K186,"")</f>
      </c>
    </row>
    <row r="571">
      <c r="A571" t="inlineStr" s="13">
        <is>
          <t xml:space="preserve">Calculation</t>
        </is>
      </c>
      <c r="B571">
        <f>IF(IF('Model inputs'!B537="",FALSE,'Model inputs'!B537),'Model inputs'!L186,"")</f>
      </c>
    </row>
    <row r="572">
      <c r="A572" t="inlineStr" s="13">
        <is>
          <t xml:space="preserve">Calculation</t>
        </is>
      </c>
      <c r="B572">
        <f>IF(IF('Model inputs'!B538="",FALSE,'Model inputs'!B538),'Model inputs'!M186,"")</f>
      </c>
    </row>
    <row r="573">
      <c r="A573" t="inlineStr" s="13">
        <is>
          <t xml:space="preserve">Calculation</t>
        </is>
      </c>
      <c r="B573">
        <f>IF(IF('Model inputs'!B539="",FALSE,'Model inputs'!B539),'Model inputs'!N186,"")</f>
      </c>
    </row>
    <row r="574">
      <c r="A574" t="inlineStr" s="13">
        <is>
          <t xml:space="preserve">Calculation</t>
        </is>
      </c>
      <c r="B574">
        <f>IF(IF('Model inputs'!B540="",FALSE,'Model inputs'!B540),'Model inputs'!O186,"")</f>
      </c>
    </row>
    <row r="575">
      <c r="A575" t="inlineStr" s="13">
        <is>
          <t xml:space="preserve">Calculation</t>
        </is>
      </c>
      <c r="B575">
        <f>IF(IF('Model inputs'!B541="",FALSE,'Model inputs'!B541),'Model inputs'!P186,"")</f>
      </c>
    </row>
    <row r="576">
      <c r="A576" t="inlineStr" s="13">
        <is>
          <t xml:space="preserve">Calculation</t>
        </is>
      </c>
      <c r="B576">
        <f>IF(IF('Model inputs'!B542="",FALSE,'Model inputs'!B542),'Model inputs'!Q186,"")</f>
      </c>
    </row>
    <row r="577">
      <c r="A577" t="inlineStr" s="13">
        <is>
          <t xml:space="preserve">Calculation</t>
        </is>
      </c>
      <c r="B577">
        <f>IF(IF('Model inputs'!B543="",FALSE,'Model inputs'!B543),'Model inputs'!R186,"")</f>
      </c>
    </row>
    <row r="578">
      <c r="A578" t="inlineStr" s="13">
        <is>
          <t xml:space="preserve">Calculation</t>
        </is>
      </c>
      <c r="B578">
        <f>IF(IF('Model inputs'!B544="",FALSE,'Model inputs'!B544),'Model inputs'!S186,"")</f>
      </c>
    </row>
    <row r="579">
      <c r="A579" t="inlineStr" s="13">
        <is>
          <t xml:space="preserve">Calculation</t>
        </is>
      </c>
      <c r="B579">
        <f>IF(IF('Model inputs'!B545="",FALSE,'Model inputs'!B545),'Model inputs'!T186,"")</f>
      </c>
    </row>
    <row r="580">
      <c r="A580" t="inlineStr" s="13">
        <is>
          <t xml:space="preserve">Calculation</t>
        </is>
      </c>
      <c r="B580">
        <f>IF(IF('Model inputs'!B546="",FALSE,'Model inputs'!B546),'Model inputs'!U186,"")</f>
      </c>
    </row>
    <row r="581">
      <c r="A581" t="inlineStr" s="13">
        <is>
          <t xml:space="preserve">Calculation</t>
        </is>
      </c>
      <c r="B581">
        <f>IF(IF('Model inputs'!B547="",FALSE,'Model inputs'!B547),'Model inputs'!V186,"")</f>
      </c>
    </row>
    <row r="582">
      <c r="A582" t="inlineStr" s="13">
        <is>
          <t xml:space="preserve">Calculation</t>
        </is>
      </c>
      <c r="B582">
        <f>IF(IF('Model inputs'!B548="",FALSE,'Model inputs'!B548),'Model inputs'!W186,"")</f>
      </c>
    </row>
    <row r="583">
      <c r="A583" t="inlineStr" s="13">
        <is>
          <t xml:space="preserve">Calculation</t>
        </is>
      </c>
      <c r="B583">
        <f>IF(IF('Model inputs'!B549="",FALSE,'Model inputs'!B549),'Model inputs'!X186,"")</f>
      </c>
    </row>
    <row r="584">
      <c r="A584" t="inlineStr" s="13">
        <is>
          <t xml:space="preserve">Calculation</t>
        </is>
      </c>
      <c r="B584">
        <f>IF(IF('Model inputs'!B550="",FALSE,'Model inputs'!B550),'Model inputs'!Y186,"")</f>
      </c>
    </row>
    <row r="585">
      <c r="A585" t="inlineStr" s="13">
        <is>
          <t xml:space="preserve">Calculation</t>
        </is>
      </c>
      <c r="B585">
        <f>IF(IF('Model inputs'!B551="",FALSE,'Model inputs'!B551),'Model inputs'!Z186,"")</f>
      </c>
    </row>
    <row r="586">
      <c r="A586" t="inlineStr" s="13">
        <is>
          <t xml:space="preserve">Calculation</t>
        </is>
      </c>
      <c r="B586">
        <f>IF(IF('Model inputs'!B552="",FALSE,'Model inputs'!B552),'Model inputs'!AA186,"")</f>
      </c>
    </row>
    <row r="587">
      <c r="A587" t="inlineStr" s="13">
        <is>
          <t xml:space="preserve">Calculation</t>
        </is>
      </c>
      <c r="B587">
        <f>IF(IF('Model inputs'!B553="",FALSE,'Model inputs'!B553),'Model inputs'!AB186,"")</f>
      </c>
    </row>
    <row r="588">
      <c r="A588" t="inlineStr" s="13">
        <is>
          <t xml:space="preserve">Calculation</t>
        </is>
      </c>
      <c r="B588">
        <f>IF(IF('Model inputs'!B554="",FALSE,'Model inputs'!B554),'Model inputs'!AC186,"")</f>
      </c>
    </row>
    <row r="589">
      <c r="A589" t="inlineStr" s="13">
        <is>
          <t xml:space="preserve">Calculation</t>
        </is>
      </c>
      <c r="B589">
        <f>IF(IF('Model inputs'!B555="",FALSE,'Model inputs'!B555),'Model inputs'!AD186,"")</f>
      </c>
    </row>
    <row r="590">
      <c r="A590" t="inlineStr" s="13">
        <is>
          <t xml:space="preserve">Calculation</t>
        </is>
      </c>
      <c r="B590">
        <f>IF(IF('Model inputs'!B556="",FALSE,'Model inputs'!B556),'Model inputs'!AE186,"")</f>
      </c>
    </row>
    <row r="591">
      <c r="A591" t="inlineStr" s="13">
        <is>
          <t xml:space="preserve">Calculation</t>
        </is>
      </c>
      <c r="B591">
        <f>IF(IF('Model inputs'!B557="",FALSE,'Model inputs'!B557),'Model inputs'!AF186,"")</f>
      </c>
    </row>
    <row r="592">
      <c r="A592" t="inlineStr" s="13">
        <is>
          <t xml:space="preserve">Calculation</t>
        </is>
      </c>
      <c r="B592">
        <f>IF(IF('Model inputs'!B558="",FALSE,'Model inputs'!B558),'Model inputs'!AG186,"")</f>
      </c>
    </row>
    <row r="593">
      <c r="A593" t="inlineStr" s="13">
        <is>
          <t xml:space="preserve">Calculation</t>
        </is>
      </c>
      <c r="B593">
        <f>IF(IF('Model inputs'!B559="",FALSE,'Model inputs'!B559),'Model inputs'!AH186,"")</f>
      </c>
    </row>
    <row r="594">
      <c r="A594" t="inlineStr" s="13">
        <is>
          <t xml:space="preserve">Calculation</t>
        </is>
      </c>
      <c r="B594">
        <f>IF(IF('Model inputs'!B560="",FALSE,'Model inputs'!B560),'Model inputs'!AI186,"")</f>
      </c>
    </row>
    <row r="595">
      <c r="A595" t="inlineStr" s="13">
        <is>
          <t xml:space="preserve">Calculation</t>
        </is>
      </c>
      <c r="B595">
        <f>IF(IFERROR(DATE(2026,1,1)&gt;=DATE(2026,11,1)=FALSE,FALSE),FALSE,IF(IFERROR(DATE(2026,1,1)&lt;=DATE(2028,10,1)=FALSE,FALSE),FALSE,IF(IFERROR(IF(ISERROR('Model inputs'!B14&lt;0),'Model inputs'!B14&lt;0,IF('Model inputs'!B14="","",'Model inputs'!B14&lt;0))=FALSE,FALSE),FALSE,IF(IF(ISERROR('Model inputs'!B14&lt;0),'Model inputs'!B14&lt;0,IF('Model inputs'!B14="","",'Model inputs'!B14&lt;0))="","",AND(DATE(2026,1,1)&gt;=DATE(2026,11,1),DATE(2026,1,1)&lt;=DATE(2028,10,1),IF(ISERROR('Model inputs'!B14&lt;0),'Model inputs'!B14&lt;0,IF('Model inputs'!B14="","",'Model inputs'!B14&lt;0)))))))</f>
      </c>
    </row>
    <row r="596">
      <c r="A596" t="inlineStr" s="13">
        <is>
          <t xml:space="preserve">Calculation</t>
        </is>
      </c>
      <c r="B596">
        <f>IF(IFERROR(DATE(2026,2,1)&gt;=DATE(2026,11,1)=FALSE,FALSE),FALSE,IF(IFERROR(DATE(2026,2,1)&lt;=DATE(2028,10,1)=FALSE,FALSE),FALSE,IF(IFERROR(IF(ISERROR('Model inputs'!C14&lt;0),'Model inputs'!C14&lt;0,IF('Model inputs'!C14="","",'Model inputs'!C14&lt;0))=FALSE,FALSE),FALSE,IF(IF(ISERROR('Model inputs'!C14&lt;0),'Model inputs'!C14&lt;0,IF('Model inputs'!C14="","",'Model inputs'!C14&lt;0))="","",AND(DATE(2026,2,1)&gt;=DATE(2026,11,1),DATE(2026,2,1)&lt;=DATE(2028,10,1),IF(ISERROR('Model inputs'!C14&lt;0),'Model inputs'!C14&lt;0,IF('Model inputs'!C14="","",'Model inputs'!C14&lt;0)))))))</f>
      </c>
    </row>
    <row r="597">
      <c r="A597" t="inlineStr" s="13">
        <is>
          <t xml:space="preserve">Calculation</t>
        </is>
      </c>
      <c r="B597">
        <f>IF(IFERROR(DATE(2026,3,1)&gt;=DATE(2026,11,1)=FALSE,FALSE),FALSE,IF(IFERROR(DATE(2026,3,1)&lt;=DATE(2028,10,1)=FALSE,FALSE),FALSE,IF(IFERROR(IF(ISERROR('Model inputs'!D14&lt;0),'Model inputs'!D14&lt;0,IF('Model inputs'!D14="","",'Model inputs'!D14&lt;0))=FALSE,FALSE),FALSE,IF(IF(ISERROR('Model inputs'!D14&lt;0),'Model inputs'!D14&lt;0,IF('Model inputs'!D14="","",'Model inputs'!D14&lt;0))="","",AND(DATE(2026,3,1)&gt;=DATE(2026,11,1),DATE(2026,3,1)&lt;=DATE(2028,10,1),IF(ISERROR('Model inputs'!D14&lt;0),'Model inputs'!D14&lt;0,IF('Model inputs'!D14="","",'Model inputs'!D14&lt;0)))))))</f>
      </c>
    </row>
    <row r="598">
      <c r="A598" t="inlineStr" s="13">
        <is>
          <t xml:space="preserve">Calculation</t>
        </is>
      </c>
      <c r="B598">
        <f>IF(IFERROR(DATE(2026,4,1)&gt;=DATE(2026,11,1)=FALSE,FALSE),FALSE,IF(IFERROR(DATE(2026,4,1)&lt;=DATE(2028,10,1)=FALSE,FALSE),FALSE,IF(IFERROR(IF(ISERROR('Model inputs'!E14&lt;0),'Model inputs'!E14&lt;0,IF('Model inputs'!E14="","",'Model inputs'!E14&lt;0))=FALSE,FALSE),FALSE,IF(IF(ISERROR('Model inputs'!E14&lt;0),'Model inputs'!E14&lt;0,IF('Model inputs'!E14="","",'Model inputs'!E14&lt;0))="","",AND(DATE(2026,4,1)&gt;=DATE(2026,11,1),DATE(2026,4,1)&lt;=DATE(2028,10,1),IF(ISERROR('Model inputs'!E14&lt;0),'Model inputs'!E14&lt;0,IF('Model inputs'!E14="","",'Model inputs'!E14&lt;0)))))))</f>
      </c>
    </row>
    <row r="599">
      <c r="A599" t="inlineStr" s="13">
        <is>
          <t xml:space="preserve">Calculation</t>
        </is>
      </c>
      <c r="B599">
        <f>IF(IFERROR(DATE(2026,5,1)&gt;=DATE(2026,11,1)=FALSE,FALSE),FALSE,IF(IFERROR(DATE(2026,5,1)&lt;=DATE(2028,10,1)=FALSE,FALSE),FALSE,IF(IFERROR(IF(ISERROR('Model inputs'!F14&lt;0),'Model inputs'!F14&lt;0,IF('Model inputs'!F14="","",'Model inputs'!F14&lt;0))=FALSE,FALSE),FALSE,IF(IF(ISERROR('Model inputs'!F14&lt;0),'Model inputs'!F14&lt;0,IF('Model inputs'!F14="","",'Model inputs'!F14&lt;0))="","",AND(DATE(2026,5,1)&gt;=DATE(2026,11,1),DATE(2026,5,1)&lt;=DATE(2028,10,1),IF(ISERROR('Model inputs'!F14&lt;0),'Model inputs'!F14&lt;0,IF('Model inputs'!F14="","",'Model inputs'!F14&lt;0)))))))</f>
      </c>
    </row>
    <row r="600">
      <c r="A600" t="inlineStr" s="13">
        <is>
          <t xml:space="preserve">Calculation</t>
        </is>
      </c>
      <c r="B600">
        <f>IF(IFERROR(DATE(2026,6,1)&gt;=DATE(2026,11,1)=FALSE,FALSE),FALSE,IF(IFERROR(DATE(2026,6,1)&lt;=DATE(2028,10,1)=FALSE,FALSE),FALSE,IF(IFERROR(IF(ISERROR('Model inputs'!G14&lt;0),'Model inputs'!G14&lt;0,IF('Model inputs'!G14="","",'Model inputs'!G14&lt;0))=FALSE,FALSE),FALSE,IF(IF(ISERROR('Model inputs'!G14&lt;0),'Model inputs'!G14&lt;0,IF('Model inputs'!G14="","",'Model inputs'!G14&lt;0))="","",AND(DATE(2026,6,1)&gt;=DATE(2026,11,1),DATE(2026,6,1)&lt;=DATE(2028,10,1),IF(ISERROR('Model inputs'!G14&lt;0),'Model inputs'!G14&lt;0,IF('Model inputs'!G14="","",'Model inputs'!G14&lt;0)))))))</f>
      </c>
    </row>
    <row r="601">
      <c r="A601" t="inlineStr" s="13">
        <is>
          <t xml:space="preserve">Calculation</t>
        </is>
      </c>
      <c r="B601">
        <f>IF(IFERROR(DATE(2026,7,1)&gt;=DATE(2026,11,1)=FALSE,FALSE),FALSE,IF(IFERROR(DATE(2026,7,1)&lt;=DATE(2028,10,1)=FALSE,FALSE),FALSE,IF(IFERROR(IF(ISERROR('Model inputs'!H14&lt;0),'Model inputs'!H14&lt;0,IF('Model inputs'!H14="","",'Model inputs'!H14&lt;0))=FALSE,FALSE),FALSE,IF(IF(ISERROR('Model inputs'!H14&lt;0),'Model inputs'!H14&lt;0,IF('Model inputs'!H14="","",'Model inputs'!H14&lt;0))="","",AND(DATE(2026,7,1)&gt;=DATE(2026,11,1),DATE(2026,7,1)&lt;=DATE(2028,10,1),IF(ISERROR('Model inputs'!H14&lt;0),'Model inputs'!H14&lt;0,IF('Model inputs'!H14="","",'Model inputs'!H14&lt;0)))))))</f>
      </c>
    </row>
    <row r="602">
      <c r="A602" t="inlineStr" s="13">
        <is>
          <t xml:space="preserve">Calculation</t>
        </is>
      </c>
      <c r="B602">
        <f>IF(IFERROR(DATE(2026,8,1)&gt;=DATE(2026,11,1)=FALSE,FALSE),FALSE,IF(IFERROR(DATE(2026,8,1)&lt;=DATE(2028,10,1)=FALSE,FALSE),FALSE,IF(IFERROR(IF(ISERROR('Model inputs'!I14&lt;0),'Model inputs'!I14&lt;0,IF('Model inputs'!I14="","",'Model inputs'!I14&lt;0))=FALSE,FALSE),FALSE,IF(IF(ISERROR('Model inputs'!I14&lt;0),'Model inputs'!I14&lt;0,IF('Model inputs'!I14="","",'Model inputs'!I14&lt;0))="","",AND(DATE(2026,8,1)&gt;=DATE(2026,11,1),DATE(2026,8,1)&lt;=DATE(2028,10,1),IF(ISERROR('Model inputs'!I14&lt;0),'Model inputs'!I14&lt;0,IF('Model inputs'!I14="","",'Model inputs'!I14&lt;0)))))))</f>
      </c>
    </row>
    <row r="603">
      <c r="A603" t="inlineStr" s="13">
        <is>
          <t xml:space="preserve">Calculation</t>
        </is>
      </c>
      <c r="B603">
        <f>IF(IFERROR(DATE(2026,9,1)&gt;=DATE(2026,11,1)=FALSE,FALSE),FALSE,IF(IFERROR(DATE(2026,9,1)&lt;=DATE(2028,10,1)=FALSE,FALSE),FALSE,IF(IFERROR(IF(ISERROR('Model inputs'!J14&lt;0),'Model inputs'!J14&lt;0,IF('Model inputs'!J14="","",'Model inputs'!J14&lt;0))=FALSE,FALSE),FALSE,IF(IF(ISERROR('Model inputs'!J14&lt;0),'Model inputs'!J14&lt;0,IF('Model inputs'!J14="","",'Model inputs'!J14&lt;0))="","",AND(DATE(2026,9,1)&gt;=DATE(2026,11,1),DATE(2026,9,1)&lt;=DATE(2028,10,1),IF(ISERROR('Model inputs'!J14&lt;0),'Model inputs'!J14&lt;0,IF('Model inputs'!J14="","",'Model inputs'!J14&lt;0)))))))</f>
      </c>
    </row>
    <row r="604">
      <c r="A604" t="inlineStr" s="13">
        <is>
          <t xml:space="preserve">Calculation</t>
        </is>
      </c>
      <c r="B604">
        <f>IF(IFERROR(DATE(2026,10,1)&gt;=DATE(2026,11,1)=FALSE,FALSE),FALSE,IF(IFERROR(DATE(2026,10,1)&lt;=DATE(2028,10,1)=FALSE,FALSE),FALSE,IF(IFERROR(IF(ISERROR('Model inputs'!K14&lt;0),'Model inputs'!K14&lt;0,IF('Model inputs'!K14="","",'Model inputs'!K14&lt;0))=FALSE,FALSE),FALSE,IF(IF(ISERROR('Model inputs'!K14&lt;0),'Model inputs'!K14&lt;0,IF('Model inputs'!K14="","",'Model inputs'!K14&lt;0))="","",AND(DATE(2026,10,1)&gt;=DATE(2026,11,1),DATE(2026,10,1)&lt;=DATE(2028,10,1),IF(ISERROR('Model inputs'!K14&lt;0),'Model inputs'!K14&lt;0,IF('Model inputs'!K14="","",'Model inputs'!K14&lt;0)))))))</f>
      </c>
    </row>
    <row r="605">
      <c r="A605" t="inlineStr" s="13">
        <is>
          <t xml:space="preserve">Calculation</t>
        </is>
      </c>
      <c r="B605">
        <f>IF(IFERROR(DATE(2026,11,1)&gt;=DATE(2026,11,1)=FALSE,FALSE),FALSE,IF(IFERROR(DATE(2026,11,1)&lt;=DATE(2028,10,1)=FALSE,FALSE),FALSE,IF(IFERROR(IF(ISERROR('Model inputs'!L14&lt;0),'Model inputs'!L14&lt;0,IF('Model inputs'!L14="","",'Model inputs'!L14&lt;0))=FALSE,FALSE),FALSE,IF(IF(ISERROR('Model inputs'!L14&lt;0),'Model inputs'!L14&lt;0,IF('Model inputs'!L14="","",'Model inputs'!L14&lt;0))="","",AND(DATE(2026,11,1)&gt;=DATE(2026,11,1),DATE(2026,11,1)&lt;=DATE(2028,10,1),IF(ISERROR('Model inputs'!L14&lt;0),'Model inputs'!L14&lt;0,IF('Model inputs'!L14="","",'Model inputs'!L14&lt;0)))))))</f>
      </c>
    </row>
    <row r="606">
      <c r="A606" t="inlineStr" s="13">
        <is>
          <t xml:space="preserve">Calculation</t>
        </is>
      </c>
      <c r="B606">
        <f>IF(IFERROR(DATE(2026,12,1)&gt;=DATE(2026,11,1)=FALSE,FALSE),FALSE,IF(IFERROR(DATE(2026,12,1)&lt;=DATE(2028,10,1)=FALSE,FALSE),FALSE,IF(IFERROR(IF(ISERROR('Model inputs'!M14&lt;0),'Model inputs'!M14&lt;0,IF('Model inputs'!M14="","",'Model inputs'!M14&lt;0))=FALSE,FALSE),FALSE,IF(IF(ISERROR('Model inputs'!M14&lt;0),'Model inputs'!M14&lt;0,IF('Model inputs'!M14="","",'Model inputs'!M14&lt;0))="","",AND(DATE(2026,12,1)&gt;=DATE(2026,11,1),DATE(2026,12,1)&lt;=DATE(2028,10,1),IF(ISERROR('Model inputs'!M14&lt;0),'Model inputs'!M14&lt;0,IF('Model inputs'!M14="","",'Model inputs'!M14&lt;0)))))))</f>
      </c>
    </row>
    <row r="607">
      <c r="A607" t="inlineStr" s="13">
        <is>
          <t xml:space="preserve">Calculation</t>
        </is>
      </c>
      <c r="B607">
        <f>IF(IFERROR(DATE(2027,1,1)&gt;=DATE(2026,11,1)=FALSE,FALSE),FALSE,IF(IFERROR(DATE(2027,1,1)&lt;=DATE(2028,10,1)=FALSE,FALSE),FALSE,IF(IFERROR(IF(ISERROR('Model inputs'!N14&lt;0),'Model inputs'!N14&lt;0,IF('Model inputs'!N14="","",'Model inputs'!N14&lt;0))=FALSE,FALSE),FALSE,IF(IF(ISERROR('Model inputs'!N14&lt;0),'Model inputs'!N14&lt;0,IF('Model inputs'!N14="","",'Model inputs'!N14&lt;0))="","",AND(DATE(2027,1,1)&gt;=DATE(2026,11,1),DATE(2027,1,1)&lt;=DATE(2028,10,1),IF(ISERROR('Model inputs'!N14&lt;0),'Model inputs'!N14&lt;0,IF('Model inputs'!N14="","",'Model inputs'!N14&lt;0)))))))</f>
      </c>
    </row>
    <row r="608">
      <c r="A608" t="inlineStr" s="13">
        <is>
          <t xml:space="preserve">Calculation</t>
        </is>
      </c>
      <c r="B608">
        <f>IF(IFERROR(DATE(2027,2,1)&gt;=DATE(2026,11,1)=FALSE,FALSE),FALSE,IF(IFERROR(DATE(2027,2,1)&lt;=DATE(2028,10,1)=FALSE,FALSE),FALSE,IF(IFERROR(IF(ISERROR('Model inputs'!O14&lt;0),'Model inputs'!O14&lt;0,IF('Model inputs'!O14="","",'Model inputs'!O14&lt;0))=FALSE,FALSE),FALSE,IF(IF(ISERROR('Model inputs'!O14&lt;0),'Model inputs'!O14&lt;0,IF('Model inputs'!O14="","",'Model inputs'!O14&lt;0))="","",AND(DATE(2027,2,1)&gt;=DATE(2026,11,1),DATE(2027,2,1)&lt;=DATE(2028,10,1),IF(ISERROR('Model inputs'!O14&lt;0),'Model inputs'!O14&lt;0,IF('Model inputs'!O14="","",'Model inputs'!O14&lt;0)))))))</f>
      </c>
    </row>
    <row r="609">
      <c r="A609" t="inlineStr" s="13">
        <is>
          <t xml:space="preserve">Calculation</t>
        </is>
      </c>
      <c r="B609">
        <f>IF(IFERROR(DATE(2027,3,1)&gt;=DATE(2026,11,1)=FALSE,FALSE),FALSE,IF(IFERROR(DATE(2027,3,1)&lt;=DATE(2028,10,1)=FALSE,FALSE),FALSE,IF(IFERROR(IF(ISERROR('Model inputs'!P14&lt;0),'Model inputs'!P14&lt;0,IF('Model inputs'!P14="","",'Model inputs'!P14&lt;0))=FALSE,FALSE),FALSE,IF(IF(ISERROR('Model inputs'!P14&lt;0),'Model inputs'!P14&lt;0,IF('Model inputs'!P14="","",'Model inputs'!P14&lt;0))="","",AND(DATE(2027,3,1)&gt;=DATE(2026,11,1),DATE(2027,3,1)&lt;=DATE(2028,10,1),IF(ISERROR('Model inputs'!P14&lt;0),'Model inputs'!P14&lt;0,IF('Model inputs'!P14="","",'Model inputs'!P14&lt;0)))))))</f>
      </c>
    </row>
    <row r="610">
      <c r="A610" t="inlineStr" s="13">
        <is>
          <t xml:space="preserve">Calculation</t>
        </is>
      </c>
      <c r="B610">
        <f>IF(IFERROR(DATE(2027,4,1)&gt;=DATE(2026,11,1)=FALSE,FALSE),FALSE,IF(IFERROR(DATE(2027,4,1)&lt;=DATE(2028,10,1)=FALSE,FALSE),FALSE,IF(IFERROR(IF(ISERROR('Model inputs'!Q14&lt;0),'Model inputs'!Q14&lt;0,IF('Model inputs'!Q14="","",'Model inputs'!Q14&lt;0))=FALSE,FALSE),FALSE,IF(IF(ISERROR('Model inputs'!Q14&lt;0),'Model inputs'!Q14&lt;0,IF('Model inputs'!Q14="","",'Model inputs'!Q14&lt;0))="","",AND(DATE(2027,4,1)&gt;=DATE(2026,11,1),DATE(2027,4,1)&lt;=DATE(2028,10,1),IF(ISERROR('Model inputs'!Q14&lt;0),'Model inputs'!Q14&lt;0,IF('Model inputs'!Q14="","",'Model inputs'!Q14&lt;0)))))))</f>
      </c>
    </row>
    <row r="611">
      <c r="A611" t="inlineStr" s="13">
        <is>
          <t xml:space="preserve">Calculation</t>
        </is>
      </c>
      <c r="B611">
        <f>IF(IFERROR(DATE(2027,5,1)&gt;=DATE(2026,11,1)=FALSE,FALSE),FALSE,IF(IFERROR(DATE(2027,5,1)&lt;=DATE(2028,10,1)=FALSE,FALSE),FALSE,IF(IFERROR(IF(ISERROR('Model inputs'!R14&lt;0),'Model inputs'!R14&lt;0,IF('Model inputs'!R14="","",'Model inputs'!R14&lt;0))=FALSE,FALSE),FALSE,IF(IF(ISERROR('Model inputs'!R14&lt;0),'Model inputs'!R14&lt;0,IF('Model inputs'!R14="","",'Model inputs'!R14&lt;0))="","",AND(DATE(2027,5,1)&gt;=DATE(2026,11,1),DATE(2027,5,1)&lt;=DATE(2028,10,1),IF(ISERROR('Model inputs'!R14&lt;0),'Model inputs'!R14&lt;0,IF('Model inputs'!R14="","",'Model inputs'!R14&lt;0)))))))</f>
      </c>
    </row>
    <row r="612">
      <c r="A612" t="inlineStr" s="13">
        <is>
          <t xml:space="preserve">Calculation</t>
        </is>
      </c>
      <c r="B612">
        <f>IF(IFERROR(DATE(2027,6,1)&gt;=DATE(2026,11,1)=FALSE,FALSE),FALSE,IF(IFERROR(DATE(2027,6,1)&lt;=DATE(2028,10,1)=FALSE,FALSE),FALSE,IF(IFERROR(IF(ISERROR('Model inputs'!S14&lt;0),'Model inputs'!S14&lt;0,IF('Model inputs'!S14="","",'Model inputs'!S14&lt;0))=FALSE,FALSE),FALSE,IF(IF(ISERROR('Model inputs'!S14&lt;0),'Model inputs'!S14&lt;0,IF('Model inputs'!S14="","",'Model inputs'!S14&lt;0))="","",AND(DATE(2027,6,1)&gt;=DATE(2026,11,1),DATE(2027,6,1)&lt;=DATE(2028,10,1),IF(ISERROR('Model inputs'!S14&lt;0),'Model inputs'!S14&lt;0,IF('Model inputs'!S14="","",'Model inputs'!S14&lt;0)))))))</f>
      </c>
    </row>
    <row r="613">
      <c r="A613" t="inlineStr" s="13">
        <is>
          <t xml:space="preserve">Calculation</t>
        </is>
      </c>
      <c r="B613">
        <f>IF(IFERROR(DATE(2027,7,1)&gt;=DATE(2026,11,1)=FALSE,FALSE),FALSE,IF(IFERROR(DATE(2027,7,1)&lt;=DATE(2028,10,1)=FALSE,FALSE),FALSE,IF(IFERROR(IF(ISERROR('Model inputs'!T14&lt;0),'Model inputs'!T14&lt;0,IF('Model inputs'!T14="","",'Model inputs'!T14&lt;0))=FALSE,FALSE),FALSE,IF(IF(ISERROR('Model inputs'!T14&lt;0),'Model inputs'!T14&lt;0,IF('Model inputs'!T14="","",'Model inputs'!T14&lt;0))="","",AND(DATE(2027,7,1)&gt;=DATE(2026,11,1),DATE(2027,7,1)&lt;=DATE(2028,10,1),IF(ISERROR('Model inputs'!T14&lt;0),'Model inputs'!T14&lt;0,IF('Model inputs'!T14="","",'Model inputs'!T14&lt;0)))))))</f>
      </c>
    </row>
    <row r="614">
      <c r="A614" t="inlineStr" s="13">
        <is>
          <t xml:space="preserve">Calculation</t>
        </is>
      </c>
      <c r="B614">
        <f>IF(IFERROR(DATE(2027,8,1)&gt;=DATE(2026,11,1)=FALSE,FALSE),FALSE,IF(IFERROR(DATE(2027,8,1)&lt;=DATE(2028,10,1)=FALSE,FALSE),FALSE,IF(IFERROR(IF(ISERROR('Model inputs'!U14&lt;0),'Model inputs'!U14&lt;0,IF('Model inputs'!U14="","",'Model inputs'!U14&lt;0))=FALSE,FALSE),FALSE,IF(IF(ISERROR('Model inputs'!U14&lt;0),'Model inputs'!U14&lt;0,IF('Model inputs'!U14="","",'Model inputs'!U14&lt;0))="","",AND(DATE(2027,8,1)&gt;=DATE(2026,11,1),DATE(2027,8,1)&lt;=DATE(2028,10,1),IF(ISERROR('Model inputs'!U14&lt;0),'Model inputs'!U14&lt;0,IF('Model inputs'!U14="","",'Model inputs'!U14&lt;0)))))))</f>
      </c>
    </row>
    <row r="615">
      <c r="A615" t="inlineStr" s="13">
        <is>
          <t xml:space="preserve">Calculation</t>
        </is>
      </c>
      <c r="B615">
        <f>IF(IFERROR(DATE(2027,9,1)&gt;=DATE(2026,11,1)=FALSE,FALSE),FALSE,IF(IFERROR(DATE(2027,9,1)&lt;=DATE(2028,10,1)=FALSE,FALSE),FALSE,IF(IFERROR(IF(ISERROR('Model inputs'!V14&lt;0),'Model inputs'!V14&lt;0,IF('Model inputs'!V14="","",'Model inputs'!V14&lt;0))=FALSE,FALSE),FALSE,IF(IF(ISERROR('Model inputs'!V14&lt;0),'Model inputs'!V14&lt;0,IF('Model inputs'!V14="","",'Model inputs'!V14&lt;0))="","",AND(DATE(2027,9,1)&gt;=DATE(2026,11,1),DATE(2027,9,1)&lt;=DATE(2028,10,1),IF(ISERROR('Model inputs'!V14&lt;0),'Model inputs'!V14&lt;0,IF('Model inputs'!V14="","",'Model inputs'!V14&lt;0)))))))</f>
      </c>
    </row>
    <row r="616">
      <c r="A616" t="inlineStr" s="13">
        <is>
          <t xml:space="preserve">Calculation</t>
        </is>
      </c>
      <c r="B616">
        <f>IF(IFERROR(DATE(2027,10,1)&gt;=DATE(2026,11,1)=FALSE,FALSE),FALSE,IF(IFERROR(DATE(2027,10,1)&lt;=DATE(2028,10,1)=FALSE,FALSE),FALSE,IF(IFERROR(IF(ISERROR('Model inputs'!W14&lt;0),'Model inputs'!W14&lt;0,IF('Model inputs'!W14="","",'Model inputs'!W14&lt;0))=FALSE,FALSE),FALSE,IF(IF(ISERROR('Model inputs'!W14&lt;0),'Model inputs'!W14&lt;0,IF('Model inputs'!W14="","",'Model inputs'!W14&lt;0))="","",AND(DATE(2027,10,1)&gt;=DATE(2026,11,1),DATE(2027,10,1)&lt;=DATE(2028,10,1),IF(ISERROR('Model inputs'!W14&lt;0),'Model inputs'!W14&lt;0,IF('Model inputs'!W14="","",'Model inputs'!W14&lt;0)))))))</f>
      </c>
    </row>
    <row r="617">
      <c r="A617" t="inlineStr" s="13">
        <is>
          <t xml:space="preserve">Calculation</t>
        </is>
      </c>
      <c r="B617">
        <f>IF(IFERROR(DATE(2027,11,1)&gt;=DATE(2026,11,1)=FALSE,FALSE),FALSE,IF(IFERROR(DATE(2027,11,1)&lt;=DATE(2028,10,1)=FALSE,FALSE),FALSE,IF(IFERROR(IF(ISERROR('Model inputs'!X14&lt;0),'Model inputs'!X14&lt;0,IF('Model inputs'!X14="","",'Model inputs'!X14&lt;0))=FALSE,FALSE),FALSE,IF(IF(ISERROR('Model inputs'!X14&lt;0),'Model inputs'!X14&lt;0,IF('Model inputs'!X14="","",'Model inputs'!X14&lt;0))="","",AND(DATE(2027,11,1)&gt;=DATE(2026,11,1),DATE(2027,11,1)&lt;=DATE(2028,10,1),IF(ISERROR('Model inputs'!X14&lt;0),'Model inputs'!X14&lt;0,IF('Model inputs'!X14="","",'Model inputs'!X14&lt;0)))))))</f>
      </c>
    </row>
    <row r="618">
      <c r="A618" t="inlineStr" s="13">
        <is>
          <t xml:space="preserve">Calculation</t>
        </is>
      </c>
      <c r="B618">
        <f>IF(IFERROR(DATE(2027,12,1)&gt;=DATE(2026,11,1)=FALSE,FALSE),FALSE,IF(IFERROR(DATE(2027,12,1)&lt;=DATE(2028,10,1)=FALSE,FALSE),FALSE,IF(IFERROR(IF(ISERROR('Model inputs'!Y14&lt;0),'Model inputs'!Y14&lt;0,IF('Model inputs'!Y14="","",'Model inputs'!Y14&lt;0))=FALSE,FALSE),FALSE,IF(IF(ISERROR('Model inputs'!Y14&lt;0),'Model inputs'!Y14&lt;0,IF('Model inputs'!Y14="","",'Model inputs'!Y14&lt;0))="","",AND(DATE(2027,12,1)&gt;=DATE(2026,11,1),DATE(2027,12,1)&lt;=DATE(2028,10,1),IF(ISERROR('Model inputs'!Y14&lt;0),'Model inputs'!Y14&lt;0,IF('Model inputs'!Y14="","",'Model inputs'!Y14&lt;0)))))))</f>
      </c>
    </row>
    <row r="619">
      <c r="A619" t="inlineStr" s="13">
        <is>
          <t xml:space="preserve">Calculation</t>
        </is>
      </c>
      <c r="B619">
        <f>IF(IFERROR(DATE(2028,1,1)&gt;=DATE(2026,11,1)=FALSE,FALSE),FALSE,IF(IFERROR(DATE(2028,1,1)&lt;=DATE(2028,10,1)=FALSE,FALSE),FALSE,IF(IFERROR(IF(ISERROR('Model inputs'!Z14&lt;0),'Model inputs'!Z14&lt;0,IF('Model inputs'!Z14="","",'Model inputs'!Z14&lt;0))=FALSE,FALSE),FALSE,IF(IF(ISERROR('Model inputs'!Z14&lt;0),'Model inputs'!Z14&lt;0,IF('Model inputs'!Z14="","",'Model inputs'!Z14&lt;0))="","",AND(DATE(2028,1,1)&gt;=DATE(2026,11,1),DATE(2028,1,1)&lt;=DATE(2028,10,1),IF(ISERROR('Model inputs'!Z14&lt;0),'Model inputs'!Z14&lt;0,IF('Model inputs'!Z14="","",'Model inputs'!Z14&lt;0)))))))</f>
      </c>
    </row>
    <row r="620">
      <c r="A620" t="inlineStr" s="13">
        <is>
          <t xml:space="preserve">Calculation</t>
        </is>
      </c>
      <c r="B620">
        <f>IF(IFERROR(DATE(2028,2,1)&gt;=DATE(2026,11,1)=FALSE,FALSE),FALSE,IF(IFERROR(DATE(2028,2,1)&lt;=DATE(2028,10,1)=FALSE,FALSE),FALSE,IF(IFERROR(IF(ISERROR('Model inputs'!AA14&lt;0),'Model inputs'!AA14&lt;0,IF('Model inputs'!AA14="","",'Model inputs'!AA14&lt;0))=FALSE,FALSE),FALSE,IF(IF(ISERROR('Model inputs'!AA14&lt;0),'Model inputs'!AA14&lt;0,IF('Model inputs'!AA14="","",'Model inputs'!AA14&lt;0))="","",AND(DATE(2028,2,1)&gt;=DATE(2026,11,1),DATE(2028,2,1)&lt;=DATE(2028,10,1),IF(ISERROR('Model inputs'!AA14&lt;0),'Model inputs'!AA14&lt;0,IF('Model inputs'!AA14="","",'Model inputs'!AA14&lt;0)))))))</f>
      </c>
    </row>
    <row r="621">
      <c r="A621" t="inlineStr" s="13">
        <is>
          <t xml:space="preserve">Calculation</t>
        </is>
      </c>
      <c r="B621">
        <f>IF(IFERROR(DATE(2028,3,1)&gt;=DATE(2026,11,1)=FALSE,FALSE),FALSE,IF(IFERROR(DATE(2028,3,1)&lt;=DATE(2028,10,1)=FALSE,FALSE),FALSE,IF(IFERROR(IF(ISERROR('Model inputs'!AB14&lt;0),'Model inputs'!AB14&lt;0,IF('Model inputs'!AB14="","",'Model inputs'!AB14&lt;0))=FALSE,FALSE),FALSE,IF(IF(ISERROR('Model inputs'!AB14&lt;0),'Model inputs'!AB14&lt;0,IF('Model inputs'!AB14="","",'Model inputs'!AB14&lt;0))="","",AND(DATE(2028,3,1)&gt;=DATE(2026,11,1),DATE(2028,3,1)&lt;=DATE(2028,10,1),IF(ISERROR('Model inputs'!AB14&lt;0),'Model inputs'!AB14&lt;0,IF('Model inputs'!AB14="","",'Model inputs'!AB14&lt;0)))))))</f>
      </c>
    </row>
    <row r="622">
      <c r="A622" t="inlineStr" s="13">
        <is>
          <t xml:space="preserve">Calculation</t>
        </is>
      </c>
      <c r="B622">
        <f>IF(IFERROR(DATE(2028,4,1)&gt;=DATE(2026,11,1)=FALSE,FALSE),FALSE,IF(IFERROR(DATE(2028,4,1)&lt;=DATE(2028,10,1)=FALSE,FALSE),FALSE,IF(IFERROR(IF(ISERROR('Model inputs'!AC14&lt;0),'Model inputs'!AC14&lt;0,IF('Model inputs'!AC14="","",'Model inputs'!AC14&lt;0))=FALSE,FALSE),FALSE,IF(IF(ISERROR('Model inputs'!AC14&lt;0),'Model inputs'!AC14&lt;0,IF('Model inputs'!AC14="","",'Model inputs'!AC14&lt;0))="","",AND(DATE(2028,4,1)&gt;=DATE(2026,11,1),DATE(2028,4,1)&lt;=DATE(2028,10,1),IF(ISERROR('Model inputs'!AC14&lt;0),'Model inputs'!AC14&lt;0,IF('Model inputs'!AC14="","",'Model inputs'!AC14&lt;0)))))))</f>
      </c>
    </row>
    <row r="623">
      <c r="A623" t="inlineStr" s="13">
        <is>
          <t xml:space="preserve">Calculation</t>
        </is>
      </c>
      <c r="B623">
        <f>IF(IFERROR(DATE(2028,5,1)&gt;=DATE(2026,11,1)=FALSE,FALSE),FALSE,IF(IFERROR(DATE(2028,5,1)&lt;=DATE(2028,10,1)=FALSE,FALSE),FALSE,IF(IFERROR(IF(ISERROR('Model inputs'!AD14&lt;0),'Model inputs'!AD14&lt;0,IF('Model inputs'!AD14="","",'Model inputs'!AD14&lt;0))=FALSE,FALSE),FALSE,IF(IF(ISERROR('Model inputs'!AD14&lt;0),'Model inputs'!AD14&lt;0,IF('Model inputs'!AD14="","",'Model inputs'!AD14&lt;0))="","",AND(DATE(2028,5,1)&gt;=DATE(2026,11,1),DATE(2028,5,1)&lt;=DATE(2028,10,1),IF(ISERROR('Model inputs'!AD14&lt;0),'Model inputs'!AD14&lt;0,IF('Model inputs'!AD14="","",'Model inputs'!AD14&lt;0)))))))</f>
      </c>
    </row>
    <row r="624">
      <c r="A624" t="inlineStr" s="13">
        <is>
          <t xml:space="preserve">Calculation</t>
        </is>
      </c>
      <c r="B624">
        <f>IF(IFERROR(DATE(2028,6,1)&gt;=DATE(2026,11,1)=FALSE,FALSE),FALSE,IF(IFERROR(DATE(2028,6,1)&lt;=DATE(2028,10,1)=FALSE,FALSE),FALSE,IF(IFERROR(IF(ISERROR('Model inputs'!AE14&lt;0),'Model inputs'!AE14&lt;0,IF('Model inputs'!AE14="","",'Model inputs'!AE14&lt;0))=FALSE,FALSE),FALSE,IF(IF(ISERROR('Model inputs'!AE14&lt;0),'Model inputs'!AE14&lt;0,IF('Model inputs'!AE14="","",'Model inputs'!AE14&lt;0))="","",AND(DATE(2028,6,1)&gt;=DATE(2026,11,1),DATE(2028,6,1)&lt;=DATE(2028,10,1),IF(ISERROR('Model inputs'!AE14&lt;0),'Model inputs'!AE14&lt;0,IF('Model inputs'!AE14="","",'Model inputs'!AE14&lt;0)))))))</f>
      </c>
    </row>
    <row r="625">
      <c r="A625" t="inlineStr" s="13">
        <is>
          <t xml:space="preserve">Calculation</t>
        </is>
      </c>
      <c r="B625">
        <f>IF(IFERROR(DATE(2028,7,1)&gt;=DATE(2026,11,1)=FALSE,FALSE),FALSE,IF(IFERROR(DATE(2028,7,1)&lt;=DATE(2028,10,1)=FALSE,FALSE),FALSE,IF(IFERROR(IF(ISERROR('Model inputs'!AF14&lt;0),'Model inputs'!AF14&lt;0,IF('Model inputs'!AF14="","",'Model inputs'!AF14&lt;0))=FALSE,FALSE),FALSE,IF(IF(ISERROR('Model inputs'!AF14&lt;0),'Model inputs'!AF14&lt;0,IF('Model inputs'!AF14="","",'Model inputs'!AF14&lt;0))="","",AND(DATE(2028,7,1)&gt;=DATE(2026,11,1),DATE(2028,7,1)&lt;=DATE(2028,10,1),IF(ISERROR('Model inputs'!AF14&lt;0),'Model inputs'!AF14&lt;0,IF('Model inputs'!AF14="","",'Model inputs'!AF14&lt;0)))))))</f>
      </c>
    </row>
    <row r="626">
      <c r="A626" t="inlineStr" s="13">
        <is>
          <t xml:space="preserve">Calculation</t>
        </is>
      </c>
      <c r="B626">
        <f>IF(IFERROR(DATE(2028,8,1)&gt;=DATE(2026,11,1)=FALSE,FALSE),FALSE,IF(IFERROR(DATE(2028,8,1)&lt;=DATE(2028,10,1)=FALSE,FALSE),FALSE,IF(IFERROR(IF(ISERROR('Model inputs'!AG14&lt;0),'Model inputs'!AG14&lt;0,IF('Model inputs'!AG14="","",'Model inputs'!AG14&lt;0))=FALSE,FALSE),FALSE,IF(IF(ISERROR('Model inputs'!AG14&lt;0),'Model inputs'!AG14&lt;0,IF('Model inputs'!AG14="","",'Model inputs'!AG14&lt;0))="","",AND(DATE(2028,8,1)&gt;=DATE(2026,11,1),DATE(2028,8,1)&lt;=DATE(2028,10,1),IF(ISERROR('Model inputs'!AG14&lt;0),'Model inputs'!AG14&lt;0,IF('Model inputs'!AG14="","",'Model inputs'!AG14&lt;0)))))))</f>
      </c>
    </row>
    <row r="627">
      <c r="A627" t="inlineStr" s="13">
        <is>
          <t xml:space="preserve">Calculation</t>
        </is>
      </c>
      <c r="B627">
        <f>IF(IFERROR(DATE(2028,9,1)&gt;=DATE(2026,11,1)=FALSE,FALSE),FALSE,IF(IFERROR(DATE(2028,9,1)&lt;=DATE(2028,10,1)=FALSE,FALSE),FALSE,IF(IFERROR(IF(ISERROR('Model inputs'!AH14&lt;0),'Model inputs'!AH14&lt;0,IF('Model inputs'!AH14="","",'Model inputs'!AH14&lt;0))=FALSE,FALSE),FALSE,IF(IF(ISERROR('Model inputs'!AH14&lt;0),'Model inputs'!AH14&lt;0,IF('Model inputs'!AH14="","",'Model inputs'!AH14&lt;0))="","",AND(DATE(2028,9,1)&gt;=DATE(2026,11,1),DATE(2028,9,1)&lt;=DATE(2028,10,1),IF(ISERROR('Model inputs'!AH14&lt;0),'Model inputs'!AH14&lt;0,IF('Model inputs'!AH14="","",'Model inputs'!AH14&lt;0)))))))</f>
      </c>
    </row>
    <row r="628">
      <c r="A628" t="inlineStr" s="13">
        <is>
          <t xml:space="preserve">Calculation</t>
        </is>
      </c>
      <c r="B628">
        <f>IF(IFERROR(DATE(2028,10,1)&gt;=DATE(2026,11,1)=FALSE,FALSE),FALSE,IF(IFERROR(DATE(2028,10,1)&lt;=DATE(2028,10,1)=FALSE,FALSE),FALSE,IF(IFERROR(IF(ISERROR('Model inputs'!AI14&lt;0),'Model inputs'!AI14&lt;0,IF('Model inputs'!AI14="","",'Model inputs'!AI14&lt;0))=FALSE,FALSE),FALSE,IF(IF(ISERROR('Model inputs'!AI14&lt;0),'Model inputs'!AI14&lt;0,IF('Model inputs'!AI14="","",'Model inputs'!AI14&lt;0))="","",AND(DATE(2028,10,1)&gt;=DATE(2026,11,1),DATE(2028,10,1)&lt;=DATE(2028,10,1),IF(ISERROR('Model inputs'!AI14&lt;0),'Model inputs'!AI14&lt;0,IF('Model inputs'!AI14="","",'Model inputs'!AI14&lt;0)))))))</f>
      </c>
    </row>
    <row r="629">
      <c r="A629" t="inlineStr" s="13">
        <is>
          <t xml:space="preserve">Calculation</t>
        </is>
      </c>
      <c r="B629">
        <f>IF(IF('Model inputs'!B595="",FALSE,'Model inputs'!B595),'Model inputs'!B188,"")</f>
      </c>
    </row>
    <row r="630">
      <c r="A630" t="inlineStr" s="13">
        <is>
          <t xml:space="preserve">Calculation</t>
        </is>
      </c>
      <c r="B630">
        <f>IF(IF('Model inputs'!B596="",FALSE,'Model inputs'!B596),'Model inputs'!C188,"")</f>
      </c>
    </row>
    <row r="631">
      <c r="A631" t="inlineStr" s="13">
        <is>
          <t xml:space="preserve">Calculation</t>
        </is>
      </c>
      <c r="B631">
        <f>IF(IF('Model inputs'!B597="",FALSE,'Model inputs'!B597),'Model inputs'!D188,"")</f>
      </c>
    </row>
    <row r="632">
      <c r="A632" t="inlineStr" s="13">
        <is>
          <t xml:space="preserve">Calculation</t>
        </is>
      </c>
      <c r="B632">
        <f>IF(IF('Model inputs'!B598="",FALSE,'Model inputs'!B598),'Model inputs'!E188,"")</f>
      </c>
    </row>
    <row r="633">
      <c r="A633" t="inlineStr" s="13">
        <is>
          <t xml:space="preserve">Calculation</t>
        </is>
      </c>
      <c r="B633">
        <f>IF(IF('Model inputs'!B599="",FALSE,'Model inputs'!B599),'Model inputs'!F188,"")</f>
      </c>
    </row>
    <row r="634">
      <c r="A634" t="inlineStr" s="13">
        <is>
          <t xml:space="preserve">Calculation</t>
        </is>
      </c>
      <c r="B634">
        <f>IF(IF('Model inputs'!B600="",FALSE,'Model inputs'!B600),'Model inputs'!G188,"")</f>
      </c>
    </row>
    <row r="635">
      <c r="A635" t="inlineStr" s="13">
        <is>
          <t xml:space="preserve">Calculation</t>
        </is>
      </c>
      <c r="B635">
        <f>IF(IF('Model inputs'!B601="",FALSE,'Model inputs'!B601),'Model inputs'!H188,"")</f>
      </c>
    </row>
    <row r="636">
      <c r="A636" t="inlineStr" s="13">
        <is>
          <t xml:space="preserve">Calculation</t>
        </is>
      </c>
      <c r="B636">
        <f>IF(IF('Model inputs'!B602="",FALSE,'Model inputs'!B602),'Model inputs'!I188,"")</f>
      </c>
    </row>
    <row r="637">
      <c r="A637" t="inlineStr" s="13">
        <is>
          <t xml:space="preserve">Calculation</t>
        </is>
      </c>
      <c r="B637">
        <f>IF(IF('Model inputs'!B603="",FALSE,'Model inputs'!B603),'Model inputs'!J188,"")</f>
      </c>
    </row>
    <row r="638">
      <c r="A638" t="inlineStr" s="13">
        <is>
          <t xml:space="preserve">Calculation</t>
        </is>
      </c>
      <c r="B638">
        <f>IF(IF('Model inputs'!B604="",FALSE,'Model inputs'!B604),'Model inputs'!K188,"")</f>
      </c>
    </row>
    <row r="639">
      <c r="A639" t="inlineStr" s="13">
        <is>
          <t xml:space="preserve">Calculation</t>
        </is>
      </c>
      <c r="B639">
        <f>IF(IF('Model inputs'!B605="",FALSE,'Model inputs'!B605),'Model inputs'!L188,"")</f>
      </c>
    </row>
    <row r="640">
      <c r="A640" t="inlineStr" s="13">
        <is>
          <t xml:space="preserve">Calculation</t>
        </is>
      </c>
      <c r="B640">
        <f>IF(IF('Model inputs'!B606="",FALSE,'Model inputs'!B606),'Model inputs'!M188,"")</f>
      </c>
    </row>
    <row r="641">
      <c r="A641" t="inlineStr" s="13">
        <is>
          <t xml:space="preserve">Calculation</t>
        </is>
      </c>
      <c r="B641">
        <f>IF(IF('Model inputs'!B607="",FALSE,'Model inputs'!B607),'Model inputs'!N188,"")</f>
      </c>
    </row>
    <row r="642">
      <c r="A642" t="inlineStr" s="13">
        <is>
          <t xml:space="preserve">Calculation</t>
        </is>
      </c>
      <c r="B642">
        <f>IF(IF('Model inputs'!B608="",FALSE,'Model inputs'!B608),'Model inputs'!O188,"")</f>
      </c>
    </row>
    <row r="643">
      <c r="A643" t="inlineStr" s="13">
        <is>
          <t xml:space="preserve">Calculation</t>
        </is>
      </c>
      <c r="B643">
        <f>IF(IF('Model inputs'!B609="",FALSE,'Model inputs'!B609),'Model inputs'!P188,"")</f>
      </c>
    </row>
    <row r="644">
      <c r="A644" t="inlineStr" s="13">
        <is>
          <t xml:space="preserve">Calculation</t>
        </is>
      </c>
      <c r="B644">
        <f>IF(IF('Model inputs'!B610="",FALSE,'Model inputs'!B610),'Model inputs'!Q188,"")</f>
      </c>
    </row>
    <row r="645">
      <c r="A645" t="inlineStr" s="13">
        <is>
          <t xml:space="preserve">Calculation</t>
        </is>
      </c>
      <c r="B645">
        <f>IF(IF('Model inputs'!B611="",FALSE,'Model inputs'!B611),'Model inputs'!R188,"")</f>
      </c>
    </row>
    <row r="646">
      <c r="A646" t="inlineStr" s="13">
        <is>
          <t xml:space="preserve">Calculation</t>
        </is>
      </c>
      <c r="B646">
        <f>IF(IF('Model inputs'!B612="",FALSE,'Model inputs'!B612),'Model inputs'!S188,"")</f>
      </c>
    </row>
    <row r="647">
      <c r="A647" t="inlineStr" s="13">
        <is>
          <t xml:space="preserve">Calculation</t>
        </is>
      </c>
      <c r="B647">
        <f>IF(IF('Model inputs'!B613="",FALSE,'Model inputs'!B613),'Model inputs'!T188,"")</f>
      </c>
    </row>
    <row r="648">
      <c r="A648" t="inlineStr" s="13">
        <is>
          <t xml:space="preserve">Calculation</t>
        </is>
      </c>
      <c r="B648">
        <f>IF(IF('Model inputs'!B614="",FALSE,'Model inputs'!B614),'Model inputs'!U188,"")</f>
      </c>
    </row>
    <row r="649">
      <c r="A649" t="inlineStr" s="13">
        <is>
          <t xml:space="preserve">Calculation</t>
        </is>
      </c>
      <c r="B649">
        <f>IF(IF('Model inputs'!B615="",FALSE,'Model inputs'!B615),'Model inputs'!V188,"")</f>
      </c>
    </row>
    <row r="650">
      <c r="A650" t="inlineStr" s="13">
        <is>
          <t xml:space="preserve">Calculation</t>
        </is>
      </c>
      <c r="B650">
        <f>IF(IF('Model inputs'!B616="",FALSE,'Model inputs'!B616),'Model inputs'!W188,"")</f>
      </c>
    </row>
    <row r="651">
      <c r="A651" t="inlineStr" s="13">
        <is>
          <t xml:space="preserve">Calculation</t>
        </is>
      </c>
      <c r="B651">
        <f>IF(IF('Model inputs'!B617="",FALSE,'Model inputs'!B617),'Model inputs'!X188,"")</f>
      </c>
    </row>
    <row r="652">
      <c r="A652" t="inlineStr" s="13">
        <is>
          <t xml:space="preserve">Calculation</t>
        </is>
      </c>
      <c r="B652">
        <f>IF(IF('Model inputs'!B618="",FALSE,'Model inputs'!B618),'Model inputs'!Y188,"")</f>
      </c>
    </row>
    <row r="653">
      <c r="A653" t="inlineStr" s="13">
        <is>
          <t xml:space="preserve">Calculation</t>
        </is>
      </c>
      <c r="B653">
        <f>IF(IF('Model inputs'!B619="",FALSE,'Model inputs'!B619),'Model inputs'!Z188,"")</f>
      </c>
    </row>
    <row r="654">
      <c r="A654" t="inlineStr" s="13">
        <is>
          <t xml:space="preserve">Calculation</t>
        </is>
      </c>
      <c r="B654">
        <f>IF(IF('Model inputs'!B620="",FALSE,'Model inputs'!B620),'Model inputs'!AA188,"")</f>
      </c>
    </row>
    <row r="655">
      <c r="A655" t="inlineStr" s="13">
        <is>
          <t xml:space="preserve">Calculation</t>
        </is>
      </c>
      <c r="B655">
        <f>IF(IF('Model inputs'!B621="",FALSE,'Model inputs'!B621),'Model inputs'!AB188,"")</f>
      </c>
    </row>
    <row r="656">
      <c r="A656" t="inlineStr" s="13">
        <is>
          <t xml:space="preserve">Calculation</t>
        </is>
      </c>
      <c r="B656">
        <f>IF(IF('Model inputs'!B622="",FALSE,'Model inputs'!B622),'Model inputs'!AC188,"")</f>
      </c>
    </row>
    <row r="657">
      <c r="A657" t="inlineStr" s="13">
        <is>
          <t xml:space="preserve">Calculation</t>
        </is>
      </c>
      <c r="B657">
        <f>IF(IF('Model inputs'!B623="",FALSE,'Model inputs'!B623),'Model inputs'!AD188,"")</f>
      </c>
    </row>
    <row r="658">
      <c r="A658" t="inlineStr" s="13">
        <is>
          <t xml:space="preserve">Calculation</t>
        </is>
      </c>
      <c r="B658">
        <f>IF(IF('Model inputs'!B624="",FALSE,'Model inputs'!B624),'Model inputs'!AE188,"")</f>
      </c>
    </row>
    <row r="659">
      <c r="A659" t="inlineStr" s="13">
        <is>
          <t xml:space="preserve">Calculation</t>
        </is>
      </c>
      <c r="B659">
        <f>IF(IF('Model inputs'!B625="",FALSE,'Model inputs'!B625),'Model inputs'!AF188,"")</f>
      </c>
    </row>
    <row r="660">
      <c r="A660" t="inlineStr" s="13">
        <is>
          <t xml:space="preserve">Calculation</t>
        </is>
      </c>
      <c r="B660">
        <f>IF(IF('Model inputs'!B626="",FALSE,'Model inputs'!B626),'Model inputs'!AG188,"")</f>
      </c>
    </row>
    <row r="661">
      <c r="A661" t="inlineStr" s="13">
        <is>
          <t xml:space="preserve">Calculation</t>
        </is>
      </c>
      <c r="B661">
        <f>IF(IF('Model inputs'!B627="",FALSE,'Model inputs'!B627),'Model inputs'!AH188,"")</f>
      </c>
    </row>
    <row r="662">
      <c r="A662" t="inlineStr" s="13">
        <is>
          <t xml:space="preserve">Calculation</t>
        </is>
      </c>
      <c r="B662">
        <f>IF(IF('Model inputs'!B628="",FALSE,'Model inputs'!B628),'Model inputs'!AI188,"")</f>
      </c>
    </row>
    <row r="663">
      <c r="A663" t="inlineStr" s="13">
        <is>
          <t xml:space="preserve">Calculation</t>
        </is>
      </c>
      <c r="B663">
        <f>IF(IFERROR(DATE(2026,1,1)&gt;=DATE(2026,11,1)=FALSE,FALSE),FALSE,IF(IFERROR(DATE(2026,1,1)&lt;=DATE(2028,10,1)=FALSE,FALSE),FALSE,IF(IFERROR(IF(ISERROR('Model inputs'!B13&lt;0),'Model inputs'!B13&lt;0,IF('Model inputs'!B13="","",'Model inputs'!B13&lt;0))=FALSE,FALSE),FALSE,IF(IF(ISERROR('Model inputs'!B13&lt;0),'Model inputs'!B13&lt;0,IF('Model inputs'!B13="","",'Model inputs'!B13&lt;0))="","",AND(DATE(2026,1,1)&gt;=DATE(2026,11,1),DATE(2026,1,1)&lt;=DATE(2028,10,1),IF(ISERROR('Model inputs'!B13&lt;0),'Model inputs'!B13&lt;0,IF('Model inputs'!B13="","",'Model inputs'!B13&lt;0)))))))</f>
      </c>
    </row>
    <row r="664">
      <c r="A664" t="inlineStr" s="13">
        <is>
          <t xml:space="preserve">Calculation</t>
        </is>
      </c>
      <c r="B664">
        <f>IF(IFERROR(DATE(2026,2,1)&gt;=DATE(2026,11,1)=FALSE,FALSE),FALSE,IF(IFERROR(DATE(2026,2,1)&lt;=DATE(2028,10,1)=FALSE,FALSE),FALSE,IF(IFERROR(IF(ISERROR('Model inputs'!C13&lt;0),'Model inputs'!C13&lt;0,IF('Model inputs'!C13="","",'Model inputs'!C13&lt;0))=FALSE,FALSE),FALSE,IF(IF(ISERROR('Model inputs'!C13&lt;0),'Model inputs'!C13&lt;0,IF('Model inputs'!C13="","",'Model inputs'!C13&lt;0))="","",AND(DATE(2026,2,1)&gt;=DATE(2026,11,1),DATE(2026,2,1)&lt;=DATE(2028,10,1),IF(ISERROR('Model inputs'!C13&lt;0),'Model inputs'!C13&lt;0,IF('Model inputs'!C13="","",'Model inputs'!C13&lt;0)))))))</f>
      </c>
    </row>
    <row r="665">
      <c r="A665" t="inlineStr" s="13">
        <is>
          <t xml:space="preserve">Calculation</t>
        </is>
      </c>
      <c r="B665">
        <f>IF(IFERROR(DATE(2026,3,1)&gt;=DATE(2026,11,1)=FALSE,FALSE),FALSE,IF(IFERROR(DATE(2026,3,1)&lt;=DATE(2028,10,1)=FALSE,FALSE),FALSE,IF(IFERROR(IF(ISERROR('Model inputs'!D13&lt;0),'Model inputs'!D13&lt;0,IF('Model inputs'!D13="","",'Model inputs'!D13&lt;0))=FALSE,FALSE),FALSE,IF(IF(ISERROR('Model inputs'!D13&lt;0),'Model inputs'!D13&lt;0,IF('Model inputs'!D13="","",'Model inputs'!D13&lt;0))="","",AND(DATE(2026,3,1)&gt;=DATE(2026,11,1),DATE(2026,3,1)&lt;=DATE(2028,10,1),IF(ISERROR('Model inputs'!D13&lt;0),'Model inputs'!D13&lt;0,IF('Model inputs'!D13="","",'Model inputs'!D13&lt;0)))))))</f>
      </c>
    </row>
    <row r="666">
      <c r="A666" t="inlineStr" s="13">
        <is>
          <t xml:space="preserve">Calculation</t>
        </is>
      </c>
      <c r="B666">
        <f>IF(IFERROR(DATE(2026,4,1)&gt;=DATE(2026,11,1)=FALSE,FALSE),FALSE,IF(IFERROR(DATE(2026,4,1)&lt;=DATE(2028,10,1)=FALSE,FALSE),FALSE,IF(IFERROR(IF(ISERROR('Model inputs'!E13&lt;0),'Model inputs'!E13&lt;0,IF('Model inputs'!E13="","",'Model inputs'!E13&lt;0))=FALSE,FALSE),FALSE,IF(IF(ISERROR('Model inputs'!E13&lt;0),'Model inputs'!E13&lt;0,IF('Model inputs'!E13="","",'Model inputs'!E13&lt;0))="","",AND(DATE(2026,4,1)&gt;=DATE(2026,11,1),DATE(2026,4,1)&lt;=DATE(2028,10,1),IF(ISERROR('Model inputs'!E13&lt;0),'Model inputs'!E13&lt;0,IF('Model inputs'!E13="","",'Model inputs'!E13&lt;0)))))))</f>
      </c>
    </row>
    <row r="667">
      <c r="A667" t="inlineStr" s="13">
        <is>
          <t xml:space="preserve">Calculation</t>
        </is>
      </c>
      <c r="B667">
        <f>IF(IFERROR(DATE(2026,5,1)&gt;=DATE(2026,11,1)=FALSE,FALSE),FALSE,IF(IFERROR(DATE(2026,5,1)&lt;=DATE(2028,10,1)=FALSE,FALSE),FALSE,IF(IFERROR(IF(ISERROR('Model inputs'!F13&lt;0),'Model inputs'!F13&lt;0,IF('Model inputs'!F13="","",'Model inputs'!F13&lt;0))=FALSE,FALSE),FALSE,IF(IF(ISERROR('Model inputs'!F13&lt;0),'Model inputs'!F13&lt;0,IF('Model inputs'!F13="","",'Model inputs'!F13&lt;0))="","",AND(DATE(2026,5,1)&gt;=DATE(2026,11,1),DATE(2026,5,1)&lt;=DATE(2028,10,1),IF(ISERROR('Model inputs'!F13&lt;0),'Model inputs'!F13&lt;0,IF('Model inputs'!F13="","",'Model inputs'!F13&lt;0)))))))</f>
      </c>
    </row>
    <row r="668">
      <c r="A668" t="inlineStr" s="13">
        <is>
          <t xml:space="preserve">Calculation</t>
        </is>
      </c>
      <c r="B668">
        <f>IF(IFERROR(DATE(2026,6,1)&gt;=DATE(2026,11,1)=FALSE,FALSE),FALSE,IF(IFERROR(DATE(2026,6,1)&lt;=DATE(2028,10,1)=FALSE,FALSE),FALSE,IF(IFERROR(IF(ISERROR('Model inputs'!G13&lt;0),'Model inputs'!G13&lt;0,IF('Model inputs'!G13="","",'Model inputs'!G13&lt;0))=FALSE,FALSE),FALSE,IF(IF(ISERROR('Model inputs'!G13&lt;0),'Model inputs'!G13&lt;0,IF('Model inputs'!G13="","",'Model inputs'!G13&lt;0))="","",AND(DATE(2026,6,1)&gt;=DATE(2026,11,1),DATE(2026,6,1)&lt;=DATE(2028,10,1),IF(ISERROR('Model inputs'!G13&lt;0),'Model inputs'!G13&lt;0,IF('Model inputs'!G13="","",'Model inputs'!G13&lt;0)))))))</f>
      </c>
    </row>
    <row r="669">
      <c r="A669" t="inlineStr" s="13">
        <is>
          <t xml:space="preserve">Calculation</t>
        </is>
      </c>
      <c r="B669">
        <f>IF(IFERROR(DATE(2026,7,1)&gt;=DATE(2026,11,1)=FALSE,FALSE),FALSE,IF(IFERROR(DATE(2026,7,1)&lt;=DATE(2028,10,1)=FALSE,FALSE),FALSE,IF(IFERROR(IF(ISERROR('Model inputs'!H13&lt;0),'Model inputs'!H13&lt;0,IF('Model inputs'!H13="","",'Model inputs'!H13&lt;0))=FALSE,FALSE),FALSE,IF(IF(ISERROR('Model inputs'!H13&lt;0),'Model inputs'!H13&lt;0,IF('Model inputs'!H13="","",'Model inputs'!H13&lt;0))="","",AND(DATE(2026,7,1)&gt;=DATE(2026,11,1),DATE(2026,7,1)&lt;=DATE(2028,10,1),IF(ISERROR('Model inputs'!H13&lt;0),'Model inputs'!H13&lt;0,IF('Model inputs'!H13="","",'Model inputs'!H13&lt;0)))))))</f>
      </c>
    </row>
    <row r="670">
      <c r="A670" t="inlineStr" s="13">
        <is>
          <t xml:space="preserve">Calculation</t>
        </is>
      </c>
      <c r="B670">
        <f>IF(IFERROR(DATE(2026,8,1)&gt;=DATE(2026,11,1)=FALSE,FALSE),FALSE,IF(IFERROR(DATE(2026,8,1)&lt;=DATE(2028,10,1)=FALSE,FALSE),FALSE,IF(IFERROR(IF(ISERROR('Model inputs'!I13&lt;0),'Model inputs'!I13&lt;0,IF('Model inputs'!I13="","",'Model inputs'!I13&lt;0))=FALSE,FALSE),FALSE,IF(IF(ISERROR('Model inputs'!I13&lt;0),'Model inputs'!I13&lt;0,IF('Model inputs'!I13="","",'Model inputs'!I13&lt;0))="","",AND(DATE(2026,8,1)&gt;=DATE(2026,11,1),DATE(2026,8,1)&lt;=DATE(2028,10,1),IF(ISERROR('Model inputs'!I13&lt;0),'Model inputs'!I13&lt;0,IF('Model inputs'!I13="","",'Model inputs'!I13&lt;0)))))))</f>
      </c>
    </row>
    <row r="671">
      <c r="A671" t="inlineStr" s="13">
        <is>
          <t xml:space="preserve">Calculation</t>
        </is>
      </c>
      <c r="B671">
        <f>IF(IFERROR(DATE(2026,9,1)&gt;=DATE(2026,11,1)=FALSE,FALSE),FALSE,IF(IFERROR(DATE(2026,9,1)&lt;=DATE(2028,10,1)=FALSE,FALSE),FALSE,IF(IFERROR(IF(ISERROR('Model inputs'!J13&lt;0),'Model inputs'!J13&lt;0,IF('Model inputs'!J13="","",'Model inputs'!J13&lt;0))=FALSE,FALSE),FALSE,IF(IF(ISERROR('Model inputs'!J13&lt;0),'Model inputs'!J13&lt;0,IF('Model inputs'!J13="","",'Model inputs'!J13&lt;0))="","",AND(DATE(2026,9,1)&gt;=DATE(2026,11,1),DATE(2026,9,1)&lt;=DATE(2028,10,1),IF(ISERROR('Model inputs'!J13&lt;0),'Model inputs'!J13&lt;0,IF('Model inputs'!J13="","",'Model inputs'!J13&lt;0)))))))</f>
      </c>
    </row>
    <row r="672">
      <c r="A672" t="inlineStr" s="13">
        <is>
          <t xml:space="preserve">Calculation</t>
        </is>
      </c>
      <c r="B672">
        <f>IF(IFERROR(DATE(2026,10,1)&gt;=DATE(2026,11,1)=FALSE,FALSE),FALSE,IF(IFERROR(DATE(2026,10,1)&lt;=DATE(2028,10,1)=FALSE,FALSE),FALSE,IF(IFERROR(IF(ISERROR('Model inputs'!K13&lt;0),'Model inputs'!K13&lt;0,IF('Model inputs'!K13="","",'Model inputs'!K13&lt;0))=FALSE,FALSE),FALSE,IF(IF(ISERROR('Model inputs'!K13&lt;0),'Model inputs'!K13&lt;0,IF('Model inputs'!K13="","",'Model inputs'!K13&lt;0))="","",AND(DATE(2026,10,1)&gt;=DATE(2026,11,1),DATE(2026,10,1)&lt;=DATE(2028,10,1),IF(ISERROR('Model inputs'!K13&lt;0),'Model inputs'!K13&lt;0,IF('Model inputs'!K13="","",'Model inputs'!K13&lt;0)))))))</f>
      </c>
    </row>
    <row r="673">
      <c r="A673" t="inlineStr" s="13">
        <is>
          <t xml:space="preserve">Calculation</t>
        </is>
      </c>
      <c r="B673">
        <f>IF(IFERROR(DATE(2026,11,1)&gt;=DATE(2026,11,1)=FALSE,FALSE),FALSE,IF(IFERROR(DATE(2026,11,1)&lt;=DATE(2028,10,1)=FALSE,FALSE),FALSE,IF(IFERROR(IF(ISERROR('Model inputs'!L13&lt;0),'Model inputs'!L13&lt;0,IF('Model inputs'!L13="","",'Model inputs'!L13&lt;0))=FALSE,FALSE),FALSE,IF(IF(ISERROR('Model inputs'!L13&lt;0),'Model inputs'!L13&lt;0,IF('Model inputs'!L13="","",'Model inputs'!L13&lt;0))="","",AND(DATE(2026,11,1)&gt;=DATE(2026,11,1),DATE(2026,11,1)&lt;=DATE(2028,10,1),IF(ISERROR('Model inputs'!L13&lt;0),'Model inputs'!L13&lt;0,IF('Model inputs'!L13="","",'Model inputs'!L13&lt;0)))))))</f>
      </c>
    </row>
    <row r="674">
      <c r="A674" t="inlineStr" s="13">
        <is>
          <t xml:space="preserve">Calculation</t>
        </is>
      </c>
      <c r="B674">
        <f>IF(IFERROR(DATE(2026,12,1)&gt;=DATE(2026,11,1)=FALSE,FALSE),FALSE,IF(IFERROR(DATE(2026,12,1)&lt;=DATE(2028,10,1)=FALSE,FALSE),FALSE,IF(IFERROR(IF(ISERROR('Model inputs'!M13&lt;0),'Model inputs'!M13&lt;0,IF('Model inputs'!M13="","",'Model inputs'!M13&lt;0))=FALSE,FALSE),FALSE,IF(IF(ISERROR('Model inputs'!M13&lt;0),'Model inputs'!M13&lt;0,IF('Model inputs'!M13="","",'Model inputs'!M13&lt;0))="","",AND(DATE(2026,12,1)&gt;=DATE(2026,11,1),DATE(2026,12,1)&lt;=DATE(2028,10,1),IF(ISERROR('Model inputs'!M13&lt;0),'Model inputs'!M13&lt;0,IF('Model inputs'!M13="","",'Model inputs'!M13&lt;0)))))))</f>
      </c>
    </row>
    <row r="675">
      <c r="A675" t="inlineStr" s="13">
        <is>
          <t xml:space="preserve">Calculation</t>
        </is>
      </c>
      <c r="B675">
        <f>IF(IFERROR(DATE(2027,1,1)&gt;=DATE(2026,11,1)=FALSE,FALSE),FALSE,IF(IFERROR(DATE(2027,1,1)&lt;=DATE(2028,10,1)=FALSE,FALSE),FALSE,IF(IFERROR(IF(ISERROR('Model inputs'!N13&lt;0),'Model inputs'!N13&lt;0,IF('Model inputs'!N13="","",'Model inputs'!N13&lt;0))=FALSE,FALSE),FALSE,IF(IF(ISERROR('Model inputs'!N13&lt;0),'Model inputs'!N13&lt;0,IF('Model inputs'!N13="","",'Model inputs'!N13&lt;0))="","",AND(DATE(2027,1,1)&gt;=DATE(2026,11,1),DATE(2027,1,1)&lt;=DATE(2028,10,1),IF(ISERROR('Model inputs'!N13&lt;0),'Model inputs'!N13&lt;0,IF('Model inputs'!N13="","",'Model inputs'!N13&lt;0)))))))</f>
      </c>
    </row>
    <row r="676">
      <c r="A676" t="inlineStr" s="13">
        <is>
          <t xml:space="preserve">Calculation</t>
        </is>
      </c>
      <c r="B676">
        <f>IF(IFERROR(DATE(2027,2,1)&gt;=DATE(2026,11,1)=FALSE,FALSE),FALSE,IF(IFERROR(DATE(2027,2,1)&lt;=DATE(2028,10,1)=FALSE,FALSE),FALSE,IF(IFERROR(IF(ISERROR('Model inputs'!O13&lt;0),'Model inputs'!O13&lt;0,IF('Model inputs'!O13="","",'Model inputs'!O13&lt;0))=FALSE,FALSE),FALSE,IF(IF(ISERROR('Model inputs'!O13&lt;0),'Model inputs'!O13&lt;0,IF('Model inputs'!O13="","",'Model inputs'!O13&lt;0))="","",AND(DATE(2027,2,1)&gt;=DATE(2026,11,1),DATE(2027,2,1)&lt;=DATE(2028,10,1),IF(ISERROR('Model inputs'!O13&lt;0),'Model inputs'!O13&lt;0,IF('Model inputs'!O13="","",'Model inputs'!O13&lt;0)))))))</f>
      </c>
    </row>
    <row r="677">
      <c r="A677" t="inlineStr" s="13">
        <is>
          <t xml:space="preserve">Calculation</t>
        </is>
      </c>
      <c r="B677">
        <f>IF(IFERROR(DATE(2027,3,1)&gt;=DATE(2026,11,1)=FALSE,FALSE),FALSE,IF(IFERROR(DATE(2027,3,1)&lt;=DATE(2028,10,1)=FALSE,FALSE),FALSE,IF(IFERROR(IF(ISERROR('Model inputs'!P13&lt;0),'Model inputs'!P13&lt;0,IF('Model inputs'!P13="","",'Model inputs'!P13&lt;0))=FALSE,FALSE),FALSE,IF(IF(ISERROR('Model inputs'!P13&lt;0),'Model inputs'!P13&lt;0,IF('Model inputs'!P13="","",'Model inputs'!P13&lt;0))="","",AND(DATE(2027,3,1)&gt;=DATE(2026,11,1),DATE(2027,3,1)&lt;=DATE(2028,10,1),IF(ISERROR('Model inputs'!P13&lt;0),'Model inputs'!P13&lt;0,IF('Model inputs'!P13="","",'Model inputs'!P13&lt;0)))))))</f>
      </c>
    </row>
    <row r="678">
      <c r="A678" t="inlineStr" s="13">
        <is>
          <t xml:space="preserve">Calculation</t>
        </is>
      </c>
      <c r="B678">
        <f>IF(IFERROR(DATE(2027,4,1)&gt;=DATE(2026,11,1)=FALSE,FALSE),FALSE,IF(IFERROR(DATE(2027,4,1)&lt;=DATE(2028,10,1)=FALSE,FALSE),FALSE,IF(IFERROR(IF(ISERROR('Model inputs'!Q13&lt;0),'Model inputs'!Q13&lt;0,IF('Model inputs'!Q13="","",'Model inputs'!Q13&lt;0))=FALSE,FALSE),FALSE,IF(IF(ISERROR('Model inputs'!Q13&lt;0),'Model inputs'!Q13&lt;0,IF('Model inputs'!Q13="","",'Model inputs'!Q13&lt;0))="","",AND(DATE(2027,4,1)&gt;=DATE(2026,11,1),DATE(2027,4,1)&lt;=DATE(2028,10,1),IF(ISERROR('Model inputs'!Q13&lt;0),'Model inputs'!Q13&lt;0,IF('Model inputs'!Q13="","",'Model inputs'!Q13&lt;0)))))))</f>
      </c>
    </row>
    <row r="679">
      <c r="A679" t="inlineStr" s="13">
        <is>
          <t xml:space="preserve">Calculation</t>
        </is>
      </c>
      <c r="B679">
        <f>IF(IFERROR(DATE(2027,5,1)&gt;=DATE(2026,11,1)=FALSE,FALSE),FALSE,IF(IFERROR(DATE(2027,5,1)&lt;=DATE(2028,10,1)=FALSE,FALSE),FALSE,IF(IFERROR(IF(ISERROR('Model inputs'!R13&lt;0),'Model inputs'!R13&lt;0,IF('Model inputs'!R13="","",'Model inputs'!R13&lt;0))=FALSE,FALSE),FALSE,IF(IF(ISERROR('Model inputs'!R13&lt;0),'Model inputs'!R13&lt;0,IF('Model inputs'!R13="","",'Model inputs'!R13&lt;0))="","",AND(DATE(2027,5,1)&gt;=DATE(2026,11,1),DATE(2027,5,1)&lt;=DATE(2028,10,1),IF(ISERROR('Model inputs'!R13&lt;0),'Model inputs'!R13&lt;0,IF('Model inputs'!R13="","",'Model inputs'!R13&lt;0)))))))</f>
      </c>
    </row>
    <row r="680">
      <c r="A680" t="inlineStr" s="13">
        <is>
          <t xml:space="preserve">Calculation</t>
        </is>
      </c>
      <c r="B680">
        <f>IF(IFERROR(DATE(2027,6,1)&gt;=DATE(2026,11,1)=FALSE,FALSE),FALSE,IF(IFERROR(DATE(2027,6,1)&lt;=DATE(2028,10,1)=FALSE,FALSE),FALSE,IF(IFERROR(IF(ISERROR('Model inputs'!S13&lt;0),'Model inputs'!S13&lt;0,IF('Model inputs'!S13="","",'Model inputs'!S13&lt;0))=FALSE,FALSE),FALSE,IF(IF(ISERROR('Model inputs'!S13&lt;0),'Model inputs'!S13&lt;0,IF('Model inputs'!S13="","",'Model inputs'!S13&lt;0))="","",AND(DATE(2027,6,1)&gt;=DATE(2026,11,1),DATE(2027,6,1)&lt;=DATE(2028,10,1),IF(ISERROR('Model inputs'!S13&lt;0),'Model inputs'!S13&lt;0,IF('Model inputs'!S13="","",'Model inputs'!S13&lt;0)))))))</f>
      </c>
    </row>
    <row r="681">
      <c r="A681" t="inlineStr" s="13">
        <is>
          <t xml:space="preserve">Calculation</t>
        </is>
      </c>
      <c r="B681">
        <f>IF(IFERROR(DATE(2027,7,1)&gt;=DATE(2026,11,1)=FALSE,FALSE),FALSE,IF(IFERROR(DATE(2027,7,1)&lt;=DATE(2028,10,1)=FALSE,FALSE),FALSE,IF(IFERROR(IF(ISERROR('Model inputs'!T13&lt;0),'Model inputs'!T13&lt;0,IF('Model inputs'!T13="","",'Model inputs'!T13&lt;0))=FALSE,FALSE),FALSE,IF(IF(ISERROR('Model inputs'!T13&lt;0),'Model inputs'!T13&lt;0,IF('Model inputs'!T13="","",'Model inputs'!T13&lt;0))="","",AND(DATE(2027,7,1)&gt;=DATE(2026,11,1),DATE(2027,7,1)&lt;=DATE(2028,10,1),IF(ISERROR('Model inputs'!T13&lt;0),'Model inputs'!T13&lt;0,IF('Model inputs'!T13="","",'Model inputs'!T13&lt;0)))))))</f>
      </c>
    </row>
    <row r="682">
      <c r="A682" t="inlineStr" s="13">
        <is>
          <t xml:space="preserve">Calculation</t>
        </is>
      </c>
      <c r="B682">
        <f>IF(IFERROR(DATE(2027,8,1)&gt;=DATE(2026,11,1)=FALSE,FALSE),FALSE,IF(IFERROR(DATE(2027,8,1)&lt;=DATE(2028,10,1)=FALSE,FALSE),FALSE,IF(IFERROR(IF(ISERROR('Model inputs'!U13&lt;0),'Model inputs'!U13&lt;0,IF('Model inputs'!U13="","",'Model inputs'!U13&lt;0))=FALSE,FALSE),FALSE,IF(IF(ISERROR('Model inputs'!U13&lt;0),'Model inputs'!U13&lt;0,IF('Model inputs'!U13="","",'Model inputs'!U13&lt;0))="","",AND(DATE(2027,8,1)&gt;=DATE(2026,11,1),DATE(2027,8,1)&lt;=DATE(2028,10,1),IF(ISERROR('Model inputs'!U13&lt;0),'Model inputs'!U13&lt;0,IF('Model inputs'!U13="","",'Model inputs'!U13&lt;0)))))))</f>
      </c>
    </row>
    <row r="683">
      <c r="A683" t="inlineStr" s="13">
        <is>
          <t xml:space="preserve">Calculation</t>
        </is>
      </c>
      <c r="B683">
        <f>IF(IFERROR(DATE(2027,9,1)&gt;=DATE(2026,11,1)=FALSE,FALSE),FALSE,IF(IFERROR(DATE(2027,9,1)&lt;=DATE(2028,10,1)=FALSE,FALSE),FALSE,IF(IFERROR(IF(ISERROR('Model inputs'!V13&lt;0),'Model inputs'!V13&lt;0,IF('Model inputs'!V13="","",'Model inputs'!V13&lt;0))=FALSE,FALSE),FALSE,IF(IF(ISERROR('Model inputs'!V13&lt;0),'Model inputs'!V13&lt;0,IF('Model inputs'!V13="","",'Model inputs'!V13&lt;0))="","",AND(DATE(2027,9,1)&gt;=DATE(2026,11,1),DATE(2027,9,1)&lt;=DATE(2028,10,1),IF(ISERROR('Model inputs'!V13&lt;0),'Model inputs'!V13&lt;0,IF('Model inputs'!V13="","",'Model inputs'!V13&lt;0)))))))</f>
      </c>
    </row>
    <row r="684">
      <c r="A684" t="inlineStr" s="13">
        <is>
          <t xml:space="preserve">Calculation</t>
        </is>
      </c>
      <c r="B684">
        <f>IF(IFERROR(DATE(2027,10,1)&gt;=DATE(2026,11,1)=FALSE,FALSE),FALSE,IF(IFERROR(DATE(2027,10,1)&lt;=DATE(2028,10,1)=FALSE,FALSE),FALSE,IF(IFERROR(IF(ISERROR('Model inputs'!W13&lt;0),'Model inputs'!W13&lt;0,IF('Model inputs'!W13="","",'Model inputs'!W13&lt;0))=FALSE,FALSE),FALSE,IF(IF(ISERROR('Model inputs'!W13&lt;0),'Model inputs'!W13&lt;0,IF('Model inputs'!W13="","",'Model inputs'!W13&lt;0))="","",AND(DATE(2027,10,1)&gt;=DATE(2026,11,1),DATE(2027,10,1)&lt;=DATE(2028,10,1),IF(ISERROR('Model inputs'!W13&lt;0),'Model inputs'!W13&lt;0,IF('Model inputs'!W13="","",'Model inputs'!W13&lt;0)))))))</f>
      </c>
    </row>
    <row r="685">
      <c r="A685" t="inlineStr" s="13">
        <is>
          <t xml:space="preserve">Calculation</t>
        </is>
      </c>
      <c r="B685">
        <f>IF(IFERROR(DATE(2027,11,1)&gt;=DATE(2026,11,1)=FALSE,FALSE),FALSE,IF(IFERROR(DATE(2027,11,1)&lt;=DATE(2028,10,1)=FALSE,FALSE),FALSE,IF(IFERROR(IF(ISERROR('Model inputs'!X13&lt;0),'Model inputs'!X13&lt;0,IF('Model inputs'!X13="","",'Model inputs'!X13&lt;0))=FALSE,FALSE),FALSE,IF(IF(ISERROR('Model inputs'!X13&lt;0),'Model inputs'!X13&lt;0,IF('Model inputs'!X13="","",'Model inputs'!X13&lt;0))="","",AND(DATE(2027,11,1)&gt;=DATE(2026,11,1),DATE(2027,11,1)&lt;=DATE(2028,10,1),IF(ISERROR('Model inputs'!X13&lt;0),'Model inputs'!X13&lt;0,IF('Model inputs'!X13="","",'Model inputs'!X13&lt;0)))))))</f>
      </c>
    </row>
    <row r="686">
      <c r="A686" t="inlineStr" s="13">
        <is>
          <t xml:space="preserve">Calculation</t>
        </is>
      </c>
      <c r="B686">
        <f>IF(IFERROR(DATE(2027,12,1)&gt;=DATE(2026,11,1)=FALSE,FALSE),FALSE,IF(IFERROR(DATE(2027,12,1)&lt;=DATE(2028,10,1)=FALSE,FALSE),FALSE,IF(IFERROR(IF(ISERROR('Model inputs'!Y13&lt;0),'Model inputs'!Y13&lt;0,IF('Model inputs'!Y13="","",'Model inputs'!Y13&lt;0))=FALSE,FALSE),FALSE,IF(IF(ISERROR('Model inputs'!Y13&lt;0),'Model inputs'!Y13&lt;0,IF('Model inputs'!Y13="","",'Model inputs'!Y13&lt;0))="","",AND(DATE(2027,12,1)&gt;=DATE(2026,11,1),DATE(2027,12,1)&lt;=DATE(2028,10,1),IF(ISERROR('Model inputs'!Y13&lt;0),'Model inputs'!Y13&lt;0,IF('Model inputs'!Y13="","",'Model inputs'!Y13&lt;0)))))))</f>
      </c>
    </row>
    <row r="687">
      <c r="A687" t="inlineStr" s="13">
        <is>
          <t xml:space="preserve">Calculation</t>
        </is>
      </c>
      <c r="B687">
        <f>IF(IFERROR(DATE(2028,1,1)&gt;=DATE(2026,11,1)=FALSE,FALSE),FALSE,IF(IFERROR(DATE(2028,1,1)&lt;=DATE(2028,10,1)=FALSE,FALSE),FALSE,IF(IFERROR(IF(ISERROR('Model inputs'!Z13&lt;0),'Model inputs'!Z13&lt;0,IF('Model inputs'!Z13="","",'Model inputs'!Z13&lt;0))=FALSE,FALSE),FALSE,IF(IF(ISERROR('Model inputs'!Z13&lt;0),'Model inputs'!Z13&lt;0,IF('Model inputs'!Z13="","",'Model inputs'!Z13&lt;0))="","",AND(DATE(2028,1,1)&gt;=DATE(2026,11,1),DATE(2028,1,1)&lt;=DATE(2028,10,1),IF(ISERROR('Model inputs'!Z13&lt;0),'Model inputs'!Z13&lt;0,IF('Model inputs'!Z13="","",'Model inputs'!Z13&lt;0)))))))</f>
      </c>
    </row>
    <row r="688">
      <c r="A688" t="inlineStr" s="13">
        <is>
          <t xml:space="preserve">Calculation</t>
        </is>
      </c>
      <c r="B688">
        <f>IF(IFERROR(DATE(2028,2,1)&gt;=DATE(2026,11,1)=FALSE,FALSE),FALSE,IF(IFERROR(DATE(2028,2,1)&lt;=DATE(2028,10,1)=FALSE,FALSE),FALSE,IF(IFERROR(IF(ISERROR('Model inputs'!AA13&lt;0),'Model inputs'!AA13&lt;0,IF('Model inputs'!AA13="","",'Model inputs'!AA13&lt;0))=FALSE,FALSE),FALSE,IF(IF(ISERROR('Model inputs'!AA13&lt;0),'Model inputs'!AA13&lt;0,IF('Model inputs'!AA13="","",'Model inputs'!AA13&lt;0))="","",AND(DATE(2028,2,1)&gt;=DATE(2026,11,1),DATE(2028,2,1)&lt;=DATE(2028,10,1),IF(ISERROR('Model inputs'!AA13&lt;0),'Model inputs'!AA13&lt;0,IF('Model inputs'!AA13="","",'Model inputs'!AA13&lt;0)))))))</f>
      </c>
    </row>
    <row r="689">
      <c r="A689" t="inlineStr" s="13">
        <is>
          <t xml:space="preserve">Calculation</t>
        </is>
      </c>
      <c r="B689">
        <f>IF(IFERROR(DATE(2028,3,1)&gt;=DATE(2026,11,1)=FALSE,FALSE),FALSE,IF(IFERROR(DATE(2028,3,1)&lt;=DATE(2028,10,1)=FALSE,FALSE),FALSE,IF(IFERROR(IF(ISERROR('Model inputs'!AB13&lt;0),'Model inputs'!AB13&lt;0,IF('Model inputs'!AB13="","",'Model inputs'!AB13&lt;0))=FALSE,FALSE),FALSE,IF(IF(ISERROR('Model inputs'!AB13&lt;0),'Model inputs'!AB13&lt;0,IF('Model inputs'!AB13="","",'Model inputs'!AB13&lt;0))="","",AND(DATE(2028,3,1)&gt;=DATE(2026,11,1),DATE(2028,3,1)&lt;=DATE(2028,10,1),IF(ISERROR('Model inputs'!AB13&lt;0),'Model inputs'!AB13&lt;0,IF('Model inputs'!AB13="","",'Model inputs'!AB13&lt;0)))))))</f>
      </c>
    </row>
    <row r="690">
      <c r="A690" t="inlineStr" s="13">
        <is>
          <t xml:space="preserve">Calculation</t>
        </is>
      </c>
      <c r="B690">
        <f>IF(IFERROR(DATE(2028,4,1)&gt;=DATE(2026,11,1)=FALSE,FALSE),FALSE,IF(IFERROR(DATE(2028,4,1)&lt;=DATE(2028,10,1)=FALSE,FALSE),FALSE,IF(IFERROR(IF(ISERROR('Model inputs'!AC13&lt;0),'Model inputs'!AC13&lt;0,IF('Model inputs'!AC13="","",'Model inputs'!AC13&lt;0))=FALSE,FALSE),FALSE,IF(IF(ISERROR('Model inputs'!AC13&lt;0),'Model inputs'!AC13&lt;0,IF('Model inputs'!AC13="","",'Model inputs'!AC13&lt;0))="","",AND(DATE(2028,4,1)&gt;=DATE(2026,11,1),DATE(2028,4,1)&lt;=DATE(2028,10,1),IF(ISERROR('Model inputs'!AC13&lt;0),'Model inputs'!AC13&lt;0,IF('Model inputs'!AC13="","",'Model inputs'!AC13&lt;0)))))))</f>
      </c>
    </row>
    <row r="691">
      <c r="A691" t="inlineStr" s="13">
        <is>
          <t xml:space="preserve">Calculation</t>
        </is>
      </c>
      <c r="B691">
        <f>IF(IFERROR(DATE(2028,5,1)&gt;=DATE(2026,11,1)=FALSE,FALSE),FALSE,IF(IFERROR(DATE(2028,5,1)&lt;=DATE(2028,10,1)=FALSE,FALSE),FALSE,IF(IFERROR(IF(ISERROR('Model inputs'!AD13&lt;0),'Model inputs'!AD13&lt;0,IF('Model inputs'!AD13="","",'Model inputs'!AD13&lt;0))=FALSE,FALSE),FALSE,IF(IF(ISERROR('Model inputs'!AD13&lt;0),'Model inputs'!AD13&lt;0,IF('Model inputs'!AD13="","",'Model inputs'!AD13&lt;0))="","",AND(DATE(2028,5,1)&gt;=DATE(2026,11,1),DATE(2028,5,1)&lt;=DATE(2028,10,1),IF(ISERROR('Model inputs'!AD13&lt;0),'Model inputs'!AD13&lt;0,IF('Model inputs'!AD13="","",'Model inputs'!AD13&lt;0)))))))</f>
      </c>
    </row>
    <row r="692">
      <c r="A692" t="inlineStr" s="13">
        <is>
          <t xml:space="preserve">Calculation</t>
        </is>
      </c>
      <c r="B692">
        <f>IF(IFERROR(DATE(2028,6,1)&gt;=DATE(2026,11,1)=FALSE,FALSE),FALSE,IF(IFERROR(DATE(2028,6,1)&lt;=DATE(2028,10,1)=FALSE,FALSE),FALSE,IF(IFERROR(IF(ISERROR('Model inputs'!AE13&lt;0),'Model inputs'!AE13&lt;0,IF('Model inputs'!AE13="","",'Model inputs'!AE13&lt;0))=FALSE,FALSE),FALSE,IF(IF(ISERROR('Model inputs'!AE13&lt;0),'Model inputs'!AE13&lt;0,IF('Model inputs'!AE13="","",'Model inputs'!AE13&lt;0))="","",AND(DATE(2028,6,1)&gt;=DATE(2026,11,1),DATE(2028,6,1)&lt;=DATE(2028,10,1),IF(ISERROR('Model inputs'!AE13&lt;0),'Model inputs'!AE13&lt;0,IF('Model inputs'!AE13="","",'Model inputs'!AE13&lt;0)))))))</f>
      </c>
    </row>
    <row r="693">
      <c r="A693" t="inlineStr" s="13">
        <is>
          <t xml:space="preserve">Calculation</t>
        </is>
      </c>
      <c r="B693">
        <f>IF(IFERROR(DATE(2028,7,1)&gt;=DATE(2026,11,1)=FALSE,FALSE),FALSE,IF(IFERROR(DATE(2028,7,1)&lt;=DATE(2028,10,1)=FALSE,FALSE),FALSE,IF(IFERROR(IF(ISERROR('Model inputs'!AF13&lt;0),'Model inputs'!AF13&lt;0,IF('Model inputs'!AF13="","",'Model inputs'!AF13&lt;0))=FALSE,FALSE),FALSE,IF(IF(ISERROR('Model inputs'!AF13&lt;0),'Model inputs'!AF13&lt;0,IF('Model inputs'!AF13="","",'Model inputs'!AF13&lt;0))="","",AND(DATE(2028,7,1)&gt;=DATE(2026,11,1),DATE(2028,7,1)&lt;=DATE(2028,10,1),IF(ISERROR('Model inputs'!AF13&lt;0),'Model inputs'!AF13&lt;0,IF('Model inputs'!AF13="","",'Model inputs'!AF13&lt;0)))))))</f>
      </c>
    </row>
    <row r="694">
      <c r="A694" t="inlineStr" s="13">
        <is>
          <t xml:space="preserve">Calculation</t>
        </is>
      </c>
      <c r="B694">
        <f>IF(IFERROR(DATE(2028,8,1)&gt;=DATE(2026,11,1)=FALSE,FALSE),FALSE,IF(IFERROR(DATE(2028,8,1)&lt;=DATE(2028,10,1)=FALSE,FALSE),FALSE,IF(IFERROR(IF(ISERROR('Model inputs'!AG13&lt;0),'Model inputs'!AG13&lt;0,IF('Model inputs'!AG13="","",'Model inputs'!AG13&lt;0))=FALSE,FALSE),FALSE,IF(IF(ISERROR('Model inputs'!AG13&lt;0),'Model inputs'!AG13&lt;0,IF('Model inputs'!AG13="","",'Model inputs'!AG13&lt;0))="","",AND(DATE(2028,8,1)&gt;=DATE(2026,11,1),DATE(2028,8,1)&lt;=DATE(2028,10,1),IF(ISERROR('Model inputs'!AG13&lt;0),'Model inputs'!AG13&lt;0,IF('Model inputs'!AG13="","",'Model inputs'!AG13&lt;0)))))))</f>
      </c>
    </row>
    <row r="695">
      <c r="A695" t="inlineStr" s="13">
        <is>
          <t xml:space="preserve">Calculation</t>
        </is>
      </c>
      <c r="B695">
        <f>IF(IFERROR(DATE(2028,9,1)&gt;=DATE(2026,11,1)=FALSE,FALSE),FALSE,IF(IFERROR(DATE(2028,9,1)&lt;=DATE(2028,10,1)=FALSE,FALSE),FALSE,IF(IFERROR(IF(ISERROR('Model inputs'!AH13&lt;0),'Model inputs'!AH13&lt;0,IF('Model inputs'!AH13="","",'Model inputs'!AH13&lt;0))=FALSE,FALSE),FALSE,IF(IF(ISERROR('Model inputs'!AH13&lt;0),'Model inputs'!AH13&lt;0,IF('Model inputs'!AH13="","",'Model inputs'!AH13&lt;0))="","",AND(DATE(2028,9,1)&gt;=DATE(2026,11,1),DATE(2028,9,1)&lt;=DATE(2028,10,1),IF(ISERROR('Model inputs'!AH13&lt;0),'Model inputs'!AH13&lt;0,IF('Model inputs'!AH13="","",'Model inputs'!AH13&lt;0)))))))</f>
      </c>
    </row>
    <row r="696">
      <c r="A696" t="inlineStr" s="13">
        <is>
          <t xml:space="preserve">Calculation</t>
        </is>
      </c>
      <c r="B696">
        <f>IF(IFERROR(DATE(2028,10,1)&gt;=DATE(2026,11,1)=FALSE,FALSE),FALSE,IF(IFERROR(DATE(2028,10,1)&lt;=DATE(2028,10,1)=FALSE,FALSE),FALSE,IF(IFERROR(IF(ISERROR('Model inputs'!AI13&lt;0),'Model inputs'!AI13&lt;0,IF('Model inputs'!AI13="","",'Model inputs'!AI13&lt;0))=FALSE,FALSE),FALSE,IF(IF(ISERROR('Model inputs'!AI13&lt;0),'Model inputs'!AI13&lt;0,IF('Model inputs'!AI13="","",'Model inputs'!AI13&lt;0))="","",AND(DATE(2028,10,1)&gt;=DATE(2026,11,1),DATE(2028,10,1)&lt;=DATE(2028,10,1),IF(ISERROR('Model inputs'!AI13&lt;0),'Model inputs'!AI13&lt;0,IF('Model inputs'!AI13="","",'Model inputs'!AI13&lt;0)))))))</f>
      </c>
    </row>
    <row r="697">
      <c r="A697" t="inlineStr" s="13">
        <is>
          <t xml:space="preserve">Calculation</t>
        </is>
      </c>
      <c r="B697">
        <f>IF(IF('Model inputs'!B663="",FALSE,'Model inputs'!B663),'Model inputs'!B187,"")</f>
      </c>
    </row>
    <row r="698">
      <c r="A698" t="inlineStr" s="13">
        <is>
          <t xml:space="preserve">Calculation</t>
        </is>
      </c>
      <c r="B698">
        <f>IF(IF('Model inputs'!B664="",FALSE,'Model inputs'!B664),'Model inputs'!C187,"")</f>
      </c>
    </row>
    <row r="699">
      <c r="A699" t="inlineStr" s="13">
        <is>
          <t xml:space="preserve">Calculation</t>
        </is>
      </c>
      <c r="B699">
        <f>IF(IF('Model inputs'!B665="",FALSE,'Model inputs'!B665),'Model inputs'!D187,"")</f>
      </c>
    </row>
    <row r="700">
      <c r="A700" t="inlineStr" s="13">
        <is>
          <t xml:space="preserve">Calculation</t>
        </is>
      </c>
      <c r="B700">
        <f>IF(IF('Model inputs'!B666="",FALSE,'Model inputs'!B666),'Model inputs'!E187,"")</f>
      </c>
    </row>
    <row r="701">
      <c r="A701" t="inlineStr" s="13">
        <is>
          <t xml:space="preserve">Calculation</t>
        </is>
      </c>
      <c r="B701">
        <f>IF(IF('Model inputs'!B667="",FALSE,'Model inputs'!B667),'Model inputs'!F187,"")</f>
      </c>
    </row>
    <row r="702">
      <c r="A702" t="inlineStr" s="13">
        <is>
          <t xml:space="preserve">Calculation</t>
        </is>
      </c>
      <c r="B702">
        <f>IF(IF('Model inputs'!B668="",FALSE,'Model inputs'!B668),'Model inputs'!G187,"")</f>
      </c>
    </row>
    <row r="703">
      <c r="A703" t="inlineStr" s="13">
        <is>
          <t xml:space="preserve">Calculation</t>
        </is>
      </c>
      <c r="B703">
        <f>IF(IF('Model inputs'!B669="",FALSE,'Model inputs'!B669),'Model inputs'!H187,"")</f>
      </c>
    </row>
    <row r="704">
      <c r="A704" t="inlineStr" s="13">
        <is>
          <t xml:space="preserve">Calculation</t>
        </is>
      </c>
      <c r="B704">
        <f>IF(IF('Model inputs'!B670="",FALSE,'Model inputs'!B670),'Model inputs'!I187,"")</f>
      </c>
    </row>
    <row r="705">
      <c r="A705" t="inlineStr" s="13">
        <is>
          <t xml:space="preserve">Calculation</t>
        </is>
      </c>
      <c r="B705">
        <f>IF(IF('Model inputs'!B671="",FALSE,'Model inputs'!B671),'Model inputs'!J187,"")</f>
      </c>
    </row>
    <row r="706">
      <c r="A706" t="inlineStr" s="13">
        <is>
          <t xml:space="preserve">Calculation</t>
        </is>
      </c>
      <c r="B706">
        <f>IF(IF('Model inputs'!B672="",FALSE,'Model inputs'!B672),'Model inputs'!K187,"")</f>
      </c>
    </row>
    <row r="707">
      <c r="A707" t="inlineStr" s="13">
        <is>
          <t xml:space="preserve">Calculation</t>
        </is>
      </c>
      <c r="B707">
        <f>IF(IF('Model inputs'!B673="",FALSE,'Model inputs'!B673),'Model inputs'!L187,"")</f>
      </c>
    </row>
    <row r="708">
      <c r="A708" t="inlineStr" s="13">
        <is>
          <t xml:space="preserve">Calculation</t>
        </is>
      </c>
      <c r="B708">
        <f>IF(IF('Model inputs'!B674="",FALSE,'Model inputs'!B674),'Model inputs'!M187,"")</f>
      </c>
    </row>
    <row r="709">
      <c r="A709" t="inlineStr" s="13">
        <is>
          <t xml:space="preserve">Calculation</t>
        </is>
      </c>
      <c r="B709">
        <f>IF(IF('Model inputs'!B675="",FALSE,'Model inputs'!B675),'Model inputs'!N187,"")</f>
      </c>
    </row>
    <row r="710">
      <c r="A710" t="inlineStr" s="13">
        <is>
          <t xml:space="preserve">Calculation</t>
        </is>
      </c>
      <c r="B710">
        <f>IF(IF('Model inputs'!B676="",FALSE,'Model inputs'!B676),'Model inputs'!O187,"")</f>
      </c>
    </row>
    <row r="711">
      <c r="A711" t="inlineStr" s="13">
        <is>
          <t xml:space="preserve">Calculation</t>
        </is>
      </c>
      <c r="B711">
        <f>IF(IF('Model inputs'!B677="",FALSE,'Model inputs'!B677),'Model inputs'!P187,"")</f>
      </c>
    </row>
    <row r="712">
      <c r="A712" t="inlineStr" s="13">
        <is>
          <t xml:space="preserve">Calculation</t>
        </is>
      </c>
      <c r="B712">
        <f>IF(IF('Model inputs'!B678="",FALSE,'Model inputs'!B678),'Model inputs'!Q187,"")</f>
      </c>
    </row>
    <row r="713">
      <c r="A713" t="inlineStr" s="13">
        <is>
          <t xml:space="preserve">Calculation</t>
        </is>
      </c>
      <c r="B713">
        <f>IF(IF('Model inputs'!B679="",FALSE,'Model inputs'!B679),'Model inputs'!R187,"")</f>
      </c>
    </row>
    <row r="714">
      <c r="A714" t="inlineStr" s="13">
        <is>
          <t xml:space="preserve">Calculation</t>
        </is>
      </c>
      <c r="B714">
        <f>IF(IF('Model inputs'!B680="",FALSE,'Model inputs'!B680),'Model inputs'!S187,"")</f>
      </c>
    </row>
    <row r="715">
      <c r="A715" t="inlineStr" s="13">
        <is>
          <t xml:space="preserve">Calculation</t>
        </is>
      </c>
      <c r="B715">
        <f>IF(IF('Model inputs'!B681="",FALSE,'Model inputs'!B681),'Model inputs'!T187,"")</f>
      </c>
    </row>
    <row r="716">
      <c r="A716" t="inlineStr" s="13">
        <is>
          <t xml:space="preserve">Calculation</t>
        </is>
      </c>
      <c r="B716">
        <f>IF(IF('Model inputs'!B682="",FALSE,'Model inputs'!B682),'Model inputs'!U187,"")</f>
      </c>
    </row>
    <row r="717">
      <c r="A717" t="inlineStr" s="13">
        <is>
          <t xml:space="preserve">Calculation</t>
        </is>
      </c>
      <c r="B717">
        <f>IF(IF('Model inputs'!B683="",FALSE,'Model inputs'!B683),'Model inputs'!V187,"")</f>
      </c>
    </row>
    <row r="718">
      <c r="A718" t="inlineStr" s="13">
        <is>
          <t xml:space="preserve">Calculation</t>
        </is>
      </c>
      <c r="B718">
        <f>IF(IF('Model inputs'!B684="",FALSE,'Model inputs'!B684),'Model inputs'!W187,"")</f>
      </c>
    </row>
    <row r="719">
      <c r="A719" t="inlineStr" s="13">
        <is>
          <t xml:space="preserve">Calculation</t>
        </is>
      </c>
      <c r="B719">
        <f>IF(IF('Model inputs'!B685="",FALSE,'Model inputs'!B685),'Model inputs'!X187,"")</f>
      </c>
    </row>
    <row r="720">
      <c r="A720" t="inlineStr" s="13">
        <is>
          <t xml:space="preserve">Calculation</t>
        </is>
      </c>
      <c r="B720">
        <f>IF(IF('Model inputs'!B686="",FALSE,'Model inputs'!B686),'Model inputs'!Y187,"")</f>
      </c>
    </row>
    <row r="721">
      <c r="A721" t="inlineStr" s="13">
        <is>
          <t xml:space="preserve">Calculation</t>
        </is>
      </c>
      <c r="B721">
        <f>IF(IF('Model inputs'!B687="",FALSE,'Model inputs'!B687),'Model inputs'!Z187,"")</f>
      </c>
    </row>
    <row r="722">
      <c r="A722" t="inlineStr" s="13">
        <is>
          <t xml:space="preserve">Calculation</t>
        </is>
      </c>
      <c r="B722">
        <f>IF(IF('Model inputs'!B688="",FALSE,'Model inputs'!B688),'Model inputs'!AA187,"")</f>
      </c>
    </row>
    <row r="723">
      <c r="A723" t="inlineStr" s="13">
        <is>
          <t xml:space="preserve">Calculation</t>
        </is>
      </c>
      <c r="B723">
        <f>IF(IF('Model inputs'!B689="",FALSE,'Model inputs'!B689),'Model inputs'!AB187,"")</f>
      </c>
    </row>
    <row r="724">
      <c r="A724" t="inlineStr" s="13">
        <is>
          <t xml:space="preserve">Calculation</t>
        </is>
      </c>
      <c r="B724">
        <f>IF(IF('Model inputs'!B690="",FALSE,'Model inputs'!B690),'Model inputs'!AC187,"")</f>
      </c>
    </row>
    <row r="725">
      <c r="A725" t="inlineStr" s="13">
        <is>
          <t xml:space="preserve">Calculation</t>
        </is>
      </c>
      <c r="B725">
        <f>IF(IF('Model inputs'!B691="",FALSE,'Model inputs'!B691),'Model inputs'!AD187,"")</f>
      </c>
    </row>
    <row r="726">
      <c r="A726" t="inlineStr" s="13">
        <is>
          <t xml:space="preserve">Calculation</t>
        </is>
      </c>
      <c r="B726">
        <f>IF(IF('Model inputs'!B692="",FALSE,'Model inputs'!B692),'Model inputs'!AE187,"")</f>
      </c>
    </row>
    <row r="727">
      <c r="A727" t="inlineStr" s="13">
        <is>
          <t xml:space="preserve">Calculation</t>
        </is>
      </c>
      <c r="B727">
        <f>IF(IF('Model inputs'!B693="",FALSE,'Model inputs'!B693),'Model inputs'!AF187,"")</f>
      </c>
    </row>
    <row r="728">
      <c r="A728" t="inlineStr" s="13">
        <is>
          <t xml:space="preserve">Calculation</t>
        </is>
      </c>
      <c r="B728">
        <f>IF(IF('Model inputs'!B694="",FALSE,'Model inputs'!B694),'Model inputs'!AG187,"")</f>
      </c>
    </row>
    <row r="729">
      <c r="A729" t="inlineStr" s="13">
        <is>
          <t xml:space="preserve">Calculation</t>
        </is>
      </c>
      <c r="B729">
        <f>IF(IF('Model inputs'!B695="",FALSE,'Model inputs'!B695),'Model inputs'!AH187,"")</f>
      </c>
    </row>
    <row r="730">
      <c r="A730" t="inlineStr" s="13">
        <is>
          <t xml:space="preserve">Calculation</t>
        </is>
      </c>
      <c r="B730">
        <f>IF(IF('Model inputs'!B696="",FALSE,'Model inputs'!B696),'Model inputs'!AI187,"")</f>
      </c>
    </row>
  </sheetData>
  <mergeCells count="2">
    <mergeCell ref="A1:AK1"/>
    <mergeCell ref="A2:AK2"/>
  </mergeCells>
</worksheet>
</file>

<file path=xl/worksheets/sheet3.xml><?xml version="1.0" encoding="utf-8"?>
<worksheet xmlns="http://schemas.openxmlformats.org/spreadsheetml/2006/main">
  <dimension ref="A1:F7"/>
  <sheetViews>
    <sheetView showGridLines="0" workbookViewId="0">
      <pane xSplit="0" ySplit="4" topLeftCell="A5" activePane="bottomRight" state="frozen"/>
      <selection pane="bottomRight" activeCell="A5" sqref="A5"/>
    </sheetView>
  </sheetViews>
  <sheetFormatPr defaultRowHeight="18"/>
  <cols>
    <col min="1" max="1" width="32" customWidth="1"/>
    <col min="2" max="2" width="10" customWidth="1"/>
    <col min="3" max="3" width="36" customWidth="1"/>
    <col min="4" max="4" width="14" customWidth="1"/>
    <col min="5" max="5" width="24" customWidth="1"/>
    <col min="6" max="6" width="80" customWidth="1"/>
  </cols>
  <sheetData>
    <row r="1" ht="32" customHeight="1">
      <c r="A1" t="inlineStr" s="1">
        <is>
          <t xml:space="preserve">Export notes</t>
        </is>
      </c>
    </row>
    <row r="2" ht="20" customHeight="1">
      <c r="A2" t="inlineStr" s="2">
        <is>
          <t xml:space="preserve">These cells hold the value cfo.ai calculated instead of a formula. They do not recalculate when you edit an input.</t>
        </is>
      </c>
    </row>
    <row r="4" ht="22" customHeight="1">
      <c r="A4" t="inlineStr" s="3">
        <is>
          <t xml:space="preserve">Sheet</t>
        </is>
      </c>
      <c r="B4" t="inlineStr" s="3">
        <is>
          <t xml:space="preserve">Cell</t>
        </is>
      </c>
      <c r="C4" t="inlineStr" s="3">
        <is>
          <t xml:space="preserve">Variable</t>
        </is>
      </c>
      <c r="D4" t="inlineStr" s="3">
        <is>
          <t xml:space="preserve">Period</t>
        </is>
      </c>
      <c r="E4" t="inlineStr" s="3">
        <is>
          <t xml:space="preserve">Scenario</t>
        </is>
      </c>
      <c r="F4" t="inlineStr" s="3">
        <is>
          <t xml:space="preserve">Why</t>
        </is>
      </c>
    </row>
    <row r="5">
      <c r="A5" t="inlineStr" s="15">
        <is>
          <t xml:space="preserve">Haq — Three-scenario comparison</t>
        </is>
      </c>
      <c r="B5" t="inlineStr" s="15">
        <is>
          <t xml:space="preserve">B5</t>
        </is>
      </c>
      <c r="C5" t="inlineStr" s="15">
        <is>
          <t xml:space="preserve">Haq Sustained break-even month</t>
        </is>
      </c>
      <c r="D5" t="inlineStr" s="15">
        <is>
          <t xml:space="preserve"/>
        </is>
      </c>
      <c r="E5" t="inlineStr" s="15">
        <is>
          <t xml:space="preserve">Main Scenario</t>
        </is>
      </c>
      <c r="F5" t="inlineStr" s="15">
        <is>
          <t xml:space="preserve">It reads Haq Future minimum profit at 2028-01, which this workbook does not contain.</t>
        </is>
      </c>
    </row>
    <row r="6">
      <c r="A6" t="inlineStr" s="15">
        <is>
          <t xml:space="preserve">Haq — Three-scenario comparison</t>
        </is>
      </c>
      <c r="B6" t="inlineStr" s="15">
        <is>
          <t xml:space="preserve">C5</t>
        </is>
      </c>
      <c r="C6" t="inlineStr" s="15">
        <is>
          <t xml:space="preserve">Haq Sustained break-even month</t>
        </is>
      </c>
      <c r="D6" t="inlineStr" s="15">
        <is>
          <t xml:space="preserve"/>
        </is>
      </c>
      <c r="E6" t="inlineStr" s="15">
        <is>
          <t xml:space="preserve">Conservative</t>
        </is>
      </c>
      <c r="F6" t="inlineStr" s="15">
        <is>
          <t xml:space="preserve">It reads Haq Future minimum profit at 2028-01, which this workbook does not contain.</t>
        </is>
      </c>
    </row>
    <row r="7">
      <c r="A7" t="inlineStr" s="15">
        <is>
          <t xml:space="preserve">Haq — Three-scenario comparison</t>
        </is>
      </c>
      <c r="B7" t="inlineStr" s="15">
        <is>
          <t xml:space="preserve">D5</t>
        </is>
      </c>
      <c r="C7" t="inlineStr" s="15">
        <is>
          <t xml:space="preserve">Haq Sustained break-even month</t>
        </is>
      </c>
      <c r="D7" t="inlineStr" s="15">
        <is>
          <t xml:space="preserve"/>
        </is>
      </c>
      <c r="E7" t="inlineStr" s="15">
        <is>
          <t xml:space="preserve">Growth</t>
        </is>
      </c>
      <c r="F7" t="inlineStr" s="15">
        <is>
          <t xml:space="preserve">It reads Haq Future minimum profit at 2028-01, which this workbook does not contain.</t>
        </is>
      </c>
    </row>
  </sheetData>
  <mergeCells count="2">
    <mergeCell ref="A1:F1"/>
    <mergeCell ref="A2:F2"/>
  </mergeCells>
</worksheet>
</file>