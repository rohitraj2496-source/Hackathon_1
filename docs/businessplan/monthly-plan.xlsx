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Haq — Monthly P&amp;L and cash" sheetId="1" r:id="rId1"/>
    <sheet name="Model inputs" sheetId="2" r:id="rId2"/>
  </sheets>
  <calcPr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;(#,##0)"/>
    <numFmt numFmtId="165" formatCode="&quot;INR &quot;#,##0;(&quot;INR &quot;#,##0)"/>
    <numFmt numFmtId="166" formatCode="0.0%"/>
    <numFmt numFmtId="167" formatCode="#,##0.###;(#,##0.###)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left"/>
    </xf>
    <xf numFmtId="164" fontId="3" fillId="5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5" fontId="0" fillId="0" borderId="0" xfId="0" applyNumberFormat="1" applyAlignment="1">
      <alignment vertical="center" horizontal="right"/>
    </xf>
    <xf numFmtId="164" fontId="0" fillId="0" borderId="0" xfId="0" applyNumberFormat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5" fontId="3" fillId="5" borderId="1" xfId="0" applyNumberFormat="1" applyFill="1" applyFont="1" applyBorder="1" applyAlignment="1">
      <alignment vertical="center" horizontal="right"/>
    </xf>
    <xf numFmtId="0" fontId="3" fillId="5" borderId="1" xfId="0" applyFill="1" applyFont="1" applyBorder="1"/>
    <xf numFmtId="0" fontId="3" fillId="6" borderId="0" xfId="0" applyFill="1" applyFont="1" applyAlignment="1">
      <alignment vertical="center" horizontal="left"/>
    </xf>
    <xf numFmtId="167" fontId="0" fillId="0" borderId="0" xfId="0" applyNumberFormat="1" applyAlignment="1">
      <alignment vertical="center" horizontal="right"/>
    </xf>
    <xf numFmtId="167" fontId="3" fillId="5" borderId="1" xfId="0" applyNumberFormat="1" applyFill="1" applyFont="1" applyBorder="1" applyAlignment="1">
      <alignment vertical="center" horizontal="right"/>
    </xf>
    <xf numFmtId="0" fontId="0" fillId="6" borderId="0" xfId="0" applyFill="1" applyAlignment="1">
      <alignment vertical="center" horizontal="left" indent="1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Y44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</cols>
  <sheetData>
    <row r="1" ht="32" customHeight="1">
      <c r="A1" t="inlineStr" s="1">
        <is>
          <t xml:space="preserve">Haq — Monthly P&amp;L and cash</t>
        </is>
      </c>
    </row>
    <row r="2" ht="20" customHeight="1">
      <c r="A2" t="inlineStr" s="2">
        <is>
          <t xml:space="preserve">Haq — Monthly plan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2026-11</t>
        </is>
      </c>
      <c r="C4" t="inlineStr" s="4">
        <is>
          <t xml:space="preserve">2026-12</t>
        </is>
      </c>
      <c r="D4" t="inlineStr" s="5">
        <is>
          <t xml:space="preserve">2027-01</t>
        </is>
      </c>
      <c r="E4" t="inlineStr" s="4">
        <is>
          <t xml:space="preserve">2027-02</t>
        </is>
      </c>
      <c r="F4" t="inlineStr" s="4">
        <is>
          <t xml:space="preserve">2027-03</t>
        </is>
      </c>
      <c r="G4" t="inlineStr" s="5">
        <is>
          <t xml:space="preserve">2027-04</t>
        </is>
      </c>
      <c r="H4" t="inlineStr" s="4">
        <is>
          <t xml:space="preserve">2027-05</t>
        </is>
      </c>
      <c r="I4" t="inlineStr" s="4">
        <is>
          <t xml:space="preserve">2027-06</t>
        </is>
      </c>
      <c r="J4" t="inlineStr" s="5">
        <is>
          <t xml:space="preserve">2027-07</t>
        </is>
      </c>
      <c r="K4" t="inlineStr" s="4">
        <is>
          <t xml:space="preserve">2027-08</t>
        </is>
      </c>
      <c r="L4" t="inlineStr" s="4">
        <is>
          <t xml:space="preserve">2027-09</t>
        </is>
      </c>
      <c r="M4" t="inlineStr" s="5">
        <is>
          <t xml:space="preserve">2027-10</t>
        </is>
      </c>
      <c r="N4" t="inlineStr" s="4">
        <is>
          <t xml:space="preserve">2027-11</t>
        </is>
      </c>
      <c r="O4" t="inlineStr" s="4">
        <is>
          <t xml:space="preserve">2027-12</t>
        </is>
      </c>
      <c r="P4" t="inlineStr" s="5">
        <is>
          <t xml:space="preserve">2028-01</t>
        </is>
      </c>
      <c r="Q4" t="inlineStr" s="4">
        <is>
          <t xml:space="preserve">2028-02</t>
        </is>
      </c>
      <c r="R4" t="inlineStr" s="4">
        <is>
          <t xml:space="preserve">2028-03</t>
        </is>
      </c>
      <c r="S4" t="inlineStr" s="5">
        <is>
          <t xml:space="preserve">2028-04</t>
        </is>
      </c>
      <c r="T4" t="inlineStr" s="4">
        <is>
          <t xml:space="preserve">2028-05</t>
        </is>
      </c>
      <c r="U4" t="inlineStr" s="4">
        <is>
          <t xml:space="preserve">2028-06</t>
        </is>
      </c>
      <c r="V4" t="inlineStr" s="5">
        <is>
          <t xml:space="preserve">2028-07</t>
        </is>
      </c>
      <c r="W4" t="inlineStr" s="4">
        <is>
          <t xml:space="preserve">2028-08</t>
        </is>
      </c>
      <c r="X4" t="inlineStr" s="4">
        <is>
          <t xml:space="preserve">2028-09</t>
        </is>
      </c>
      <c r="Y4" t="inlineStr" s="5">
        <is>
          <t xml:space="preserve">2028-10</t>
        </is>
      </c>
    </row>
    <row r="5">
      <c r="A5" t="inlineStr" s="6">
        <is>
          <t xml:space="preserve">Haq month</t>
        </is>
      </c>
      <c r="B5" s="7">
        <f>(YEAR(DATE(2026,11,1))-2026)*12+MONTH(DATE(2026,11,1))-10</f>
        <v>1</v>
      </c>
      <c r="C5" s="7">
        <f>(YEAR(DATE(2026,12,1))-2026)*12+MONTH(DATE(2026,12,1))-10</f>
        <v>2</v>
      </c>
      <c r="D5" s="7">
        <f>(YEAR(DATE(2027,1,1))-2026)*12+MONTH(DATE(2027,1,1))-10</f>
        <v>3</v>
      </c>
      <c r="E5" s="7">
        <f>(YEAR(DATE(2027,2,1))-2026)*12+MONTH(DATE(2027,2,1))-10</f>
        <v>4</v>
      </c>
      <c r="F5" s="7">
        <f>(YEAR(DATE(2027,3,1))-2026)*12+MONTH(DATE(2027,3,1))-10</f>
        <v>5</v>
      </c>
      <c r="G5" s="7">
        <f>(YEAR(DATE(2027,4,1))-2026)*12+MONTH(DATE(2027,4,1))-10</f>
        <v>6</v>
      </c>
      <c r="H5" s="7">
        <f>(YEAR(DATE(2027,5,1))-2026)*12+MONTH(DATE(2027,5,1))-10</f>
        <v>7</v>
      </c>
      <c r="I5" s="7">
        <f>(YEAR(DATE(2027,6,1))-2026)*12+MONTH(DATE(2027,6,1))-10</f>
        <v>8</v>
      </c>
      <c r="J5" s="7">
        <f>(YEAR(DATE(2027,7,1))-2026)*12+MONTH(DATE(2027,7,1))-10</f>
        <v>9</v>
      </c>
      <c r="K5" s="7">
        <f>(YEAR(DATE(2027,8,1))-2026)*12+MONTH(DATE(2027,8,1))-10</f>
        <v>10</v>
      </c>
      <c r="L5" s="7">
        <f>(YEAR(DATE(2027,9,1))-2026)*12+MONTH(DATE(2027,9,1))-10</f>
        <v>11</v>
      </c>
      <c r="M5" s="7">
        <f>(YEAR(DATE(2027,10,1))-2026)*12+MONTH(DATE(2027,10,1))-10</f>
        <v>12</v>
      </c>
      <c r="N5" s="7">
        <f>(YEAR(DATE(2027,11,1))-2026)*12+MONTH(DATE(2027,11,1))-10</f>
        <v>13</v>
      </c>
      <c r="O5" s="7">
        <f>(YEAR(DATE(2027,12,1))-2026)*12+MONTH(DATE(2027,12,1))-10</f>
        <v>14</v>
      </c>
      <c r="P5" s="7">
        <f>(YEAR(DATE(2028,1,1))-2026)*12+MONTH(DATE(2028,1,1))-10</f>
        <v>15</v>
      </c>
      <c r="Q5" s="7">
        <f>(YEAR(DATE(2028,2,1))-2026)*12+MONTH(DATE(2028,2,1))-10</f>
        <v>16</v>
      </c>
      <c r="R5" s="7">
        <f>(YEAR(DATE(2028,3,1))-2026)*12+MONTH(DATE(2028,3,1))-10</f>
        <v>17</v>
      </c>
      <c r="S5" s="7">
        <f>(YEAR(DATE(2028,4,1))-2026)*12+MONTH(DATE(2028,4,1))-10</f>
        <v>18</v>
      </c>
      <c r="T5" s="7">
        <f>(YEAR(DATE(2028,5,1))-2026)*12+MONTH(DATE(2028,5,1))-10</f>
        <v>19</v>
      </c>
      <c r="U5" s="7">
        <f>(YEAR(DATE(2028,6,1))-2026)*12+MONTH(DATE(2028,6,1))-10</f>
        <v>20</v>
      </c>
      <c r="V5" s="7">
        <f>(YEAR(DATE(2028,7,1))-2026)*12+MONTH(DATE(2028,7,1))-10</f>
        <v>21</v>
      </c>
      <c r="W5" s="7">
        <f>(YEAR(DATE(2028,8,1))-2026)*12+MONTH(DATE(2028,8,1))-10</f>
        <v>22</v>
      </c>
      <c r="X5" s="7">
        <f>(YEAR(DATE(2028,9,1))-2026)*12+MONTH(DATE(2028,9,1))-10</f>
        <v>23</v>
      </c>
      <c r="Y5" s="7">
        <f>(YEAR(DATE(2028,10,1))-2026)*12+MONTH(DATE(2028,10,1))-10</f>
        <v>24</v>
      </c>
    </row>
    <row r="6">
      <c r="A6" t="inlineStr" s="8">
        <is>
          <t xml:space="preserve">Haq check cost</t>
        </is>
      </c>
      <c r="B6" s="9">
        <f>IF(IF(IF(ISERROR('Haq — Monthly P&amp;L and cash'!B5&lt;'Model inputs'!AJ54),'Haq — Monthly P&amp;L and cash'!B5&lt;'Model inputs'!AJ54,IF(OR('Haq — Monthly P&amp;L and cash'!B5="",'Model inputs'!AJ54=""),"",'Haq — Monthly P&amp;L and cash'!B5&lt;'Model inputs'!AJ54))="",FALSE,IF(ISERROR('Haq — Monthly P&amp;L and cash'!B5&lt;'Model inputs'!AJ54),'Haq — Monthly P&amp;L and cash'!B5&lt;'Model inputs'!AJ54,IF(OR('Haq — Monthly P&amp;L and cash'!B5="",'Model inputs'!AJ54=""),"",'Haq — Monthly P&amp;L and cash'!B5&lt;'Model inputs'!AJ54))),IF('Model inputs'!AJ87="","",'Model inputs'!AJ87),IF(IF(IF(ISERROR('Haq — Monthly P&amp;L and cash'!B5&lt;'Model inputs'!AJ84),'Haq — Monthly P&amp;L and cash'!B5&lt;'Model inputs'!AJ84,IF(OR('Haq — Monthly P&amp;L and cash'!B5="",'Model inputs'!AJ84=""),"",'Haq — Monthly P&amp;L and cash'!B5&lt;'Model inputs'!AJ84))="",FALSE,IF(ISERROR('Haq — Monthly P&amp;L and cash'!B5&lt;'Model inputs'!AJ84),'Haq — Monthly P&amp;L and cash'!B5&lt;'Model inputs'!AJ84,IF(OR('Haq — Monthly P&amp;L and cash'!B5="",'Model inputs'!AJ84=""),"",'Haq — Monthly P&amp;L and cash'!B5&lt;'Model inputs'!AJ84))),IF('Model inputs'!AJ55="","",'Model inputs'!AJ55),IF('Model inputs'!AJ85="","",'Model inputs'!AJ85)))</f>
        <v>20</v>
      </c>
      <c r="C6" s="9">
        <f>IF(IF(IF(ISERROR('Haq — Monthly P&amp;L and cash'!C5&lt;'Model inputs'!AJ54),'Haq — Monthly P&amp;L and cash'!C5&lt;'Model inputs'!AJ54,IF(OR('Haq — Monthly P&amp;L and cash'!C5="",'Model inputs'!AJ54=""),"",'Haq — Monthly P&amp;L and cash'!C5&lt;'Model inputs'!AJ54))="",FALSE,IF(ISERROR('Haq — Monthly P&amp;L and cash'!C5&lt;'Model inputs'!AJ54),'Haq — Monthly P&amp;L and cash'!C5&lt;'Model inputs'!AJ54,IF(OR('Haq — Monthly P&amp;L and cash'!C5="",'Model inputs'!AJ54=""),"",'Haq — Monthly P&amp;L and cash'!C5&lt;'Model inputs'!AJ54))),IF('Model inputs'!AJ87="","",'Model inputs'!AJ87),IF(IF(IF(ISERROR('Haq — Monthly P&amp;L and cash'!C5&lt;'Model inputs'!AJ84),'Haq — Monthly P&amp;L and cash'!C5&lt;'Model inputs'!AJ84,IF(OR('Haq — Monthly P&amp;L and cash'!C5="",'Model inputs'!AJ84=""),"",'Haq — Monthly P&amp;L and cash'!C5&lt;'Model inputs'!AJ84))="",FALSE,IF(ISERROR('Haq — Monthly P&amp;L and cash'!C5&lt;'Model inputs'!AJ84),'Haq — Monthly P&amp;L and cash'!C5&lt;'Model inputs'!AJ84,IF(OR('Haq — Monthly P&amp;L and cash'!C5="",'Model inputs'!AJ84=""),"",'Haq — Monthly P&amp;L and cash'!C5&lt;'Model inputs'!AJ84))),IF('Model inputs'!AJ55="","",'Model inputs'!AJ55),IF('Model inputs'!AJ85="","",'Model inputs'!AJ85)))</f>
        <v>20</v>
      </c>
      <c r="D6" s="9">
        <f>IF(IF(IF(ISERROR('Haq — Monthly P&amp;L and cash'!D5&lt;'Model inputs'!AJ54),'Haq — Monthly P&amp;L and cash'!D5&lt;'Model inputs'!AJ54,IF(OR('Haq — Monthly P&amp;L and cash'!D5="",'Model inputs'!AJ54=""),"",'Haq — Monthly P&amp;L and cash'!D5&lt;'Model inputs'!AJ54))="",FALSE,IF(ISERROR('Haq — Monthly P&amp;L and cash'!D5&lt;'Model inputs'!AJ54),'Haq — Monthly P&amp;L and cash'!D5&lt;'Model inputs'!AJ54,IF(OR('Haq — Monthly P&amp;L and cash'!D5="",'Model inputs'!AJ54=""),"",'Haq — Monthly P&amp;L and cash'!D5&lt;'Model inputs'!AJ54))),IF('Model inputs'!AJ87="","",'Model inputs'!AJ87),IF(IF(IF(ISERROR('Haq — Monthly P&amp;L and cash'!D5&lt;'Model inputs'!AJ84),'Haq — Monthly P&amp;L and cash'!D5&lt;'Model inputs'!AJ84,IF(OR('Haq — Monthly P&amp;L and cash'!D5="",'Model inputs'!AJ84=""),"",'Haq — Monthly P&amp;L and cash'!D5&lt;'Model inputs'!AJ84))="",FALSE,IF(ISERROR('Haq — Monthly P&amp;L and cash'!D5&lt;'Model inputs'!AJ84),'Haq — Monthly P&amp;L and cash'!D5&lt;'Model inputs'!AJ84,IF(OR('Haq — Monthly P&amp;L and cash'!D5="",'Model inputs'!AJ84=""),"",'Haq — Monthly P&amp;L and cash'!D5&lt;'Model inputs'!AJ84))),IF('Model inputs'!AJ55="","",'Model inputs'!AJ55),IF('Model inputs'!AJ85="","",'Model inputs'!AJ85)))</f>
        <v>20</v>
      </c>
      <c r="E6" s="9">
        <f>IF(IF(IF(ISERROR('Haq — Monthly P&amp;L and cash'!E5&lt;'Model inputs'!AJ54),'Haq — Monthly P&amp;L and cash'!E5&lt;'Model inputs'!AJ54,IF(OR('Haq — Monthly P&amp;L and cash'!E5="",'Model inputs'!AJ54=""),"",'Haq — Monthly P&amp;L and cash'!E5&lt;'Model inputs'!AJ54))="",FALSE,IF(ISERROR('Haq — Monthly P&amp;L and cash'!E5&lt;'Model inputs'!AJ54),'Haq — Monthly P&amp;L and cash'!E5&lt;'Model inputs'!AJ54,IF(OR('Haq — Monthly P&amp;L and cash'!E5="",'Model inputs'!AJ54=""),"",'Haq — Monthly P&amp;L and cash'!E5&lt;'Model inputs'!AJ54))),IF('Model inputs'!AJ87="","",'Model inputs'!AJ87),IF(IF(IF(ISERROR('Haq — Monthly P&amp;L and cash'!E5&lt;'Model inputs'!AJ84),'Haq — Monthly P&amp;L and cash'!E5&lt;'Model inputs'!AJ84,IF(OR('Haq — Monthly P&amp;L and cash'!E5="",'Model inputs'!AJ84=""),"",'Haq — Monthly P&amp;L and cash'!E5&lt;'Model inputs'!AJ84))="",FALSE,IF(ISERROR('Haq — Monthly P&amp;L and cash'!E5&lt;'Model inputs'!AJ84),'Haq — Monthly P&amp;L and cash'!E5&lt;'Model inputs'!AJ84,IF(OR('Haq — Monthly P&amp;L and cash'!E5="",'Model inputs'!AJ84=""),"",'Haq — Monthly P&amp;L and cash'!E5&lt;'Model inputs'!AJ84))),IF('Model inputs'!AJ55="","",'Model inputs'!AJ55),IF('Model inputs'!AJ85="","",'Model inputs'!AJ85)))</f>
        <v>10</v>
      </c>
      <c r="F6" s="9">
        <f>IF(IF(IF(ISERROR('Haq — Monthly P&amp;L and cash'!F5&lt;'Model inputs'!AJ54),'Haq — Monthly P&amp;L and cash'!F5&lt;'Model inputs'!AJ54,IF(OR('Haq — Monthly P&amp;L and cash'!F5="",'Model inputs'!AJ54=""),"",'Haq — Monthly P&amp;L and cash'!F5&lt;'Model inputs'!AJ54))="",FALSE,IF(ISERROR('Haq — Monthly P&amp;L and cash'!F5&lt;'Model inputs'!AJ54),'Haq — Monthly P&amp;L and cash'!F5&lt;'Model inputs'!AJ54,IF(OR('Haq — Monthly P&amp;L and cash'!F5="",'Model inputs'!AJ54=""),"",'Haq — Monthly P&amp;L and cash'!F5&lt;'Model inputs'!AJ54))),IF('Model inputs'!AJ87="","",'Model inputs'!AJ87),IF(IF(IF(ISERROR('Haq — Monthly P&amp;L and cash'!F5&lt;'Model inputs'!AJ84),'Haq — Monthly P&amp;L and cash'!F5&lt;'Model inputs'!AJ84,IF(OR('Haq — Monthly P&amp;L and cash'!F5="",'Model inputs'!AJ84=""),"",'Haq — Monthly P&amp;L and cash'!F5&lt;'Model inputs'!AJ84))="",FALSE,IF(ISERROR('Haq — Monthly P&amp;L and cash'!F5&lt;'Model inputs'!AJ84),'Haq — Monthly P&amp;L and cash'!F5&lt;'Model inputs'!AJ84,IF(OR('Haq — Monthly P&amp;L and cash'!F5="",'Model inputs'!AJ84=""),"",'Haq — Monthly P&amp;L and cash'!F5&lt;'Model inputs'!AJ84))),IF('Model inputs'!AJ55="","",'Model inputs'!AJ55),IF('Model inputs'!AJ85="","",'Model inputs'!AJ85)))</f>
        <v>10</v>
      </c>
      <c r="G6" s="9">
        <f>IF(IF(IF(ISERROR('Haq — Monthly P&amp;L and cash'!G5&lt;'Model inputs'!AJ54),'Haq — Monthly P&amp;L and cash'!G5&lt;'Model inputs'!AJ54,IF(OR('Haq — Monthly P&amp;L and cash'!G5="",'Model inputs'!AJ54=""),"",'Haq — Monthly P&amp;L and cash'!G5&lt;'Model inputs'!AJ54))="",FALSE,IF(ISERROR('Haq — Monthly P&amp;L and cash'!G5&lt;'Model inputs'!AJ54),'Haq — Monthly P&amp;L and cash'!G5&lt;'Model inputs'!AJ54,IF(OR('Haq — Monthly P&amp;L and cash'!G5="",'Model inputs'!AJ54=""),"",'Haq — Monthly P&amp;L and cash'!G5&lt;'Model inputs'!AJ54))),IF('Model inputs'!AJ87="","",'Model inputs'!AJ87),IF(IF(IF(ISERROR('Haq — Monthly P&amp;L and cash'!G5&lt;'Model inputs'!AJ84),'Haq — Monthly P&amp;L and cash'!G5&lt;'Model inputs'!AJ84,IF(OR('Haq — Monthly P&amp;L and cash'!G5="",'Model inputs'!AJ84=""),"",'Haq — Monthly P&amp;L and cash'!G5&lt;'Model inputs'!AJ84))="",FALSE,IF(ISERROR('Haq — Monthly P&amp;L and cash'!G5&lt;'Model inputs'!AJ84),'Haq — Monthly P&amp;L and cash'!G5&lt;'Model inputs'!AJ84,IF(OR('Haq — Monthly P&amp;L and cash'!G5="",'Model inputs'!AJ84=""),"",'Haq — Monthly P&amp;L and cash'!G5&lt;'Model inputs'!AJ84))),IF('Model inputs'!AJ55="","",'Model inputs'!AJ55),IF('Model inputs'!AJ85="","",'Model inputs'!AJ85)))</f>
        <v>10</v>
      </c>
      <c r="H6" s="9">
        <f>IF(IF(IF(ISERROR('Haq — Monthly P&amp;L and cash'!H5&lt;'Model inputs'!AJ54),'Haq — Monthly P&amp;L and cash'!H5&lt;'Model inputs'!AJ54,IF(OR('Haq — Monthly P&amp;L and cash'!H5="",'Model inputs'!AJ54=""),"",'Haq — Monthly P&amp;L and cash'!H5&lt;'Model inputs'!AJ54))="",FALSE,IF(ISERROR('Haq — Monthly P&amp;L and cash'!H5&lt;'Model inputs'!AJ54),'Haq — Monthly P&amp;L and cash'!H5&lt;'Model inputs'!AJ54,IF(OR('Haq — Monthly P&amp;L and cash'!H5="",'Model inputs'!AJ54=""),"",'Haq — Monthly P&amp;L and cash'!H5&lt;'Model inputs'!AJ54))),IF('Model inputs'!AJ87="","",'Model inputs'!AJ87),IF(IF(IF(ISERROR('Haq — Monthly P&amp;L and cash'!H5&lt;'Model inputs'!AJ84),'Haq — Monthly P&amp;L and cash'!H5&lt;'Model inputs'!AJ84,IF(OR('Haq — Monthly P&amp;L and cash'!H5="",'Model inputs'!AJ84=""),"",'Haq — Monthly P&amp;L and cash'!H5&lt;'Model inputs'!AJ84))="",FALSE,IF(ISERROR('Haq — Monthly P&amp;L and cash'!H5&lt;'Model inputs'!AJ84),'Haq — Monthly P&amp;L and cash'!H5&lt;'Model inputs'!AJ84,IF(OR('Haq — Monthly P&amp;L and cash'!H5="",'Model inputs'!AJ84=""),"",'Haq — Monthly P&amp;L and cash'!H5&lt;'Model inputs'!AJ84))),IF('Model inputs'!AJ55="","",'Model inputs'!AJ55),IF('Model inputs'!AJ85="","",'Model inputs'!AJ85)))</f>
        <v>10</v>
      </c>
      <c r="I6" s="9">
        <f>IF(IF(IF(ISERROR('Haq — Monthly P&amp;L and cash'!I5&lt;'Model inputs'!AJ54),'Haq — Monthly P&amp;L and cash'!I5&lt;'Model inputs'!AJ54,IF(OR('Haq — Monthly P&amp;L and cash'!I5="",'Model inputs'!AJ54=""),"",'Haq — Monthly P&amp;L and cash'!I5&lt;'Model inputs'!AJ54))="",FALSE,IF(ISERROR('Haq — Monthly P&amp;L and cash'!I5&lt;'Model inputs'!AJ54),'Haq — Monthly P&amp;L and cash'!I5&lt;'Model inputs'!AJ54,IF(OR('Haq — Monthly P&amp;L and cash'!I5="",'Model inputs'!AJ54=""),"",'Haq — Monthly P&amp;L and cash'!I5&lt;'Model inputs'!AJ54))),IF('Model inputs'!AJ87="","",'Model inputs'!AJ87),IF(IF(IF(ISERROR('Haq — Monthly P&amp;L and cash'!I5&lt;'Model inputs'!AJ84),'Haq — Monthly P&amp;L and cash'!I5&lt;'Model inputs'!AJ84,IF(OR('Haq — Monthly P&amp;L and cash'!I5="",'Model inputs'!AJ84=""),"",'Haq — Monthly P&amp;L and cash'!I5&lt;'Model inputs'!AJ84))="",FALSE,IF(ISERROR('Haq — Monthly P&amp;L and cash'!I5&lt;'Model inputs'!AJ84),'Haq — Monthly P&amp;L and cash'!I5&lt;'Model inputs'!AJ84,IF(OR('Haq — Monthly P&amp;L and cash'!I5="",'Model inputs'!AJ84=""),"",'Haq — Monthly P&amp;L and cash'!I5&lt;'Model inputs'!AJ84))),IF('Model inputs'!AJ55="","",'Model inputs'!AJ55),IF('Model inputs'!AJ85="","",'Model inputs'!AJ85)))</f>
        <v>10</v>
      </c>
      <c r="J6" s="9">
        <f>IF(IF(IF(ISERROR('Haq — Monthly P&amp;L and cash'!J5&lt;'Model inputs'!AJ54),'Haq — Monthly P&amp;L and cash'!J5&lt;'Model inputs'!AJ54,IF(OR('Haq — Monthly P&amp;L and cash'!J5="",'Model inputs'!AJ54=""),"",'Haq — Monthly P&amp;L and cash'!J5&lt;'Model inputs'!AJ54))="",FALSE,IF(ISERROR('Haq — Monthly P&amp;L and cash'!J5&lt;'Model inputs'!AJ54),'Haq — Monthly P&amp;L and cash'!J5&lt;'Model inputs'!AJ54,IF(OR('Haq — Monthly P&amp;L and cash'!J5="",'Model inputs'!AJ54=""),"",'Haq — Monthly P&amp;L and cash'!J5&lt;'Model inputs'!AJ54))),IF('Model inputs'!AJ87="","",'Model inputs'!AJ87),IF(IF(IF(ISERROR('Haq — Monthly P&amp;L and cash'!J5&lt;'Model inputs'!AJ84),'Haq — Monthly P&amp;L and cash'!J5&lt;'Model inputs'!AJ84,IF(OR('Haq — Monthly P&amp;L and cash'!J5="",'Model inputs'!AJ84=""),"",'Haq — Monthly P&amp;L and cash'!J5&lt;'Model inputs'!AJ84))="",FALSE,IF(ISERROR('Haq — Monthly P&amp;L and cash'!J5&lt;'Model inputs'!AJ84),'Haq — Monthly P&amp;L and cash'!J5&lt;'Model inputs'!AJ84,IF(OR('Haq — Monthly P&amp;L and cash'!J5="",'Model inputs'!AJ84=""),"",'Haq — Monthly P&amp;L and cash'!J5&lt;'Model inputs'!AJ84))),IF('Model inputs'!AJ55="","",'Model inputs'!AJ55),IF('Model inputs'!AJ85="","",'Model inputs'!AJ85)))</f>
        <v>10</v>
      </c>
      <c r="K6" s="9">
        <f>IF(IF(IF(ISERROR('Haq — Monthly P&amp;L and cash'!K5&lt;'Model inputs'!AJ54),'Haq — Monthly P&amp;L and cash'!K5&lt;'Model inputs'!AJ54,IF(OR('Haq — Monthly P&amp;L and cash'!K5="",'Model inputs'!AJ54=""),"",'Haq — Monthly P&amp;L and cash'!K5&lt;'Model inputs'!AJ54))="",FALSE,IF(ISERROR('Haq — Monthly P&amp;L and cash'!K5&lt;'Model inputs'!AJ54),'Haq — Monthly P&amp;L and cash'!K5&lt;'Model inputs'!AJ54,IF(OR('Haq — Monthly P&amp;L and cash'!K5="",'Model inputs'!AJ54=""),"",'Haq — Monthly P&amp;L and cash'!K5&lt;'Model inputs'!AJ54))),IF('Model inputs'!AJ87="","",'Model inputs'!AJ87),IF(IF(IF(ISERROR('Haq — Monthly P&amp;L and cash'!K5&lt;'Model inputs'!AJ84),'Haq — Monthly P&amp;L and cash'!K5&lt;'Model inputs'!AJ84,IF(OR('Haq — Monthly P&amp;L and cash'!K5="",'Model inputs'!AJ84=""),"",'Haq — Monthly P&amp;L and cash'!K5&lt;'Model inputs'!AJ84))="",FALSE,IF(ISERROR('Haq — Monthly P&amp;L and cash'!K5&lt;'Model inputs'!AJ84),'Haq — Monthly P&amp;L and cash'!K5&lt;'Model inputs'!AJ84,IF(OR('Haq — Monthly P&amp;L and cash'!K5="",'Model inputs'!AJ84=""),"",'Haq — Monthly P&amp;L and cash'!K5&lt;'Model inputs'!AJ84))),IF('Model inputs'!AJ55="","",'Model inputs'!AJ55),IF('Model inputs'!AJ85="","",'Model inputs'!AJ85)))</f>
        <v>4</v>
      </c>
      <c r="L6" s="9">
        <f>IF(IF(IF(ISERROR('Haq — Monthly P&amp;L and cash'!L5&lt;'Model inputs'!AJ54),'Haq — Monthly P&amp;L and cash'!L5&lt;'Model inputs'!AJ54,IF(OR('Haq — Monthly P&amp;L and cash'!L5="",'Model inputs'!AJ54=""),"",'Haq — Monthly P&amp;L and cash'!L5&lt;'Model inputs'!AJ54))="",FALSE,IF(ISERROR('Haq — Monthly P&amp;L and cash'!L5&lt;'Model inputs'!AJ54),'Haq — Monthly P&amp;L and cash'!L5&lt;'Model inputs'!AJ54,IF(OR('Haq — Monthly P&amp;L and cash'!L5="",'Model inputs'!AJ54=""),"",'Haq — Monthly P&amp;L and cash'!L5&lt;'Model inputs'!AJ54))),IF('Model inputs'!AJ87="","",'Model inputs'!AJ87),IF(IF(IF(ISERROR('Haq — Monthly P&amp;L and cash'!L5&lt;'Model inputs'!AJ84),'Haq — Monthly P&amp;L and cash'!L5&lt;'Model inputs'!AJ84,IF(OR('Haq — Monthly P&amp;L and cash'!L5="",'Model inputs'!AJ84=""),"",'Haq — Monthly P&amp;L and cash'!L5&lt;'Model inputs'!AJ84))="",FALSE,IF(ISERROR('Haq — Monthly P&amp;L and cash'!L5&lt;'Model inputs'!AJ84),'Haq — Monthly P&amp;L and cash'!L5&lt;'Model inputs'!AJ84,IF(OR('Haq — Monthly P&amp;L and cash'!L5="",'Model inputs'!AJ84=""),"",'Haq — Monthly P&amp;L and cash'!L5&lt;'Model inputs'!AJ84))),IF('Model inputs'!AJ55="","",'Model inputs'!AJ55),IF('Model inputs'!AJ85="","",'Model inputs'!AJ85)))</f>
        <v>4</v>
      </c>
      <c r="M6" s="9">
        <f>IF(IF(IF(ISERROR('Haq — Monthly P&amp;L and cash'!M5&lt;'Model inputs'!AJ54),'Haq — Monthly P&amp;L and cash'!M5&lt;'Model inputs'!AJ54,IF(OR('Haq — Monthly P&amp;L and cash'!M5="",'Model inputs'!AJ54=""),"",'Haq — Monthly P&amp;L and cash'!M5&lt;'Model inputs'!AJ54))="",FALSE,IF(ISERROR('Haq — Monthly P&amp;L and cash'!M5&lt;'Model inputs'!AJ54),'Haq — Monthly P&amp;L and cash'!M5&lt;'Model inputs'!AJ54,IF(OR('Haq — Monthly P&amp;L and cash'!M5="",'Model inputs'!AJ54=""),"",'Haq — Monthly P&amp;L and cash'!M5&lt;'Model inputs'!AJ54))),IF('Model inputs'!AJ87="","",'Model inputs'!AJ87),IF(IF(IF(ISERROR('Haq — Monthly P&amp;L and cash'!M5&lt;'Model inputs'!AJ84),'Haq — Monthly P&amp;L and cash'!M5&lt;'Model inputs'!AJ84,IF(OR('Haq — Monthly P&amp;L and cash'!M5="",'Model inputs'!AJ84=""),"",'Haq — Monthly P&amp;L and cash'!M5&lt;'Model inputs'!AJ84))="",FALSE,IF(ISERROR('Haq — Monthly P&amp;L and cash'!M5&lt;'Model inputs'!AJ84),'Haq — Monthly P&amp;L and cash'!M5&lt;'Model inputs'!AJ84,IF(OR('Haq — Monthly P&amp;L and cash'!M5="",'Model inputs'!AJ84=""),"",'Haq — Monthly P&amp;L and cash'!M5&lt;'Model inputs'!AJ84))),IF('Model inputs'!AJ55="","",'Model inputs'!AJ55),IF('Model inputs'!AJ85="","",'Model inputs'!AJ85)))</f>
        <v>4</v>
      </c>
      <c r="N6" s="9">
        <f>IF(IF(IF(ISERROR('Haq — Monthly P&amp;L and cash'!N5&lt;'Model inputs'!AJ54),'Haq — Monthly P&amp;L and cash'!N5&lt;'Model inputs'!AJ54,IF(OR('Haq — Monthly P&amp;L and cash'!N5="",'Model inputs'!AJ54=""),"",'Haq — Monthly P&amp;L and cash'!N5&lt;'Model inputs'!AJ54))="",FALSE,IF(ISERROR('Haq — Monthly P&amp;L and cash'!N5&lt;'Model inputs'!AJ54),'Haq — Monthly P&amp;L and cash'!N5&lt;'Model inputs'!AJ54,IF(OR('Haq — Monthly P&amp;L and cash'!N5="",'Model inputs'!AJ54=""),"",'Haq — Monthly P&amp;L and cash'!N5&lt;'Model inputs'!AJ54))),IF('Model inputs'!AJ87="","",'Model inputs'!AJ87),IF(IF(IF(ISERROR('Haq — Monthly P&amp;L and cash'!N5&lt;'Model inputs'!AJ84),'Haq — Monthly P&amp;L and cash'!N5&lt;'Model inputs'!AJ84,IF(OR('Haq — Monthly P&amp;L and cash'!N5="",'Model inputs'!AJ84=""),"",'Haq — Monthly P&amp;L and cash'!N5&lt;'Model inputs'!AJ84))="",FALSE,IF(ISERROR('Haq — Monthly P&amp;L and cash'!N5&lt;'Model inputs'!AJ84),'Haq — Monthly P&amp;L and cash'!N5&lt;'Model inputs'!AJ84,IF(OR('Haq — Monthly P&amp;L and cash'!N5="",'Model inputs'!AJ84=""),"",'Haq — Monthly P&amp;L and cash'!N5&lt;'Model inputs'!AJ84))),IF('Model inputs'!AJ55="","",'Model inputs'!AJ55),IF('Model inputs'!AJ85="","",'Model inputs'!AJ85)))</f>
        <v>4</v>
      </c>
      <c r="O6" s="9">
        <f>IF(IF(IF(ISERROR('Haq — Monthly P&amp;L and cash'!O5&lt;'Model inputs'!AJ54),'Haq — Monthly P&amp;L and cash'!O5&lt;'Model inputs'!AJ54,IF(OR('Haq — Monthly P&amp;L and cash'!O5="",'Model inputs'!AJ54=""),"",'Haq — Monthly P&amp;L and cash'!O5&lt;'Model inputs'!AJ54))="",FALSE,IF(ISERROR('Haq — Monthly P&amp;L and cash'!O5&lt;'Model inputs'!AJ54),'Haq — Monthly P&amp;L and cash'!O5&lt;'Model inputs'!AJ54,IF(OR('Haq — Monthly P&amp;L and cash'!O5="",'Model inputs'!AJ54=""),"",'Haq — Monthly P&amp;L and cash'!O5&lt;'Model inputs'!AJ54))),IF('Model inputs'!AJ87="","",'Model inputs'!AJ87),IF(IF(IF(ISERROR('Haq — Monthly P&amp;L and cash'!O5&lt;'Model inputs'!AJ84),'Haq — Monthly P&amp;L and cash'!O5&lt;'Model inputs'!AJ84,IF(OR('Haq — Monthly P&amp;L and cash'!O5="",'Model inputs'!AJ84=""),"",'Haq — Monthly P&amp;L and cash'!O5&lt;'Model inputs'!AJ84))="",FALSE,IF(ISERROR('Haq — Monthly P&amp;L and cash'!O5&lt;'Model inputs'!AJ84),'Haq — Monthly P&amp;L and cash'!O5&lt;'Model inputs'!AJ84,IF(OR('Haq — Monthly P&amp;L and cash'!O5="",'Model inputs'!AJ84=""),"",'Haq — Monthly P&amp;L and cash'!O5&lt;'Model inputs'!AJ84))),IF('Model inputs'!AJ55="","",'Model inputs'!AJ55),IF('Model inputs'!AJ85="","",'Model inputs'!AJ85)))</f>
        <v>4</v>
      </c>
      <c r="P6" s="9">
        <f>IF(IF(IF(ISERROR('Haq — Monthly P&amp;L and cash'!P5&lt;'Model inputs'!AJ54),'Haq — Monthly P&amp;L and cash'!P5&lt;'Model inputs'!AJ54,IF(OR('Haq — Monthly P&amp;L and cash'!P5="",'Model inputs'!AJ54=""),"",'Haq — Monthly P&amp;L and cash'!P5&lt;'Model inputs'!AJ54))="",FALSE,IF(ISERROR('Haq — Monthly P&amp;L and cash'!P5&lt;'Model inputs'!AJ54),'Haq — Monthly P&amp;L and cash'!P5&lt;'Model inputs'!AJ54,IF(OR('Haq — Monthly P&amp;L and cash'!P5="",'Model inputs'!AJ54=""),"",'Haq — Monthly P&amp;L and cash'!P5&lt;'Model inputs'!AJ54))),IF('Model inputs'!AJ87="","",'Model inputs'!AJ87),IF(IF(IF(ISERROR('Haq — Monthly P&amp;L and cash'!P5&lt;'Model inputs'!AJ84),'Haq — Monthly P&amp;L and cash'!P5&lt;'Model inputs'!AJ84,IF(OR('Haq — Monthly P&amp;L and cash'!P5="",'Model inputs'!AJ84=""),"",'Haq — Monthly P&amp;L and cash'!P5&lt;'Model inputs'!AJ84))="",FALSE,IF(ISERROR('Haq — Monthly P&amp;L and cash'!P5&lt;'Model inputs'!AJ84),'Haq — Monthly P&amp;L and cash'!P5&lt;'Model inputs'!AJ84,IF(OR('Haq — Monthly P&amp;L and cash'!P5="",'Model inputs'!AJ84=""),"",'Haq — Monthly P&amp;L and cash'!P5&lt;'Model inputs'!AJ84))),IF('Model inputs'!AJ55="","",'Model inputs'!AJ55),IF('Model inputs'!AJ85="","",'Model inputs'!AJ85)))</f>
        <v>4</v>
      </c>
      <c r="Q6" s="9">
        <f>IF(IF(IF(ISERROR('Haq — Monthly P&amp;L and cash'!Q5&lt;'Model inputs'!AJ54),'Haq — Monthly P&amp;L and cash'!Q5&lt;'Model inputs'!AJ54,IF(OR('Haq — Monthly P&amp;L and cash'!Q5="",'Model inputs'!AJ54=""),"",'Haq — Monthly P&amp;L and cash'!Q5&lt;'Model inputs'!AJ54))="",FALSE,IF(ISERROR('Haq — Monthly P&amp;L and cash'!Q5&lt;'Model inputs'!AJ54),'Haq — Monthly P&amp;L and cash'!Q5&lt;'Model inputs'!AJ54,IF(OR('Haq — Monthly P&amp;L and cash'!Q5="",'Model inputs'!AJ54=""),"",'Haq — Monthly P&amp;L and cash'!Q5&lt;'Model inputs'!AJ54))),IF('Model inputs'!AJ87="","",'Model inputs'!AJ87),IF(IF(IF(ISERROR('Haq — Monthly P&amp;L and cash'!Q5&lt;'Model inputs'!AJ84),'Haq — Monthly P&amp;L and cash'!Q5&lt;'Model inputs'!AJ84,IF(OR('Haq — Monthly P&amp;L and cash'!Q5="",'Model inputs'!AJ84=""),"",'Haq — Monthly P&amp;L and cash'!Q5&lt;'Model inputs'!AJ84))="",FALSE,IF(ISERROR('Haq — Monthly P&amp;L and cash'!Q5&lt;'Model inputs'!AJ84),'Haq — Monthly P&amp;L and cash'!Q5&lt;'Model inputs'!AJ84,IF(OR('Haq — Monthly P&amp;L and cash'!Q5="",'Model inputs'!AJ84=""),"",'Haq — Monthly P&amp;L and cash'!Q5&lt;'Model inputs'!AJ84))),IF('Model inputs'!AJ55="","",'Model inputs'!AJ55),IF('Model inputs'!AJ85="","",'Model inputs'!AJ85)))</f>
        <v>4</v>
      </c>
      <c r="R6" s="9">
        <f>IF(IF(IF(ISERROR('Haq — Monthly P&amp;L and cash'!R5&lt;'Model inputs'!AJ54),'Haq — Monthly P&amp;L and cash'!R5&lt;'Model inputs'!AJ54,IF(OR('Haq — Monthly P&amp;L and cash'!R5="",'Model inputs'!AJ54=""),"",'Haq — Monthly P&amp;L and cash'!R5&lt;'Model inputs'!AJ54))="",FALSE,IF(ISERROR('Haq — Monthly P&amp;L and cash'!R5&lt;'Model inputs'!AJ54),'Haq — Monthly P&amp;L and cash'!R5&lt;'Model inputs'!AJ54,IF(OR('Haq — Monthly P&amp;L and cash'!R5="",'Model inputs'!AJ54=""),"",'Haq — Monthly P&amp;L and cash'!R5&lt;'Model inputs'!AJ54))),IF('Model inputs'!AJ87="","",'Model inputs'!AJ87),IF(IF(IF(ISERROR('Haq — Monthly P&amp;L and cash'!R5&lt;'Model inputs'!AJ84),'Haq — Monthly P&amp;L and cash'!R5&lt;'Model inputs'!AJ84,IF(OR('Haq — Monthly P&amp;L and cash'!R5="",'Model inputs'!AJ84=""),"",'Haq — Monthly P&amp;L and cash'!R5&lt;'Model inputs'!AJ84))="",FALSE,IF(ISERROR('Haq — Monthly P&amp;L and cash'!R5&lt;'Model inputs'!AJ84),'Haq — Monthly P&amp;L and cash'!R5&lt;'Model inputs'!AJ84,IF(OR('Haq — Monthly P&amp;L and cash'!R5="",'Model inputs'!AJ84=""),"",'Haq — Monthly P&amp;L and cash'!R5&lt;'Model inputs'!AJ84))),IF('Model inputs'!AJ55="","",'Model inputs'!AJ55),IF('Model inputs'!AJ85="","",'Model inputs'!AJ85)))</f>
        <v>4</v>
      </c>
      <c r="S6" s="9">
        <f>IF(IF(IF(ISERROR('Haq — Monthly P&amp;L and cash'!S5&lt;'Model inputs'!AJ54),'Haq — Monthly P&amp;L and cash'!S5&lt;'Model inputs'!AJ54,IF(OR('Haq — Monthly P&amp;L and cash'!S5="",'Model inputs'!AJ54=""),"",'Haq — Monthly P&amp;L and cash'!S5&lt;'Model inputs'!AJ54))="",FALSE,IF(ISERROR('Haq — Monthly P&amp;L and cash'!S5&lt;'Model inputs'!AJ54),'Haq — Monthly P&amp;L and cash'!S5&lt;'Model inputs'!AJ54,IF(OR('Haq — Monthly P&amp;L and cash'!S5="",'Model inputs'!AJ54=""),"",'Haq — Monthly P&amp;L and cash'!S5&lt;'Model inputs'!AJ54))),IF('Model inputs'!AJ87="","",'Model inputs'!AJ87),IF(IF(IF(ISERROR('Haq — Monthly P&amp;L and cash'!S5&lt;'Model inputs'!AJ84),'Haq — Monthly P&amp;L and cash'!S5&lt;'Model inputs'!AJ84,IF(OR('Haq — Monthly P&amp;L and cash'!S5="",'Model inputs'!AJ84=""),"",'Haq — Monthly P&amp;L and cash'!S5&lt;'Model inputs'!AJ84))="",FALSE,IF(ISERROR('Haq — Monthly P&amp;L and cash'!S5&lt;'Model inputs'!AJ84),'Haq — Monthly P&amp;L and cash'!S5&lt;'Model inputs'!AJ84,IF(OR('Haq — Monthly P&amp;L and cash'!S5="",'Model inputs'!AJ84=""),"",'Haq — Monthly P&amp;L and cash'!S5&lt;'Model inputs'!AJ84))),IF('Model inputs'!AJ55="","",'Model inputs'!AJ55),IF('Model inputs'!AJ85="","",'Model inputs'!AJ85)))</f>
        <v>4</v>
      </c>
      <c r="T6" s="9">
        <f>IF(IF(IF(ISERROR('Haq — Monthly P&amp;L and cash'!T5&lt;'Model inputs'!AJ54),'Haq — Monthly P&amp;L and cash'!T5&lt;'Model inputs'!AJ54,IF(OR('Haq — Monthly P&amp;L and cash'!T5="",'Model inputs'!AJ54=""),"",'Haq — Monthly P&amp;L and cash'!T5&lt;'Model inputs'!AJ54))="",FALSE,IF(ISERROR('Haq — Monthly P&amp;L and cash'!T5&lt;'Model inputs'!AJ54),'Haq — Monthly P&amp;L and cash'!T5&lt;'Model inputs'!AJ54,IF(OR('Haq — Monthly P&amp;L and cash'!T5="",'Model inputs'!AJ54=""),"",'Haq — Monthly P&amp;L and cash'!T5&lt;'Model inputs'!AJ54))),IF('Model inputs'!AJ87="","",'Model inputs'!AJ87),IF(IF(IF(ISERROR('Haq — Monthly P&amp;L and cash'!T5&lt;'Model inputs'!AJ84),'Haq — Monthly P&amp;L and cash'!T5&lt;'Model inputs'!AJ84,IF(OR('Haq — Monthly P&amp;L and cash'!T5="",'Model inputs'!AJ84=""),"",'Haq — Monthly P&amp;L and cash'!T5&lt;'Model inputs'!AJ84))="",FALSE,IF(ISERROR('Haq — Monthly P&amp;L and cash'!T5&lt;'Model inputs'!AJ84),'Haq — Monthly P&amp;L and cash'!T5&lt;'Model inputs'!AJ84,IF(OR('Haq — Monthly P&amp;L and cash'!T5="",'Model inputs'!AJ84=""),"",'Haq — Monthly P&amp;L and cash'!T5&lt;'Model inputs'!AJ84))),IF('Model inputs'!AJ55="","",'Model inputs'!AJ55),IF('Model inputs'!AJ85="","",'Model inputs'!AJ85)))</f>
        <v>4</v>
      </c>
      <c r="U6" s="9">
        <f>IF(IF(IF(ISERROR('Haq — Monthly P&amp;L and cash'!U5&lt;'Model inputs'!AJ54),'Haq — Monthly P&amp;L and cash'!U5&lt;'Model inputs'!AJ54,IF(OR('Haq — Monthly P&amp;L and cash'!U5="",'Model inputs'!AJ54=""),"",'Haq — Monthly P&amp;L and cash'!U5&lt;'Model inputs'!AJ54))="",FALSE,IF(ISERROR('Haq — Monthly P&amp;L and cash'!U5&lt;'Model inputs'!AJ54),'Haq — Monthly P&amp;L and cash'!U5&lt;'Model inputs'!AJ54,IF(OR('Haq — Monthly P&amp;L and cash'!U5="",'Model inputs'!AJ54=""),"",'Haq — Monthly P&amp;L and cash'!U5&lt;'Model inputs'!AJ54))),IF('Model inputs'!AJ87="","",'Model inputs'!AJ87),IF(IF(IF(ISERROR('Haq — Monthly P&amp;L and cash'!U5&lt;'Model inputs'!AJ84),'Haq — Monthly P&amp;L and cash'!U5&lt;'Model inputs'!AJ84,IF(OR('Haq — Monthly P&amp;L and cash'!U5="",'Model inputs'!AJ84=""),"",'Haq — Monthly P&amp;L and cash'!U5&lt;'Model inputs'!AJ84))="",FALSE,IF(ISERROR('Haq — Monthly P&amp;L and cash'!U5&lt;'Model inputs'!AJ84),'Haq — Monthly P&amp;L and cash'!U5&lt;'Model inputs'!AJ84,IF(OR('Haq — Monthly P&amp;L and cash'!U5="",'Model inputs'!AJ84=""),"",'Haq — Monthly P&amp;L and cash'!U5&lt;'Model inputs'!AJ84))),IF('Model inputs'!AJ55="","",'Model inputs'!AJ55),IF('Model inputs'!AJ85="","",'Model inputs'!AJ85)))</f>
        <v>4</v>
      </c>
      <c r="V6" s="9">
        <f>IF(IF(IF(ISERROR('Haq — Monthly P&amp;L and cash'!V5&lt;'Model inputs'!AJ54),'Haq — Monthly P&amp;L and cash'!V5&lt;'Model inputs'!AJ54,IF(OR('Haq — Monthly P&amp;L and cash'!V5="",'Model inputs'!AJ54=""),"",'Haq — Monthly P&amp;L and cash'!V5&lt;'Model inputs'!AJ54))="",FALSE,IF(ISERROR('Haq — Monthly P&amp;L and cash'!V5&lt;'Model inputs'!AJ54),'Haq — Monthly P&amp;L and cash'!V5&lt;'Model inputs'!AJ54,IF(OR('Haq — Monthly P&amp;L and cash'!V5="",'Model inputs'!AJ54=""),"",'Haq — Monthly P&amp;L and cash'!V5&lt;'Model inputs'!AJ54))),IF('Model inputs'!AJ87="","",'Model inputs'!AJ87),IF(IF(IF(ISERROR('Haq — Monthly P&amp;L and cash'!V5&lt;'Model inputs'!AJ84),'Haq — Monthly P&amp;L and cash'!V5&lt;'Model inputs'!AJ84,IF(OR('Haq — Monthly P&amp;L and cash'!V5="",'Model inputs'!AJ84=""),"",'Haq — Monthly P&amp;L and cash'!V5&lt;'Model inputs'!AJ84))="",FALSE,IF(ISERROR('Haq — Monthly P&amp;L and cash'!V5&lt;'Model inputs'!AJ84),'Haq — Monthly P&amp;L and cash'!V5&lt;'Model inputs'!AJ84,IF(OR('Haq — Monthly P&amp;L and cash'!V5="",'Model inputs'!AJ84=""),"",'Haq — Monthly P&amp;L and cash'!V5&lt;'Model inputs'!AJ84))),IF('Model inputs'!AJ55="","",'Model inputs'!AJ55),IF('Model inputs'!AJ85="","",'Model inputs'!AJ85)))</f>
        <v>4</v>
      </c>
      <c r="W6" s="9">
        <f>IF(IF(IF(ISERROR('Haq — Monthly P&amp;L and cash'!W5&lt;'Model inputs'!AJ54),'Haq — Monthly P&amp;L and cash'!W5&lt;'Model inputs'!AJ54,IF(OR('Haq — Monthly P&amp;L and cash'!W5="",'Model inputs'!AJ54=""),"",'Haq — Monthly P&amp;L and cash'!W5&lt;'Model inputs'!AJ54))="",FALSE,IF(ISERROR('Haq — Monthly P&amp;L and cash'!W5&lt;'Model inputs'!AJ54),'Haq — Monthly P&amp;L and cash'!W5&lt;'Model inputs'!AJ54,IF(OR('Haq — Monthly P&amp;L and cash'!W5="",'Model inputs'!AJ54=""),"",'Haq — Monthly P&amp;L and cash'!W5&lt;'Model inputs'!AJ54))),IF('Model inputs'!AJ87="","",'Model inputs'!AJ87),IF(IF(IF(ISERROR('Haq — Monthly P&amp;L and cash'!W5&lt;'Model inputs'!AJ84),'Haq — Monthly P&amp;L and cash'!W5&lt;'Model inputs'!AJ84,IF(OR('Haq — Monthly P&amp;L and cash'!W5="",'Model inputs'!AJ84=""),"",'Haq — Monthly P&amp;L and cash'!W5&lt;'Model inputs'!AJ84))="",FALSE,IF(ISERROR('Haq — Monthly P&amp;L and cash'!W5&lt;'Model inputs'!AJ84),'Haq — Monthly P&amp;L and cash'!W5&lt;'Model inputs'!AJ84,IF(OR('Haq — Monthly P&amp;L and cash'!W5="",'Model inputs'!AJ84=""),"",'Haq — Monthly P&amp;L and cash'!W5&lt;'Model inputs'!AJ84))),IF('Model inputs'!AJ55="","",'Model inputs'!AJ55),IF('Model inputs'!AJ85="","",'Model inputs'!AJ85)))</f>
        <v>4</v>
      </c>
      <c r="X6" s="9">
        <f>IF(IF(IF(ISERROR('Haq — Monthly P&amp;L and cash'!X5&lt;'Model inputs'!AJ54),'Haq — Monthly P&amp;L and cash'!X5&lt;'Model inputs'!AJ54,IF(OR('Haq — Monthly P&amp;L and cash'!X5="",'Model inputs'!AJ54=""),"",'Haq — Monthly P&amp;L and cash'!X5&lt;'Model inputs'!AJ54))="",FALSE,IF(ISERROR('Haq — Monthly P&amp;L and cash'!X5&lt;'Model inputs'!AJ54),'Haq — Monthly P&amp;L and cash'!X5&lt;'Model inputs'!AJ54,IF(OR('Haq — Monthly P&amp;L and cash'!X5="",'Model inputs'!AJ54=""),"",'Haq — Monthly P&amp;L and cash'!X5&lt;'Model inputs'!AJ54))),IF('Model inputs'!AJ87="","",'Model inputs'!AJ87),IF(IF(IF(ISERROR('Haq — Monthly P&amp;L and cash'!X5&lt;'Model inputs'!AJ84),'Haq — Monthly P&amp;L and cash'!X5&lt;'Model inputs'!AJ84,IF(OR('Haq — Monthly P&amp;L and cash'!X5="",'Model inputs'!AJ84=""),"",'Haq — Monthly P&amp;L and cash'!X5&lt;'Model inputs'!AJ84))="",FALSE,IF(ISERROR('Haq — Monthly P&amp;L and cash'!X5&lt;'Model inputs'!AJ84),'Haq — Monthly P&amp;L and cash'!X5&lt;'Model inputs'!AJ84,IF(OR('Haq — Monthly P&amp;L and cash'!X5="",'Model inputs'!AJ84=""),"",'Haq — Monthly P&amp;L and cash'!X5&lt;'Model inputs'!AJ84))),IF('Model inputs'!AJ55="","",'Model inputs'!AJ55),IF('Model inputs'!AJ85="","",'Model inputs'!AJ85)))</f>
        <v>4</v>
      </c>
      <c r="Y6" s="9">
        <f>IF(IF(IF(ISERROR('Haq — Monthly P&amp;L and cash'!Y5&lt;'Model inputs'!AJ54),'Haq — Monthly P&amp;L and cash'!Y5&lt;'Model inputs'!AJ54,IF(OR('Haq — Monthly P&amp;L and cash'!Y5="",'Model inputs'!AJ54=""),"",'Haq — Monthly P&amp;L and cash'!Y5&lt;'Model inputs'!AJ54))="",FALSE,IF(ISERROR('Haq — Monthly P&amp;L and cash'!Y5&lt;'Model inputs'!AJ54),'Haq — Monthly P&amp;L and cash'!Y5&lt;'Model inputs'!AJ54,IF(OR('Haq — Monthly P&amp;L and cash'!Y5="",'Model inputs'!AJ54=""),"",'Haq — Monthly P&amp;L and cash'!Y5&lt;'Model inputs'!AJ54))),IF('Model inputs'!AJ87="","",'Model inputs'!AJ87),IF(IF(IF(ISERROR('Haq — Monthly P&amp;L and cash'!Y5&lt;'Model inputs'!AJ84),'Haq — Monthly P&amp;L and cash'!Y5&lt;'Model inputs'!AJ84,IF(OR('Haq — Monthly P&amp;L and cash'!Y5="",'Model inputs'!AJ84=""),"",'Haq — Monthly P&amp;L and cash'!Y5&lt;'Model inputs'!AJ84))="",FALSE,IF(ISERROR('Haq — Monthly P&amp;L and cash'!Y5&lt;'Model inputs'!AJ84),'Haq — Monthly P&amp;L and cash'!Y5&lt;'Model inputs'!AJ84,IF(OR('Haq — Monthly P&amp;L and cash'!Y5="",'Model inputs'!AJ84=""),"",'Haq — Monthly P&amp;L and cash'!Y5&lt;'Model inputs'!AJ84))),IF('Model inputs'!AJ55="","",'Model inputs'!AJ55),IF('Model inputs'!AJ85="","",'Model inputs'!AJ85)))</f>
        <v>4</v>
      </c>
    </row>
    <row r="7">
      <c r="A7" t="inlineStr" s="8">
        <is>
          <t xml:space="preserve">Haq CSC operators</t>
        </is>
      </c>
      <c r="B7" s="10">
        <f>IF(IF(IF(ISERROR('Haq — Monthly P&amp;L and cash'!B5&lt;'Model inputs'!AJ40),'Haq — Monthly P&amp;L and cash'!B5&lt;'Model inputs'!AJ40,IF(OR('Haq — Monthly P&amp;L and cash'!B5="",'Model inputs'!AJ40=""),"",'Haq — Monthly P&amp;L and cash'!B5&lt;'Model inputs'!AJ40))="",FALSE,IF(ISERROR('Haq — Monthly P&amp;L and cash'!B5&lt;'Model inputs'!AJ40),'Haq — Monthly P&amp;L and cash'!B5&lt;'Model inputs'!AJ40,IF(OR('Haq — Monthly P&amp;L and cash'!B5="",'Model inputs'!AJ40=""),"",'Haq — Monthly P&amp;L and cash'!B5&lt;'Model inputs'!AJ40))),0,IF(IF(IF(ISERROR('Haq — Monthly P&amp;L and cash'!B5='Model inputs'!AJ40),'Haq — Monthly P&amp;L and cash'!B5='Model inputs'!AJ40,IF(OR('Haq — Monthly P&amp;L and cash'!B5="",'Model inputs'!AJ40=""),"",'Haq — Monthly P&amp;L and cash'!B5='Model inputs'!AJ40))="",FALSE,IF(ISERROR('Haq — Monthly P&amp;L and cash'!B5='Model inputs'!AJ40),'Haq — Monthly P&amp;L and cash'!B5='Model inputs'!AJ40,IF(OR('Haq — Monthly P&amp;L and cash'!B5="",'Model inputs'!AJ40=""),"",'Haq — Monthly P&amp;L and cash'!B5='Model inputs'!AJ40))),IF('Model inputs'!AJ41="","",'Model inputs'!AJ41),'Model inputs'!C14*(1+'Model inputs'!AJ37-'Model inputs'!AJ42)))</f>
        <v>0</v>
      </c>
      <c r="C7" s="10">
        <f>IF(IF(IF(ISERROR('Haq — Monthly P&amp;L and cash'!C5&lt;'Model inputs'!AJ40),'Haq — Monthly P&amp;L and cash'!C5&lt;'Model inputs'!AJ40,IF(OR('Haq — Monthly P&amp;L and cash'!C5="",'Model inputs'!AJ40=""),"",'Haq — Monthly P&amp;L and cash'!C5&lt;'Model inputs'!AJ40))="",FALSE,IF(ISERROR('Haq — Monthly P&amp;L and cash'!C5&lt;'Model inputs'!AJ40),'Haq — Monthly P&amp;L and cash'!C5&lt;'Model inputs'!AJ40,IF(OR('Haq — Monthly P&amp;L and cash'!C5="",'Model inputs'!AJ40=""),"",'Haq — Monthly P&amp;L and cash'!C5&lt;'Model inputs'!AJ40))),0,IF(IF(IF(ISERROR('Haq — Monthly P&amp;L and cash'!C5='Model inputs'!AJ40),'Haq — Monthly P&amp;L and cash'!C5='Model inputs'!AJ40,IF(OR('Haq — Monthly P&amp;L and cash'!C5="",'Model inputs'!AJ40=""),"",'Haq — Monthly P&amp;L and cash'!C5='Model inputs'!AJ40))="",FALSE,IF(ISERROR('Haq — Monthly P&amp;L and cash'!C5='Model inputs'!AJ40),'Haq — Monthly P&amp;L and cash'!C5='Model inputs'!AJ40,IF(OR('Haq — Monthly P&amp;L and cash'!C5="",'Model inputs'!AJ40=""),"",'Haq — Monthly P&amp;L and cash'!C5='Model inputs'!AJ40))),IF('Model inputs'!AJ41="","",'Model inputs'!AJ41),'Haq — Monthly P&amp;L and cash'!B7*(1+'Model inputs'!AJ37-'Model inputs'!AJ42)))</f>
        <v>0</v>
      </c>
      <c r="D7" s="10">
        <f>IF(IF(IF(ISERROR('Haq — Monthly P&amp;L and cash'!D5&lt;'Model inputs'!AJ40),'Haq — Monthly P&amp;L and cash'!D5&lt;'Model inputs'!AJ40,IF(OR('Haq — Monthly P&amp;L and cash'!D5="",'Model inputs'!AJ40=""),"",'Haq — Monthly P&amp;L and cash'!D5&lt;'Model inputs'!AJ40))="",FALSE,IF(ISERROR('Haq — Monthly P&amp;L and cash'!D5&lt;'Model inputs'!AJ40),'Haq — Monthly P&amp;L and cash'!D5&lt;'Model inputs'!AJ40,IF(OR('Haq — Monthly P&amp;L and cash'!D5="",'Model inputs'!AJ40=""),"",'Haq — Monthly P&amp;L and cash'!D5&lt;'Model inputs'!AJ40))),0,IF(IF(IF(ISERROR('Haq — Monthly P&amp;L and cash'!D5='Model inputs'!AJ40),'Haq — Monthly P&amp;L and cash'!D5='Model inputs'!AJ40,IF(OR('Haq — Monthly P&amp;L and cash'!D5="",'Model inputs'!AJ40=""),"",'Haq — Monthly P&amp;L and cash'!D5='Model inputs'!AJ40))="",FALSE,IF(ISERROR('Haq — Monthly P&amp;L and cash'!D5='Model inputs'!AJ40),'Haq — Monthly P&amp;L and cash'!D5='Model inputs'!AJ40,IF(OR('Haq — Monthly P&amp;L and cash'!D5="",'Model inputs'!AJ40=""),"",'Haq — Monthly P&amp;L and cash'!D5='Model inputs'!AJ40))),IF('Model inputs'!AJ41="","",'Model inputs'!AJ41),'Haq — Monthly P&amp;L and cash'!C7*(1+'Model inputs'!AJ37-'Model inputs'!AJ42)))</f>
        <v>0</v>
      </c>
      <c r="E7" s="10">
        <f>IF(IF(IF(ISERROR('Haq — Monthly P&amp;L and cash'!E5&lt;'Model inputs'!AJ40),'Haq — Monthly P&amp;L and cash'!E5&lt;'Model inputs'!AJ40,IF(OR('Haq — Monthly P&amp;L and cash'!E5="",'Model inputs'!AJ40=""),"",'Haq — Monthly P&amp;L and cash'!E5&lt;'Model inputs'!AJ40))="",FALSE,IF(ISERROR('Haq — Monthly P&amp;L and cash'!E5&lt;'Model inputs'!AJ40),'Haq — Monthly P&amp;L and cash'!E5&lt;'Model inputs'!AJ40,IF(OR('Haq — Monthly P&amp;L and cash'!E5="",'Model inputs'!AJ40=""),"",'Haq — Monthly P&amp;L and cash'!E5&lt;'Model inputs'!AJ40))),0,IF(IF(IF(ISERROR('Haq — Monthly P&amp;L and cash'!E5='Model inputs'!AJ40),'Haq — Monthly P&amp;L and cash'!E5='Model inputs'!AJ40,IF(OR('Haq — Monthly P&amp;L and cash'!E5="",'Model inputs'!AJ40=""),"",'Haq — Monthly P&amp;L and cash'!E5='Model inputs'!AJ40))="",FALSE,IF(ISERROR('Haq — Monthly P&amp;L and cash'!E5='Model inputs'!AJ40),'Haq — Monthly P&amp;L and cash'!E5='Model inputs'!AJ40,IF(OR('Haq — Monthly P&amp;L and cash'!E5="",'Model inputs'!AJ40=""),"",'Haq — Monthly P&amp;L and cash'!E5='Model inputs'!AJ40))),IF('Model inputs'!AJ41="","",'Model inputs'!AJ41),'Haq — Monthly P&amp;L and cash'!D7*(1+'Model inputs'!AJ37-'Model inputs'!AJ42)))</f>
        <v>50</v>
      </c>
      <c r="F7" s="10">
        <f>IF(IF(IF(ISERROR('Haq — Monthly P&amp;L and cash'!F5&lt;'Model inputs'!AJ40),'Haq — Monthly P&amp;L and cash'!F5&lt;'Model inputs'!AJ40,IF(OR('Haq — Monthly P&amp;L and cash'!F5="",'Model inputs'!AJ40=""),"",'Haq — Monthly P&amp;L and cash'!F5&lt;'Model inputs'!AJ40))="",FALSE,IF(ISERROR('Haq — Monthly P&amp;L and cash'!F5&lt;'Model inputs'!AJ40),'Haq — Monthly P&amp;L and cash'!F5&lt;'Model inputs'!AJ40,IF(OR('Haq — Monthly P&amp;L and cash'!F5="",'Model inputs'!AJ40=""),"",'Haq — Monthly P&amp;L and cash'!F5&lt;'Model inputs'!AJ40))),0,IF(IF(IF(ISERROR('Haq — Monthly P&amp;L and cash'!F5='Model inputs'!AJ40),'Haq — Monthly P&amp;L and cash'!F5='Model inputs'!AJ40,IF(OR('Haq — Monthly P&amp;L and cash'!F5="",'Model inputs'!AJ40=""),"",'Haq — Monthly P&amp;L and cash'!F5='Model inputs'!AJ40))="",FALSE,IF(ISERROR('Haq — Monthly P&amp;L and cash'!F5='Model inputs'!AJ40),'Haq — Monthly P&amp;L and cash'!F5='Model inputs'!AJ40,IF(OR('Haq — Monthly P&amp;L and cash'!F5="",'Model inputs'!AJ40=""),"",'Haq — Monthly P&amp;L and cash'!F5='Model inputs'!AJ40))),IF('Model inputs'!AJ41="","",'Model inputs'!AJ41),'Haq — Monthly P&amp;L and cash'!E7*(1+'Model inputs'!AJ37-'Model inputs'!AJ42)))</f>
        <v>57.49999999999999</v>
      </c>
      <c r="G7" s="10">
        <f>IF(IF(IF(ISERROR('Haq — Monthly P&amp;L and cash'!G5&lt;'Model inputs'!AJ40),'Haq — Monthly P&amp;L and cash'!G5&lt;'Model inputs'!AJ40,IF(OR('Haq — Monthly P&amp;L and cash'!G5="",'Model inputs'!AJ40=""),"",'Haq — Monthly P&amp;L and cash'!G5&lt;'Model inputs'!AJ40))="",FALSE,IF(ISERROR('Haq — Monthly P&amp;L and cash'!G5&lt;'Model inputs'!AJ40),'Haq — Monthly P&amp;L and cash'!G5&lt;'Model inputs'!AJ40,IF(OR('Haq — Monthly P&amp;L and cash'!G5="",'Model inputs'!AJ40=""),"",'Haq — Monthly P&amp;L and cash'!G5&lt;'Model inputs'!AJ40))),0,IF(IF(IF(ISERROR('Haq — Monthly P&amp;L and cash'!G5='Model inputs'!AJ40),'Haq — Monthly P&amp;L and cash'!G5='Model inputs'!AJ40,IF(OR('Haq — Monthly P&amp;L and cash'!G5="",'Model inputs'!AJ40=""),"",'Haq — Monthly P&amp;L and cash'!G5='Model inputs'!AJ40))="",FALSE,IF(ISERROR('Haq — Monthly P&amp;L and cash'!G5='Model inputs'!AJ40),'Haq — Monthly P&amp;L and cash'!G5='Model inputs'!AJ40,IF(OR('Haq — Monthly P&amp;L and cash'!G5="",'Model inputs'!AJ40=""),"",'Haq — Monthly P&amp;L and cash'!G5='Model inputs'!AJ40))),IF('Model inputs'!AJ41="","",'Model inputs'!AJ41),'Haq — Monthly P&amp;L and cash'!F7*(1+'Model inputs'!AJ37-'Model inputs'!AJ42)))</f>
        <v>66.12499999999999</v>
      </c>
      <c r="H7" s="10">
        <f>IF(IF(IF(ISERROR('Haq — Monthly P&amp;L and cash'!H5&lt;'Model inputs'!AJ40),'Haq — Monthly P&amp;L and cash'!H5&lt;'Model inputs'!AJ40,IF(OR('Haq — Monthly P&amp;L and cash'!H5="",'Model inputs'!AJ40=""),"",'Haq — Monthly P&amp;L and cash'!H5&lt;'Model inputs'!AJ40))="",FALSE,IF(ISERROR('Haq — Monthly P&amp;L and cash'!H5&lt;'Model inputs'!AJ40),'Haq — Monthly P&amp;L and cash'!H5&lt;'Model inputs'!AJ40,IF(OR('Haq — Monthly P&amp;L and cash'!H5="",'Model inputs'!AJ40=""),"",'Haq — Monthly P&amp;L and cash'!H5&lt;'Model inputs'!AJ40))),0,IF(IF(IF(ISERROR('Haq — Monthly P&amp;L and cash'!H5='Model inputs'!AJ40),'Haq — Monthly P&amp;L and cash'!H5='Model inputs'!AJ40,IF(OR('Haq — Monthly P&amp;L and cash'!H5="",'Model inputs'!AJ40=""),"",'Haq — Monthly P&amp;L and cash'!H5='Model inputs'!AJ40))="",FALSE,IF(ISERROR('Haq — Monthly P&amp;L and cash'!H5='Model inputs'!AJ40),'Haq — Monthly P&amp;L and cash'!H5='Model inputs'!AJ40,IF(OR('Haq — Monthly P&amp;L and cash'!H5="",'Model inputs'!AJ40=""),"",'Haq — Monthly P&amp;L and cash'!H5='Model inputs'!AJ40))),IF('Model inputs'!AJ41="","",'Model inputs'!AJ41),'Haq — Monthly P&amp;L and cash'!G7*(1+'Model inputs'!AJ37-'Model inputs'!AJ42)))</f>
        <v>76.04374999999997</v>
      </c>
      <c r="I7" s="10">
        <f>IF(IF(IF(ISERROR('Haq — Monthly P&amp;L and cash'!I5&lt;'Model inputs'!AJ40),'Haq — Monthly P&amp;L and cash'!I5&lt;'Model inputs'!AJ40,IF(OR('Haq — Monthly P&amp;L and cash'!I5="",'Model inputs'!AJ40=""),"",'Haq — Monthly P&amp;L and cash'!I5&lt;'Model inputs'!AJ40))="",FALSE,IF(ISERROR('Haq — Monthly P&amp;L and cash'!I5&lt;'Model inputs'!AJ40),'Haq — Monthly P&amp;L and cash'!I5&lt;'Model inputs'!AJ40,IF(OR('Haq — Monthly P&amp;L and cash'!I5="",'Model inputs'!AJ40=""),"",'Haq — Monthly P&amp;L and cash'!I5&lt;'Model inputs'!AJ40))),0,IF(IF(IF(ISERROR('Haq — Monthly P&amp;L and cash'!I5='Model inputs'!AJ40),'Haq — Monthly P&amp;L and cash'!I5='Model inputs'!AJ40,IF(OR('Haq — Monthly P&amp;L and cash'!I5="",'Model inputs'!AJ40=""),"",'Haq — Monthly P&amp;L and cash'!I5='Model inputs'!AJ40))="",FALSE,IF(ISERROR('Haq — Monthly P&amp;L and cash'!I5='Model inputs'!AJ40),'Haq — Monthly P&amp;L and cash'!I5='Model inputs'!AJ40,IF(OR('Haq — Monthly P&amp;L and cash'!I5="",'Model inputs'!AJ40=""),"",'Haq — Monthly P&amp;L and cash'!I5='Model inputs'!AJ40))),IF('Model inputs'!AJ41="","",'Model inputs'!AJ41),'Haq — Monthly P&amp;L and cash'!H7*(1+'Model inputs'!AJ37-'Model inputs'!AJ42)))</f>
        <v>87.45031249999997</v>
      </c>
      <c r="J7" s="10">
        <f>IF(IF(IF(ISERROR('Haq — Monthly P&amp;L and cash'!J5&lt;'Model inputs'!AJ40),'Haq — Monthly P&amp;L and cash'!J5&lt;'Model inputs'!AJ40,IF(OR('Haq — Monthly P&amp;L and cash'!J5="",'Model inputs'!AJ40=""),"",'Haq — Monthly P&amp;L and cash'!J5&lt;'Model inputs'!AJ40))="",FALSE,IF(ISERROR('Haq — Monthly P&amp;L and cash'!J5&lt;'Model inputs'!AJ40),'Haq — Monthly P&amp;L and cash'!J5&lt;'Model inputs'!AJ40,IF(OR('Haq — Monthly P&amp;L and cash'!J5="",'Model inputs'!AJ40=""),"",'Haq — Monthly P&amp;L and cash'!J5&lt;'Model inputs'!AJ40))),0,IF(IF(IF(ISERROR('Haq — Monthly P&amp;L and cash'!J5='Model inputs'!AJ40),'Haq — Monthly P&amp;L and cash'!J5='Model inputs'!AJ40,IF(OR('Haq — Monthly P&amp;L and cash'!J5="",'Model inputs'!AJ40=""),"",'Haq — Monthly P&amp;L and cash'!J5='Model inputs'!AJ40))="",FALSE,IF(ISERROR('Haq — Monthly P&amp;L and cash'!J5='Model inputs'!AJ40),'Haq — Monthly P&amp;L and cash'!J5='Model inputs'!AJ40,IF(OR('Haq — Monthly P&amp;L and cash'!J5="",'Model inputs'!AJ40=""),"",'Haq — Monthly P&amp;L and cash'!J5='Model inputs'!AJ40))),IF('Model inputs'!AJ41="","",'Model inputs'!AJ41),'Haq — Monthly P&amp;L and cash'!I7*(1+'Model inputs'!AJ37-'Model inputs'!AJ42)))</f>
        <v>100.56785937499995</v>
      </c>
      <c r="K7" s="10">
        <f>IF(IF(IF(ISERROR('Haq — Monthly P&amp;L and cash'!K5&lt;'Model inputs'!AJ40),'Haq — Monthly P&amp;L and cash'!K5&lt;'Model inputs'!AJ40,IF(OR('Haq — Monthly P&amp;L and cash'!K5="",'Model inputs'!AJ40=""),"",'Haq — Monthly P&amp;L and cash'!K5&lt;'Model inputs'!AJ40))="",FALSE,IF(ISERROR('Haq — Monthly P&amp;L and cash'!K5&lt;'Model inputs'!AJ40),'Haq — Monthly P&amp;L and cash'!K5&lt;'Model inputs'!AJ40,IF(OR('Haq — Monthly P&amp;L and cash'!K5="",'Model inputs'!AJ40=""),"",'Haq — Monthly P&amp;L and cash'!K5&lt;'Model inputs'!AJ40))),0,IF(IF(IF(ISERROR('Haq — Monthly P&amp;L and cash'!K5='Model inputs'!AJ40),'Haq — Monthly P&amp;L and cash'!K5='Model inputs'!AJ40,IF(OR('Haq — Monthly P&amp;L and cash'!K5="",'Model inputs'!AJ40=""),"",'Haq — Monthly P&amp;L and cash'!K5='Model inputs'!AJ40))="",FALSE,IF(ISERROR('Haq — Monthly P&amp;L and cash'!K5='Model inputs'!AJ40),'Haq — Monthly P&amp;L and cash'!K5='Model inputs'!AJ40,IF(OR('Haq — Monthly P&amp;L and cash'!K5="",'Model inputs'!AJ40=""),"",'Haq — Monthly P&amp;L and cash'!K5='Model inputs'!AJ40))),IF('Model inputs'!AJ41="","",'Model inputs'!AJ41),'Haq — Monthly P&amp;L and cash'!J7*(1+'Model inputs'!AJ37-'Model inputs'!AJ42)))</f>
        <v>115.65303828124993</v>
      </c>
      <c r="L7" s="10">
        <f>IF(IF(IF(ISERROR('Haq — Monthly P&amp;L and cash'!L5&lt;'Model inputs'!AJ40),'Haq — Monthly P&amp;L and cash'!L5&lt;'Model inputs'!AJ40,IF(OR('Haq — Monthly P&amp;L and cash'!L5="",'Model inputs'!AJ40=""),"",'Haq — Monthly P&amp;L and cash'!L5&lt;'Model inputs'!AJ40))="",FALSE,IF(ISERROR('Haq — Monthly P&amp;L and cash'!L5&lt;'Model inputs'!AJ40),'Haq — Monthly P&amp;L and cash'!L5&lt;'Model inputs'!AJ40,IF(OR('Haq — Monthly P&amp;L and cash'!L5="",'Model inputs'!AJ40=""),"",'Haq — Monthly P&amp;L and cash'!L5&lt;'Model inputs'!AJ40))),0,IF(IF(IF(ISERROR('Haq — Monthly P&amp;L and cash'!L5='Model inputs'!AJ40),'Haq — Monthly P&amp;L and cash'!L5='Model inputs'!AJ40,IF(OR('Haq — Monthly P&amp;L and cash'!L5="",'Model inputs'!AJ40=""),"",'Haq — Monthly P&amp;L and cash'!L5='Model inputs'!AJ40))="",FALSE,IF(ISERROR('Haq — Monthly P&amp;L and cash'!L5='Model inputs'!AJ40),'Haq — Monthly P&amp;L and cash'!L5='Model inputs'!AJ40,IF(OR('Haq — Monthly P&amp;L and cash'!L5="",'Model inputs'!AJ40=""),"",'Haq — Monthly P&amp;L and cash'!L5='Model inputs'!AJ40))),IF('Model inputs'!AJ41="","",'Model inputs'!AJ41),'Haq — Monthly P&amp;L and cash'!K7*(1+'Model inputs'!AJ37-'Model inputs'!AJ42)))</f>
        <v>133.0009940234374</v>
      </c>
      <c r="M7" s="10">
        <f>IF(IF(IF(ISERROR('Haq — Monthly P&amp;L and cash'!M5&lt;'Model inputs'!AJ40),'Haq — Monthly P&amp;L and cash'!M5&lt;'Model inputs'!AJ40,IF(OR('Haq — Monthly P&amp;L and cash'!M5="",'Model inputs'!AJ40=""),"",'Haq — Monthly P&amp;L and cash'!M5&lt;'Model inputs'!AJ40))="",FALSE,IF(ISERROR('Haq — Monthly P&amp;L and cash'!M5&lt;'Model inputs'!AJ40),'Haq — Monthly P&amp;L and cash'!M5&lt;'Model inputs'!AJ40,IF(OR('Haq — Monthly P&amp;L and cash'!M5="",'Model inputs'!AJ40=""),"",'Haq — Monthly P&amp;L and cash'!M5&lt;'Model inputs'!AJ40))),0,IF(IF(IF(ISERROR('Haq — Monthly P&amp;L and cash'!M5='Model inputs'!AJ40),'Haq — Monthly P&amp;L and cash'!M5='Model inputs'!AJ40,IF(OR('Haq — Monthly P&amp;L and cash'!M5="",'Model inputs'!AJ40=""),"",'Haq — Monthly P&amp;L and cash'!M5='Model inputs'!AJ40))="",FALSE,IF(ISERROR('Haq — Monthly P&amp;L and cash'!M5='Model inputs'!AJ40),'Haq — Monthly P&amp;L and cash'!M5='Model inputs'!AJ40,IF(OR('Haq — Monthly P&amp;L and cash'!M5="",'Model inputs'!AJ40=""),"",'Haq — Monthly P&amp;L and cash'!M5='Model inputs'!AJ40))),IF('Model inputs'!AJ41="","",'Model inputs'!AJ41),'Haq — Monthly P&amp;L and cash'!L7*(1+'Model inputs'!AJ37-'Model inputs'!AJ42)))</f>
        <v>152.951143126953</v>
      </c>
      <c r="N7" s="10">
        <f>IF(IF(IF(ISERROR('Haq — Monthly P&amp;L and cash'!N5&lt;'Model inputs'!AJ40),'Haq — Monthly P&amp;L and cash'!N5&lt;'Model inputs'!AJ40,IF(OR('Haq — Monthly P&amp;L and cash'!N5="",'Model inputs'!AJ40=""),"",'Haq — Monthly P&amp;L and cash'!N5&lt;'Model inputs'!AJ40))="",FALSE,IF(ISERROR('Haq — Monthly P&amp;L and cash'!N5&lt;'Model inputs'!AJ40),'Haq — Monthly P&amp;L and cash'!N5&lt;'Model inputs'!AJ40,IF(OR('Haq — Monthly P&amp;L and cash'!N5="",'Model inputs'!AJ40=""),"",'Haq — Monthly P&amp;L and cash'!N5&lt;'Model inputs'!AJ40))),0,IF(IF(IF(ISERROR('Haq — Monthly P&amp;L and cash'!N5='Model inputs'!AJ40),'Haq — Monthly P&amp;L and cash'!N5='Model inputs'!AJ40,IF(OR('Haq — Monthly P&amp;L and cash'!N5="",'Model inputs'!AJ40=""),"",'Haq — Monthly P&amp;L and cash'!N5='Model inputs'!AJ40))="",FALSE,IF(ISERROR('Haq — Monthly P&amp;L and cash'!N5='Model inputs'!AJ40),'Haq — Monthly P&amp;L and cash'!N5='Model inputs'!AJ40,IF(OR('Haq — Monthly P&amp;L and cash'!N5="",'Model inputs'!AJ40=""),"",'Haq — Monthly P&amp;L and cash'!N5='Model inputs'!AJ40))),IF('Model inputs'!AJ41="","",'Model inputs'!AJ41),'Haq — Monthly P&amp;L and cash'!M7*(1+'Model inputs'!AJ37-'Model inputs'!AJ42)))</f>
        <v>175.89381459599596</v>
      </c>
      <c r="O7" s="10">
        <f>IF(IF(IF(ISERROR('Haq — Monthly P&amp;L and cash'!O5&lt;'Model inputs'!AJ40),'Haq — Monthly P&amp;L and cash'!O5&lt;'Model inputs'!AJ40,IF(OR('Haq — Monthly P&amp;L and cash'!O5="",'Model inputs'!AJ40=""),"",'Haq — Monthly P&amp;L and cash'!O5&lt;'Model inputs'!AJ40))="",FALSE,IF(ISERROR('Haq — Monthly P&amp;L and cash'!O5&lt;'Model inputs'!AJ40),'Haq — Monthly P&amp;L and cash'!O5&lt;'Model inputs'!AJ40,IF(OR('Haq — Monthly P&amp;L and cash'!O5="",'Model inputs'!AJ40=""),"",'Haq — Monthly P&amp;L and cash'!O5&lt;'Model inputs'!AJ40))),0,IF(IF(IF(ISERROR('Haq — Monthly P&amp;L and cash'!O5='Model inputs'!AJ40),'Haq — Monthly P&amp;L and cash'!O5='Model inputs'!AJ40,IF(OR('Haq — Monthly P&amp;L and cash'!O5="",'Model inputs'!AJ40=""),"",'Haq — Monthly P&amp;L and cash'!O5='Model inputs'!AJ40))="",FALSE,IF(ISERROR('Haq — Monthly P&amp;L and cash'!O5='Model inputs'!AJ40),'Haq — Monthly P&amp;L and cash'!O5='Model inputs'!AJ40,IF(OR('Haq — Monthly P&amp;L and cash'!O5="",'Model inputs'!AJ40=""),"",'Haq — Monthly P&amp;L and cash'!O5='Model inputs'!AJ40))),IF('Model inputs'!AJ41="","",'Model inputs'!AJ41),'Haq — Monthly P&amp;L and cash'!N7*(1+'Model inputs'!AJ37-'Model inputs'!AJ42)))</f>
        <v>202.27788678539534</v>
      </c>
      <c r="P7" s="10">
        <f>IF(IF(IF(ISERROR('Haq — Monthly P&amp;L and cash'!P5&lt;'Model inputs'!AJ40),'Haq — Monthly P&amp;L and cash'!P5&lt;'Model inputs'!AJ40,IF(OR('Haq — Monthly P&amp;L and cash'!P5="",'Model inputs'!AJ40=""),"",'Haq — Monthly P&amp;L and cash'!P5&lt;'Model inputs'!AJ40))="",FALSE,IF(ISERROR('Haq — Monthly P&amp;L and cash'!P5&lt;'Model inputs'!AJ40),'Haq — Monthly P&amp;L and cash'!P5&lt;'Model inputs'!AJ40,IF(OR('Haq — Monthly P&amp;L and cash'!P5="",'Model inputs'!AJ40=""),"",'Haq — Monthly P&amp;L and cash'!P5&lt;'Model inputs'!AJ40))),0,IF(IF(IF(ISERROR('Haq — Monthly P&amp;L and cash'!P5='Model inputs'!AJ40),'Haq — Monthly P&amp;L and cash'!P5='Model inputs'!AJ40,IF(OR('Haq — Monthly P&amp;L and cash'!P5="",'Model inputs'!AJ40=""),"",'Haq — Monthly P&amp;L and cash'!P5='Model inputs'!AJ40))="",FALSE,IF(ISERROR('Haq — Monthly P&amp;L and cash'!P5='Model inputs'!AJ40),'Haq — Monthly P&amp;L and cash'!P5='Model inputs'!AJ40,IF(OR('Haq — Monthly P&amp;L and cash'!P5="",'Model inputs'!AJ40=""),"",'Haq — Monthly P&amp;L and cash'!P5='Model inputs'!AJ40))),IF('Model inputs'!AJ41="","",'Model inputs'!AJ41),'Haq — Monthly P&amp;L and cash'!O7*(1+'Model inputs'!AJ37-'Model inputs'!AJ42)))</f>
        <v>232.61956980320463</v>
      </c>
      <c r="Q7" s="10">
        <f>IF(IF(IF(ISERROR('Haq — Monthly P&amp;L and cash'!Q5&lt;'Model inputs'!AJ40),'Haq — Monthly P&amp;L and cash'!Q5&lt;'Model inputs'!AJ40,IF(OR('Haq — Monthly P&amp;L and cash'!Q5="",'Model inputs'!AJ40=""),"",'Haq — Monthly P&amp;L and cash'!Q5&lt;'Model inputs'!AJ40))="",FALSE,IF(ISERROR('Haq — Monthly P&amp;L and cash'!Q5&lt;'Model inputs'!AJ40),'Haq — Monthly P&amp;L and cash'!Q5&lt;'Model inputs'!AJ40,IF(OR('Haq — Monthly P&amp;L and cash'!Q5="",'Model inputs'!AJ40=""),"",'Haq — Monthly P&amp;L and cash'!Q5&lt;'Model inputs'!AJ40))),0,IF(IF(IF(ISERROR('Haq — Monthly P&amp;L and cash'!Q5='Model inputs'!AJ40),'Haq — Monthly P&amp;L and cash'!Q5='Model inputs'!AJ40,IF(OR('Haq — Monthly P&amp;L and cash'!Q5="",'Model inputs'!AJ40=""),"",'Haq — Monthly P&amp;L and cash'!Q5='Model inputs'!AJ40))="",FALSE,IF(ISERROR('Haq — Monthly P&amp;L and cash'!Q5='Model inputs'!AJ40),'Haq — Monthly P&amp;L and cash'!Q5='Model inputs'!AJ40,IF(OR('Haq — Monthly P&amp;L and cash'!Q5="",'Model inputs'!AJ40=""),"",'Haq — Monthly P&amp;L and cash'!Q5='Model inputs'!AJ40))),IF('Model inputs'!AJ41="","",'Model inputs'!AJ41),'Haq — Monthly P&amp;L and cash'!P7*(1+'Model inputs'!AJ37-'Model inputs'!AJ42)))</f>
        <v>267.5125052736853</v>
      </c>
      <c r="R7" s="10">
        <f>IF(IF(IF(ISERROR('Haq — Monthly P&amp;L and cash'!R5&lt;'Model inputs'!AJ40),'Haq — Monthly P&amp;L and cash'!R5&lt;'Model inputs'!AJ40,IF(OR('Haq — Monthly P&amp;L and cash'!R5="",'Model inputs'!AJ40=""),"",'Haq — Monthly P&amp;L and cash'!R5&lt;'Model inputs'!AJ40))="",FALSE,IF(ISERROR('Haq — Monthly P&amp;L and cash'!R5&lt;'Model inputs'!AJ40),'Haq — Monthly P&amp;L and cash'!R5&lt;'Model inputs'!AJ40,IF(OR('Haq — Monthly P&amp;L and cash'!R5="",'Model inputs'!AJ40=""),"",'Haq — Monthly P&amp;L and cash'!R5&lt;'Model inputs'!AJ40))),0,IF(IF(IF(ISERROR('Haq — Monthly P&amp;L and cash'!R5='Model inputs'!AJ40),'Haq — Monthly P&amp;L and cash'!R5='Model inputs'!AJ40,IF(OR('Haq — Monthly P&amp;L and cash'!R5="",'Model inputs'!AJ40=""),"",'Haq — Monthly P&amp;L and cash'!R5='Model inputs'!AJ40))="",FALSE,IF(ISERROR('Haq — Monthly P&amp;L and cash'!R5='Model inputs'!AJ40),'Haq — Monthly P&amp;L and cash'!R5='Model inputs'!AJ40,IF(OR('Haq — Monthly P&amp;L and cash'!R5="",'Model inputs'!AJ40=""),"",'Haq — Monthly P&amp;L and cash'!R5='Model inputs'!AJ40))),IF('Model inputs'!AJ41="","",'Model inputs'!AJ41),'Haq — Monthly P&amp;L and cash'!Q7*(1+'Model inputs'!AJ37-'Model inputs'!AJ42)))</f>
        <v>307.6393810647381</v>
      </c>
      <c r="S7" s="10">
        <f>IF(IF(IF(ISERROR('Haq — Monthly P&amp;L and cash'!S5&lt;'Model inputs'!AJ40),'Haq — Monthly P&amp;L and cash'!S5&lt;'Model inputs'!AJ40,IF(OR('Haq — Monthly P&amp;L and cash'!S5="",'Model inputs'!AJ40=""),"",'Haq — Monthly P&amp;L and cash'!S5&lt;'Model inputs'!AJ40))="",FALSE,IF(ISERROR('Haq — Monthly P&amp;L and cash'!S5&lt;'Model inputs'!AJ40),'Haq — Monthly P&amp;L and cash'!S5&lt;'Model inputs'!AJ40,IF(OR('Haq — Monthly P&amp;L and cash'!S5="",'Model inputs'!AJ40=""),"",'Haq — Monthly P&amp;L and cash'!S5&lt;'Model inputs'!AJ40))),0,IF(IF(IF(ISERROR('Haq — Monthly P&amp;L and cash'!S5='Model inputs'!AJ40),'Haq — Monthly P&amp;L and cash'!S5='Model inputs'!AJ40,IF(OR('Haq — Monthly P&amp;L and cash'!S5="",'Model inputs'!AJ40=""),"",'Haq — Monthly P&amp;L and cash'!S5='Model inputs'!AJ40))="",FALSE,IF(ISERROR('Haq — Monthly P&amp;L and cash'!S5='Model inputs'!AJ40),'Haq — Monthly P&amp;L and cash'!S5='Model inputs'!AJ40,IF(OR('Haq — Monthly P&amp;L and cash'!S5="",'Model inputs'!AJ40=""),"",'Haq — Monthly P&amp;L and cash'!S5='Model inputs'!AJ40))),IF('Model inputs'!AJ41="","",'Model inputs'!AJ41),'Haq — Monthly P&amp;L and cash'!R7*(1+'Model inputs'!AJ37-'Model inputs'!AJ42)))</f>
        <v>353.7852882244488</v>
      </c>
      <c r="T7" s="10">
        <f>IF(IF(IF(ISERROR('Haq — Monthly P&amp;L and cash'!T5&lt;'Model inputs'!AJ40),'Haq — Monthly P&amp;L and cash'!T5&lt;'Model inputs'!AJ40,IF(OR('Haq — Monthly P&amp;L and cash'!T5="",'Model inputs'!AJ40=""),"",'Haq — Monthly P&amp;L and cash'!T5&lt;'Model inputs'!AJ40))="",FALSE,IF(ISERROR('Haq — Monthly P&amp;L and cash'!T5&lt;'Model inputs'!AJ40),'Haq — Monthly P&amp;L and cash'!T5&lt;'Model inputs'!AJ40,IF(OR('Haq — Monthly P&amp;L and cash'!T5="",'Model inputs'!AJ40=""),"",'Haq — Monthly P&amp;L and cash'!T5&lt;'Model inputs'!AJ40))),0,IF(IF(IF(ISERROR('Haq — Monthly P&amp;L and cash'!T5='Model inputs'!AJ40),'Haq — Monthly P&amp;L and cash'!T5='Model inputs'!AJ40,IF(OR('Haq — Monthly P&amp;L and cash'!T5="",'Model inputs'!AJ40=""),"",'Haq — Monthly P&amp;L and cash'!T5='Model inputs'!AJ40))="",FALSE,IF(ISERROR('Haq — Monthly P&amp;L and cash'!T5='Model inputs'!AJ40),'Haq — Monthly P&amp;L and cash'!T5='Model inputs'!AJ40,IF(OR('Haq — Monthly P&amp;L and cash'!T5="",'Model inputs'!AJ40=""),"",'Haq — Monthly P&amp;L and cash'!T5='Model inputs'!AJ40))),IF('Model inputs'!AJ41="","",'Model inputs'!AJ41),'Haq — Monthly P&amp;L and cash'!S7*(1+'Model inputs'!AJ37-'Model inputs'!AJ42)))</f>
        <v>406.85308145811604</v>
      </c>
      <c r="U7" s="10">
        <f>IF(IF(IF(ISERROR('Haq — Monthly P&amp;L and cash'!U5&lt;'Model inputs'!AJ40),'Haq — Monthly P&amp;L and cash'!U5&lt;'Model inputs'!AJ40,IF(OR('Haq — Monthly P&amp;L and cash'!U5="",'Model inputs'!AJ40=""),"",'Haq — Monthly P&amp;L and cash'!U5&lt;'Model inputs'!AJ40))="",FALSE,IF(ISERROR('Haq — Monthly P&amp;L and cash'!U5&lt;'Model inputs'!AJ40),'Haq — Monthly P&amp;L and cash'!U5&lt;'Model inputs'!AJ40,IF(OR('Haq — Monthly P&amp;L and cash'!U5="",'Model inputs'!AJ40=""),"",'Haq — Monthly P&amp;L and cash'!U5&lt;'Model inputs'!AJ40))),0,IF(IF(IF(ISERROR('Haq — Monthly P&amp;L and cash'!U5='Model inputs'!AJ40),'Haq — Monthly P&amp;L and cash'!U5='Model inputs'!AJ40,IF(OR('Haq — Monthly P&amp;L and cash'!U5="",'Model inputs'!AJ40=""),"",'Haq — Monthly P&amp;L and cash'!U5='Model inputs'!AJ40))="",FALSE,IF(ISERROR('Haq — Monthly P&amp;L and cash'!U5='Model inputs'!AJ40),'Haq — Monthly P&amp;L and cash'!U5='Model inputs'!AJ40,IF(OR('Haq — Monthly P&amp;L and cash'!U5="",'Model inputs'!AJ40=""),"",'Haq — Monthly P&amp;L and cash'!U5='Model inputs'!AJ40))),IF('Model inputs'!AJ41="","",'Model inputs'!AJ41),'Haq — Monthly P&amp;L and cash'!T7*(1+'Model inputs'!AJ37-'Model inputs'!AJ42)))</f>
        <v>467.88104367683343</v>
      </c>
      <c r="V7" s="10">
        <f>IF(IF(IF(ISERROR('Haq — Monthly P&amp;L and cash'!V5&lt;'Model inputs'!AJ40),'Haq — Monthly P&amp;L and cash'!V5&lt;'Model inputs'!AJ40,IF(OR('Haq — Monthly P&amp;L and cash'!V5="",'Model inputs'!AJ40=""),"",'Haq — Monthly P&amp;L and cash'!V5&lt;'Model inputs'!AJ40))="",FALSE,IF(ISERROR('Haq — Monthly P&amp;L and cash'!V5&lt;'Model inputs'!AJ40),'Haq — Monthly P&amp;L and cash'!V5&lt;'Model inputs'!AJ40,IF(OR('Haq — Monthly P&amp;L and cash'!V5="",'Model inputs'!AJ40=""),"",'Haq — Monthly P&amp;L and cash'!V5&lt;'Model inputs'!AJ40))),0,IF(IF(IF(ISERROR('Haq — Monthly P&amp;L and cash'!V5='Model inputs'!AJ40),'Haq — Monthly P&amp;L and cash'!V5='Model inputs'!AJ40,IF(OR('Haq — Monthly P&amp;L and cash'!V5="",'Model inputs'!AJ40=""),"",'Haq — Monthly P&amp;L and cash'!V5='Model inputs'!AJ40))="",FALSE,IF(ISERROR('Haq — Monthly P&amp;L and cash'!V5='Model inputs'!AJ40),'Haq — Monthly P&amp;L and cash'!V5='Model inputs'!AJ40,IF(OR('Haq — Monthly P&amp;L and cash'!V5="",'Model inputs'!AJ40=""),"",'Haq — Monthly P&amp;L and cash'!V5='Model inputs'!AJ40))),IF('Model inputs'!AJ41="","",'Model inputs'!AJ41),'Haq — Monthly P&amp;L and cash'!U7*(1+'Model inputs'!AJ37-'Model inputs'!AJ42)))</f>
        <v>538.0632002283584</v>
      </c>
      <c r="W7" s="10">
        <f>IF(IF(IF(ISERROR('Haq — Monthly P&amp;L and cash'!W5&lt;'Model inputs'!AJ40),'Haq — Monthly P&amp;L and cash'!W5&lt;'Model inputs'!AJ40,IF(OR('Haq — Monthly P&amp;L and cash'!W5="",'Model inputs'!AJ40=""),"",'Haq — Monthly P&amp;L and cash'!W5&lt;'Model inputs'!AJ40))="",FALSE,IF(ISERROR('Haq — Monthly P&amp;L and cash'!W5&lt;'Model inputs'!AJ40),'Haq — Monthly P&amp;L and cash'!W5&lt;'Model inputs'!AJ40,IF(OR('Haq — Monthly P&amp;L and cash'!W5="",'Model inputs'!AJ40=""),"",'Haq — Monthly P&amp;L and cash'!W5&lt;'Model inputs'!AJ40))),0,IF(IF(IF(ISERROR('Haq — Monthly P&amp;L and cash'!W5='Model inputs'!AJ40),'Haq — Monthly P&amp;L and cash'!W5='Model inputs'!AJ40,IF(OR('Haq — Monthly P&amp;L and cash'!W5="",'Model inputs'!AJ40=""),"",'Haq — Monthly P&amp;L and cash'!W5='Model inputs'!AJ40))="",FALSE,IF(ISERROR('Haq — Monthly P&amp;L and cash'!W5='Model inputs'!AJ40),'Haq — Monthly P&amp;L and cash'!W5='Model inputs'!AJ40,IF(OR('Haq — Monthly P&amp;L and cash'!W5="",'Model inputs'!AJ40=""),"",'Haq — Monthly P&amp;L and cash'!W5='Model inputs'!AJ40))),IF('Model inputs'!AJ41="","",'Model inputs'!AJ41),'Haq — Monthly P&amp;L and cash'!V7*(1+'Model inputs'!AJ37-'Model inputs'!AJ42)))</f>
        <v>618.7726802626121</v>
      </c>
      <c r="X7" s="10">
        <f>IF(IF(IF(ISERROR('Haq — Monthly P&amp;L and cash'!X5&lt;'Model inputs'!AJ40),'Haq — Monthly P&amp;L and cash'!X5&lt;'Model inputs'!AJ40,IF(OR('Haq — Monthly P&amp;L and cash'!X5="",'Model inputs'!AJ40=""),"",'Haq — Monthly P&amp;L and cash'!X5&lt;'Model inputs'!AJ40))="",FALSE,IF(ISERROR('Haq — Monthly P&amp;L and cash'!X5&lt;'Model inputs'!AJ40),'Haq — Monthly P&amp;L and cash'!X5&lt;'Model inputs'!AJ40,IF(OR('Haq — Monthly P&amp;L and cash'!X5="",'Model inputs'!AJ40=""),"",'Haq — Monthly P&amp;L and cash'!X5&lt;'Model inputs'!AJ40))),0,IF(IF(IF(ISERROR('Haq — Monthly P&amp;L and cash'!X5='Model inputs'!AJ40),'Haq — Monthly P&amp;L and cash'!X5='Model inputs'!AJ40,IF(OR('Haq — Monthly P&amp;L and cash'!X5="",'Model inputs'!AJ40=""),"",'Haq — Monthly P&amp;L and cash'!X5='Model inputs'!AJ40))="",FALSE,IF(ISERROR('Haq — Monthly P&amp;L and cash'!X5='Model inputs'!AJ40),'Haq — Monthly P&amp;L and cash'!X5='Model inputs'!AJ40,IF(OR('Haq — Monthly P&amp;L and cash'!X5="",'Model inputs'!AJ40=""),"",'Haq — Monthly P&amp;L and cash'!X5='Model inputs'!AJ40))),IF('Model inputs'!AJ41="","",'Model inputs'!AJ41),'Haq — Monthly P&amp;L and cash'!W7*(1+'Model inputs'!AJ37-'Model inputs'!AJ42)))</f>
        <v>711.5885823020038</v>
      </c>
      <c r="Y7" s="10">
        <f>IF(IF(IF(ISERROR('Haq — Monthly P&amp;L and cash'!Y5&lt;'Model inputs'!AJ40),'Haq — Monthly P&amp;L and cash'!Y5&lt;'Model inputs'!AJ40,IF(OR('Haq — Monthly P&amp;L and cash'!Y5="",'Model inputs'!AJ40=""),"",'Haq — Monthly P&amp;L and cash'!Y5&lt;'Model inputs'!AJ40))="",FALSE,IF(ISERROR('Haq — Monthly P&amp;L and cash'!Y5&lt;'Model inputs'!AJ40),'Haq — Monthly P&amp;L and cash'!Y5&lt;'Model inputs'!AJ40,IF(OR('Haq — Monthly P&amp;L and cash'!Y5="",'Model inputs'!AJ40=""),"",'Haq — Monthly P&amp;L and cash'!Y5&lt;'Model inputs'!AJ40))),0,IF(IF(IF(ISERROR('Haq — Monthly P&amp;L and cash'!Y5='Model inputs'!AJ40),'Haq — Monthly P&amp;L and cash'!Y5='Model inputs'!AJ40,IF(OR('Haq — Monthly P&amp;L and cash'!Y5="",'Model inputs'!AJ40=""),"",'Haq — Monthly P&amp;L and cash'!Y5='Model inputs'!AJ40))="",FALSE,IF(ISERROR('Haq — Monthly P&amp;L and cash'!Y5='Model inputs'!AJ40),'Haq — Monthly P&amp;L and cash'!Y5='Model inputs'!AJ40,IF(OR('Haq — Monthly P&amp;L and cash'!Y5="",'Model inputs'!AJ40=""),"",'Haq — Monthly P&amp;L and cash'!Y5='Model inputs'!AJ40))),IF('Model inputs'!AJ41="","",'Model inputs'!AJ41),'Haq — Monthly P&amp;L and cash'!X7*(1+'Model inputs'!AJ37-'Model inputs'!AJ42)))</f>
        <v>818.3268696473043</v>
      </c>
    </row>
    <row r="8">
      <c r="A8" t="inlineStr" s="8">
        <is>
          <t xml:space="preserve">Haq CSC new operators</t>
        </is>
      </c>
      <c r="B8" s="10">
        <f>IF(IF(IF(ISERROR('Haq — Monthly P&amp;L and cash'!B5='Model inputs'!AJ40),'Haq — Monthly P&amp;L and cash'!B5='Model inputs'!AJ40,IF(OR('Haq — Monthly P&amp;L and cash'!B5="",'Model inputs'!AJ40=""),"",'Haq — Monthly P&amp;L and cash'!B5='Model inputs'!AJ40))="",FALSE,IF(ISERROR('Haq — Monthly P&amp;L and cash'!B5='Model inputs'!AJ40),'Haq — Monthly P&amp;L and cash'!B5='Model inputs'!AJ40,IF(OR('Haq — Monthly P&amp;L and cash'!B5="",'Model inputs'!AJ40=""),"",'Haq — Monthly P&amp;L and cash'!B5='Model inputs'!AJ40))),IF('Model inputs'!AJ41="","",'Model inputs'!AJ41),IF(IF(IF(ISERROR('Haq — Monthly P&amp;L and cash'!B5&gt;'Model inputs'!AJ40),'Haq — Monthly P&amp;L and cash'!B5&gt;'Model inputs'!AJ40,IF(OR('Haq — Monthly P&amp;L and cash'!B5="",'Model inputs'!AJ40=""),"",'Haq — Monthly P&amp;L and cash'!B5&gt;'Model inputs'!AJ40))="",FALSE,IF(ISERROR('Haq — Monthly P&amp;L and cash'!B5&gt;'Model inputs'!AJ40),'Haq — Monthly P&amp;L and cash'!B5&gt;'Model inputs'!AJ40,IF(OR('Haq — Monthly P&amp;L and cash'!B5="",'Model inputs'!AJ40=""),"",'Haq — Monthly P&amp;L and cash'!B5&gt;'Model inputs'!AJ40))),'Model inputs'!C14*'Model inputs'!AJ37,0))</f>
        <v>0</v>
      </c>
      <c r="C8" s="10">
        <f>IF(IF(IF(ISERROR('Haq — Monthly P&amp;L and cash'!C5='Model inputs'!AJ40),'Haq — Monthly P&amp;L and cash'!C5='Model inputs'!AJ40,IF(OR('Haq — Monthly P&amp;L and cash'!C5="",'Model inputs'!AJ40=""),"",'Haq — Monthly P&amp;L and cash'!C5='Model inputs'!AJ40))="",FALSE,IF(ISERROR('Haq — Monthly P&amp;L and cash'!C5='Model inputs'!AJ40),'Haq — Monthly P&amp;L and cash'!C5='Model inputs'!AJ40,IF(OR('Haq — Monthly P&amp;L and cash'!C5="",'Model inputs'!AJ40=""),"",'Haq — Monthly P&amp;L and cash'!C5='Model inputs'!AJ40))),IF('Model inputs'!AJ41="","",'Model inputs'!AJ41),IF(IF(IF(ISERROR('Haq — Monthly P&amp;L and cash'!C5&gt;'Model inputs'!AJ40),'Haq — Monthly P&amp;L and cash'!C5&gt;'Model inputs'!AJ40,IF(OR('Haq — Monthly P&amp;L and cash'!C5="",'Model inputs'!AJ40=""),"",'Haq — Monthly P&amp;L and cash'!C5&gt;'Model inputs'!AJ40))="",FALSE,IF(ISERROR('Haq — Monthly P&amp;L and cash'!C5&gt;'Model inputs'!AJ40),'Haq — Monthly P&amp;L and cash'!C5&gt;'Model inputs'!AJ40,IF(OR('Haq — Monthly P&amp;L and cash'!C5="",'Model inputs'!AJ40=""),"",'Haq — Monthly P&amp;L and cash'!C5&gt;'Model inputs'!AJ40))),'Haq — Monthly P&amp;L and cash'!B7*'Model inputs'!AJ37,0))</f>
        <v>0</v>
      </c>
      <c r="D8" s="10">
        <f>IF(IF(IF(ISERROR('Haq — Monthly P&amp;L and cash'!D5='Model inputs'!AJ40),'Haq — Monthly P&amp;L and cash'!D5='Model inputs'!AJ40,IF(OR('Haq — Monthly P&amp;L and cash'!D5="",'Model inputs'!AJ40=""),"",'Haq — Monthly P&amp;L and cash'!D5='Model inputs'!AJ40))="",FALSE,IF(ISERROR('Haq — Monthly P&amp;L and cash'!D5='Model inputs'!AJ40),'Haq — Monthly P&amp;L and cash'!D5='Model inputs'!AJ40,IF(OR('Haq — Monthly P&amp;L and cash'!D5="",'Model inputs'!AJ40=""),"",'Haq — Monthly P&amp;L and cash'!D5='Model inputs'!AJ40))),IF('Model inputs'!AJ41="","",'Model inputs'!AJ41),IF(IF(IF(ISERROR('Haq — Monthly P&amp;L and cash'!D5&gt;'Model inputs'!AJ40),'Haq — Monthly P&amp;L and cash'!D5&gt;'Model inputs'!AJ40,IF(OR('Haq — Monthly P&amp;L and cash'!D5="",'Model inputs'!AJ40=""),"",'Haq — Monthly P&amp;L and cash'!D5&gt;'Model inputs'!AJ40))="",FALSE,IF(ISERROR('Haq — Monthly P&amp;L and cash'!D5&gt;'Model inputs'!AJ40),'Haq — Monthly P&amp;L and cash'!D5&gt;'Model inputs'!AJ40,IF(OR('Haq — Monthly P&amp;L and cash'!D5="",'Model inputs'!AJ40=""),"",'Haq — Monthly P&amp;L and cash'!D5&gt;'Model inputs'!AJ40))),'Haq — Monthly P&amp;L and cash'!C7*'Model inputs'!AJ37,0))</f>
        <v>0</v>
      </c>
      <c r="E8" s="10">
        <f>IF(IF(IF(ISERROR('Haq — Monthly P&amp;L and cash'!E5='Model inputs'!AJ40),'Haq — Monthly P&amp;L and cash'!E5='Model inputs'!AJ40,IF(OR('Haq — Monthly P&amp;L and cash'!E5="",'Model inputs'!AJ40=""),"",'Haq — Monthly P&amp;L and cash'!E5='Model inputs'!AJ40))="",FALSE,IF(ISERROR('Haq — Monthly P&amp;L and cash'!E5='Model inputs'!AJ40),'Haq — Monthly P&amp;L and cash'!E5='Model inputs'!AJ40,IF(OR('Haq — Monthly P&amp;L and cash'!E5="",'Model inputs'!AJ40=""),"",'Haq — Monthly P&amp;L and cash'!E5='Model inputs'!AJ40))),IF('Model inputs'!AJ41="","",'Model inputs'!AJ41),IF(IF(IF(ISERROR('Haq — Monthly P&amp;L and cash'!E5&gt;'Model inputs'!AJ40),'Haq — Monthly P&amp;L and cash'!E5&gt;'Model inputs'!AJ40,IF(OR('Haq — Monthly P&amp;L and cash'!E5="",'Model inputs'!AJ40=""),"",'Haq — Monthly P&amp;L and cash'!E5&gt;'Model inputs'!AJ40))="",FALSE,IF(ISERROR('Haq — Monthly P&amp;L and cash'!E5&gt;'Model inputs'!AJ40),'Haq — Monthly P&amp;L and cash'!E5&gt;'Model inputs'!AJ40,IF(OR('Haq — Monthly P&amp;L and cash'!E5="",'Model inputs'!AJ40=""),"",'Haq — Monthly P&amp;L and cash'!E5&gt;'Model inputs'!AJ40))),'Haq — Monthly P&amp;L and cash'!D7*'Model inputs'!AJ37,0))</f>
        <v>50</v>
      </c>
      <c r="F8" s="10">
        <f>IF(IF(IF(ISERROR('Haq — Monthly P&amp;L and cash'!F5='Model inputs'!AJ40),'Haq — Monthly P&amp;L and cash'!F5='Model inputs'!AJ40,IF(OR('Haq — Monthly P&amp;L and cash'!F5="",'Model inputs'!AJ40=""),"",'Haq — Monthly P&amp;L and cash'!F5='Model inputs'!AJ40))="",FALSE,IF(ISERROR('Haq — Monthly P&amp;L and cash'!F5='Model inputs'!AJ40),'Haq — Monthly P&amp;L and cash'!F5='Model inputs'!AJ40,IF(OR('Haq — Monthly P&amp;L and cash'!F5="",'Model inputs'!AJ40=""),"",'Haq — Monthly P&amp;L and cash'!F5='Model inputs'!AJ40))),IF('Model inputs'!AJ41="","",'Model inputs'!AJ41),IF(IF(IF(ISERROR('Haq — Monthly P&amp;L and cash'!F5&gt;'Model inputs'!AJ40),'Haq — Monthly P&amp;L and cash'!F5&gt;'Model inputs'!AJ40,IF(OR('Haq — Monthly P&amp;L and cash'!F5="",'Model inputs'!AJ40=""),"",'Haq — Monthly P&amp;L and cash'!F5&gt;'Model inputs'!AJ40))="",FALSE,IF(ISERROR('Haq — Monthly P&amp;L and cash'!F5&gt;'Model inputs'!AJ40),'Haq — Monthly P&amp;L and cash'!F5&gt;'Model inputs'!AJ40,IF(OR('Haq — Monthly P&amp;L and cash'!F5="",'Model inputs'!AJ40=""),"",'Haq — Monthly P&amp;L and cash'!F5&gt;'Model inputs'!AJ40))),'Haq — Monthly P&amp;L and cash'!E7*'Model inputs'!AJ37,0))</f>
        <v>10</v>
      </c>
      <c r="G8" s="10">
        <f>IF(IF(IF(ISERROR('Haq — Monthly P&amp;L and cash'!G5='Model inputs'!AJ40),'Haq — Monthly P&amp;L and cash'!G5='Model inputs'!AJ40,IF(OR('Haq — Monthly P&amp;L and cash'!G5="",'Model inputs'!AJ40=""),"",'Haq — Monthly P&amp;L and cash'!G5='Model inputs'!AJ40))="",FALSE,IF(ISERROR('Haq — Monthly P&amp;L and cash'!G5='Model inputs'!AJ40),'Haq — Monthly P&amp;L and cash'!G5='Model inputs'!AJ40,IF(OR('Haq — Monthly P&amp;L and cash'!G5="",'Model inputs'!AJ40=""),"",'Haq — Monthly P&amp;L and cash'!G5='Model inputs'!AJ40))),IF('Model inputs'!AJ41="","",'Model inputs'!AJ41),IF(IF(IF(ISERROR('Haq — Monthly P&amp;L and cash'!G5&gt;'Model inputs'!AJ40),'Haq — Monthly P&amp;L and cash'!G5&gt;'Model inputs'!AJ40,IF(OR('Haq — Monthly P&amp;L and cash'!G5="",'Model inputs'!AJ40=""),"",'Haq — Monthly P&amp;L and cash'!G5&gt;'Model inputs'!AJ40))="",FALSE,IF(ISERROR('Haq — Monthly P&amp;L and cash'!G5&gt;'Model inputs'!AJ40),'Haq — Monthly P&amp;L and cash'!G5&gt;'Model inputs'!AJ40,IF(OR('Haq — Monthly P&amp;L and cash'!G5="",'Model inputs'!AJ40=""),"",'Haq — Monthly P&amp;L and cash'!G5&gt;'Model inputs'!AJ40))),'Haq — Monthly P&amp;L and cash'!F7*'Model inputs'!AJ37,0))</f>
        <v>11.5</v>
      </c>
      <c r="H8" s="10">
        <f>IF(IF(IF(ISERROR('Haq — Monthly P&amp;L and cash'!H5='Model inputs'!AJ40),'Haq — Monthly P&amp;L and cash'!H5='Model inputs'!AJ40,IF(OR('Haq — Monthly P&amp;L and cash'!H5="",'Model inputs'!AJ40=""),"",'Haq — Monthly P&amp;L and cash'!H5='Model inputs'!AJ40))="",FALSE,IF(ISERROR('Haq — Monthly P&amp;L and cash'!H5='Model inputs'!AJ40),'Haq — Monthly P&amp;L and cash'!H5='Model inputs'!AJ40,IF(OR('Haq — Monthly P&amp;L and cash'!H5="",'Model inputs'!AJ40=""),"",'Haq — Monthly P&amp;L and cash'!H5='Model inputs'!AJ40))),IF('Model inputs'!AJ41="","",'Model inputs'!AJ41),IF(IF(IF(ISERROR('Haq — Monthly P&amp;L and cash'!H5&gt;'Model inputs'!AJ40),'Haq — Monthly P&amp;L and cash'!H5&gt;'Model inputs'!AJ40,IF(OR('Haq — Monthly P&amp;L and cash'!H5="",'Model inputs'!AJ40=""),"",'Haq — Monthly P&amp;L and cash'!H5&gt;'Model inputs'!AJ40))="",FALSE,IF(ISERROR('Haq — Monthly P&amp;L and cash'!H5&gt;'Model inputs'!AJ40),'Haq — Monthly P&amp;L and cash'!H5&gt;'Model inputs'!AJ40,IF(OR('Haq — Monthly P&amp;L and cash'!H5="",'Model inputs'!AJ40=""),"",'Haq — Monthly P&amp;L and cash'!H5&gt;'Model inputs'!AJ40))),'Haq — Monthly P&amp;L and cash'!G7*'Model inputs'!AJ37,0))</f>
        <v>13.224999999999998</v>
      </c>
      <c r="I8" s="10">
        <f>IF(IF(IF(ISERROR('Haq — Monthly P&amp;L and cash'!I5='Model inputs'!AJ40),'Haq — Monthly P&amp;L and cash'!I5='Model inputs'!AJ40,IF(OR('Haq — Monthly P&amp;L and cash'!I5="",'Model inputs'!AJ40=""),"",'Haq — Monthly P&amp;L and cash'!I5='Model inputs'!AJ40))="",FALSE,IF(ISERROR('Haq — Monthly P&amp;L and cash'!I5='Model inputs'!AJ40),'Haq — Monthly P&amp;L and cash'!I5='Model inputs'!AJ40,IF(OR('Haq — Monthly P&amp;L and cash'!I5="",'Model inputs'!AJ40=""),"",'Haq — Monthly P&amp;L and cash'!I5='Model inputs'!AJ40))),IF('Model inputs'!AJ41="","",'Model inputs'!AJ41),IF(IF(IF(ISERROR('Haq — Monthly P&amp;L and cash'!I5&gt;'Model inputs'!AJ40),'Haq — Monthly P&amp;L and cash'!I5&gt;'Model inputs'!AJ40,IF(OR('Haq — Monthly P&amp;L and cash'!I5="",'Model inputs'!AJ40=""),"",'Haq — Monthly P&amp;L and cash'!I5&gt;'Model inputs'!AJ40))="",FALSE,IF(ISERROR('Haq — Monthly P&amp;L and cash'!I5&gt;'Model inputs'!AJ40),'Haq — Monthly P&amp;L and cash'!I5&gt;'Model inputs'!AJ40,IF(OR('Haq — Monthly P&amp;L and cash'!I5="",'Model inputs'!AJ40=""),"",'Haq — Monthly P&amp;L and cash'!I5&gt;'Model inputs'!AJ40))),'Haq — Monthly P&amp;L and cash'!H7*'Model inputs'!AJ37,0))</f>
        <v>15.208749999999995</v>
      </c>
      <c r="J8" s="10">
        <f>IF(IF(IF(ISERROR('Haq — Monthly P&amp;L and cash'!J5='Model inputs'!AJ40),'Haq — Monthly P&amp;L and cash'!J5='Model inputs'!AJ40,IF(OR('Haq — Monthly P&amp;L and cash'!J5="",'Model inputs'!AJ40=""),"",'Haq — Monthly P&amp;L and cash'!J5='Model inputs'!AJ40))="",FALSE,IF(ISERROR('Haq — Monthly P&amp;L and cash'!J5='Model inputs'!AJ40),'Haq — Monthly P&amp;L and cash'!J5='Model inputs'!AJ40,IF(OR('Haq — Monthly P&amp;L and cash'!J5="",'Model inputs'!AJ40=""),"",'Haq — Monthly P&amp;L and cash'!J5='Model inputs'!AJ40))),IF('Model inputs'!AJ41="","",'Model inputs'!AJ41),IF(IF(IF(ISERROR('Haq — Monthly P&amp;L and cash'!J5&gt;'Model inputs'!AJ40),'Haq — Monthly P&amp;L and cash'!J5&gt;'Model inputs'!AJ40,IF(OR('Haq — Monthly P&amp;L and cash'!J5="",'Model inputs'!AJ40=""),"",'Haq — Monthly P&amp;L and cash'!J5&gt;'Model inputs'!AJ40))="",FALSE,IF(ISERROR('Haq — Monthly P&amp;L and cash'!J5&gt;'Model inputs'!AJ40),'Haq — Monthly P&amp;L and cash'!J5&gt;'Model inputs'!AJ40,IF(OR('Haq — Monthly P&amp;L and cash'!J5="",'Model inputs'!AJ40=""),"",'Haq — Monthly P&amp;L and cash'!J5&gt;'Model inputs'!AJ40))),'Haq — Monthly P&amp;L and cash'!I7*'Model inputs'!AJ37,0))</f>
        <v>17.490062499999993</v>
      </c>
      <c r="K8" s="10">
        <f>IF(IF(IF(ISERROR('Haq — Monthly P&amp;L and cash'!K5='Model inputs'!AJ40),'Haq — Monthly P&amp;L and cash'!K5='Model inputs'!AJ40,IF(OR('Haq — Monthly P&amp;L and cash'!K5="",'Model inputs'!AJ40=""),"",'Haq — Monthly P&amp;L and cash'!K5='Model inputs'!AJ40))="",FALSE,IF(ISERROR('Haq — Monthly P&amp;L and cash'!K5='Model inputs'!AJ40),'Haq — Monthly P&amp;L and cash'!K5='Model inputs'!AJ40,IF(OR('Haq — Monthly P&amp;L and cash'!K5="",'Model inputs'!AJ40=""),"",'Haq — Monthly P&amp;L and cash'!K5='Model inputs'!AJ40))),IF('Model inputs'!AJ41="","",'Model inputs'!AJ41),IF(IF(IF(ISERROR('Haq — Monthly P&amp;L and cash'!K5&gt;'Model inputs'!AJ40),'Haq — Monthly P&amp;L and cash'!K5&gt;'Model inputs'!AJ40,IF(OR('Haq — Monthly P&amp;L and cash'!K5="",'Model inputs'!AJ40=""),"",'Haq — Monthly P&amp;L and cash'!K5&gt;'Model inputs'!AJ40))="",FALSE,IF(ISERROR('Haq — Monthly P&amp;L and cash'!K5&gt;'Model inputs'!AJ40),'Haq — Monthly P&amp;L and cash'!K5&gt;'Model inputs'!AJ40,IF(OR('Haq — Monthly P&amp;L and cash'!K5="",'Model inputs'!AJ40=""),"",'Haq — Monthly P&amp;L and cash'!K5&gt;'Model inputs'!AJ40))),'Haq — Monthly P&amp;L and cash'!J7*'Model inputs'!AJ37,0))</f>
        <v>20.11357187499999</v>
      </c>
      <c r="L8" s="10">
        <f>IF(IF(IF(ISERROR('Haq — Monthly P&amp;L and cash'!L5='Model inputs'!AJ40),'Haq — Monthly P&amp;L and cash'!L5='Model inputs'!AJ40,IF(OR('Haq — Monthly P&amp;L and cash'!L5="",'Model inputs'!AJ40=""),"",'Haq — Monthly P&amp;L and cash'!L5='Model inputs'!AJ40))="",FALSE,IF(ISERROR('Haq — Monthly P&amp;L and cash'!L5='Model inputs'!AJ40),'Haq — Monthly P&amp;L and cash'!L5='Model inputs'!AJ40,IF(OR('Haq — Monthly P&amp;L and cash'!L5="",'Model inputs'!AJ40=""),"",'Haq — Monthly P&amp;L and cash'!L5='Model inputs'!AJ40))),IF('Model inputs'!AJ41="","",'Model inputs'!AJ41),IF(IF(IF(ISERROR('Haq — Monthly P&amp;L and cash'!L5&gt;'Model inputs'!AJ40),'Haq — Monthly P&amp;L and cash'!L5&gt;'Model inputs'!AJ40,IF(OR('Haq — Monthly P&amp;L and cash'!L5="",'Model inputs'!AJ40=""),"",'Haq — Monthly P&amp;L and cash'!L5&gt;'Model inputs'!AJ40))="",FALSE,IF(ISERROR('Haq — Monthly P&amp;L and cash'!L5&gt;'Model inputs'!AJ40),'Haq — Monthly P&amp;L and cash'!L5&gt;'Model inputs'!AJ40,IF(OR('Haq — Monthly P&amp;L and cash'!L5="",'Model inputs'!AJ40=""),"",'Haq — Monthly P&amp;L and cash'!L5&gt;'Model inputs'!AJ40))),'Haq — Monthly P&amp;L and cash'!K7*'Model inputs'!AJ37,0))</f>
        <v>23.13060765624999</v>
      </c>
      <c r="M8" s="10">
        <f>IF(IF(IF(ISERROR('Haq — Monthly P&amp;L and cash'!M5='Model inputs'!AJ40),'Haq — Monthly P&amp;L and cash'!M5='Model inputs'!AJ40,IF(OR('Haq — Monthly P&amp;L and cash'!M5="",'Model inputs'!AJ40=""),"",'Haq — Monthly P&amp;L and cash'!M5='Model inputs'!AJ40))="",FALSE,IF(ISERROR('Haq — Monthly P&amp;L and cash'!M5='Model inputs'!AJ40),'Haq — Monthly P&amp;L and cash'!M5='Model inputs'!AJ40,IF(OR('Haq — Monthly P&amp;L and cash'!M5="",'Model inputs'!AJ40=""),"",'Haq — Monthly P&amp;L and cash'!M5='Model inputs'!AJ40))),IF('Model inputs'!AJ41="","",'Model inputs'!AJ41),IF(IF(IF(ISERROR('Haq — Monthly P&amp;L and cash'!M5&gt;'Model inputs'!AJ40),'Haq — Monthly P&amp;L and cash'!M5&gt;'Model inputs'!AJ40,IF(OR('Haq — Monthly P&amp;L and cash'!M5="",'Model inputs'!AJ40=""),"",'Haq — Monthly P&amp;L and cash'!M5&gt;'Model inputs'!AJ40))="",FALSE,IF(ISERROR('Haq — Monthly P&amp;L and cash'!M5&gt;'Model inputs'!AJ40),'Haq — Monthly P&amp;L and cash'!M5&gt;'Model inputs'!AJ40,IF(OR('Haq — Monthly P&amp;L and cash'!M5="",'Model inputs'!AJ40=""),"",'Haq — Monthly P&amp;L and cash'!M5&gt;'Model inputs'!AJ40))),'Haq — Monthly P&amp;L and cash'!L7*'Model inputs'!AJ37,0))</f>
        <v>26.600198804687484</v>
      </c>
      <c r="N8" s="10">
        <f>IF(IF(IF(ISERROR('Haq — Monthly P&amp;L and cash'!N5='Model inputs'!AJ40),'Haq — Monthly P&amp;L and cash'!N5='Model inputs'!AJ40,IF(OR('Haq — Monthly P&amp;L and cash'!N5="",'Model inputs'!AJ40=""),"",'Haq — Monthly P&amp;L and cash'!N5='Model inputs'!AJ40))="",FALSE,IF(ISERROR('Haq — Monthly P&amp;L and cash'!N5='Model inputs'!AJ40),'Haq — Monthly P&amp;L and cash'!N5='Model inputs'!AJ40,IF(OR('Haq — Monthly P&amp;L and cash'!N5="",'Model inputs'!AJ40=""),"",'Haq — Monthly P&amp;L and cash'!N5='Model inputs'!AJ40))),IF('Model inputs'!AJ41="","",'Model inputs'!AJ41),IF(IF(IF(ISERROR('Haq — Monthly P&amp;L and cash'!N5&gt;'Model inputs'!AJ40),'Haq — Monthly P&amp;L and cash'!N5&gt;'Model inputs'!AJ40,IF(OR('Haq — Monthly P&amp;L and cash'!N5="",'Model inputs'!AJ40=""),"",'Haq — Monthly P&amp;L and cash'!N5&gt;'Model inputs'!AJ40))="",FALSE,IF(ISERROR('Haq — Monthly P&amp;L and cash'!N5&gt;'Model inputs'!AJ40),'Haq — Monthly P&amp;L and cash'!N5&gt;'Model inputs'!AJ40,IF(OR('Haq — Monthly P&amp;L and cash'!N5="",'Model inputs'!AJ40=""),"",'Haq — Monthly P&amp;L and cash'!N5&gt;'Model inputs'!AJ40))),'Haq — Monthly P&amp;L and cash'!M7*'Model inputs'!AJ37,0))</f>
        <v>30.590228625390605</v>
      </c>
      <c r="O8" s="10">
        <f>IF(IF(IF(ISERROR('Haq — Monthly P&amp;L and cash'!O5='Model inputs'!AJ40),'Haq — Monthly P&amp;L and cash'!O5='Model inputs'!AJ40,IF(OR('Haq — Monthly P&amp;L and cash'!O5="",'Model inputs'!AJ40=""),"",'Haq — Monthly P&amp;L and cash'!O5='Model inputs'!AJ40))="",FALSE,IF(ISERROR('Haq — Monthly P&amp;L and cash'!O5='Model inputs'!AJ40),'Haq — Monthly P&amp;L and cash'!O5='Model inputs'!AJ40,IF(OR('Haq — Monthly P&amp;L and cash'!O5="",'Model inputs'!AJ40=""),"",'Haq — Monthly P&amp;L and cash'!O5='Model inputs'!AJ40))),IF('Model inputs'!AJ41="","",'Model inputs'!AJ41),IF(IF(IF(ISERROR('Haq — Monthly P&amp;L and cash'!O5&gt;'Model inputs'!AJ40),'Haq — Monthly P&amp;L and cash'!O5&gt;'Model inputs'!AJ40,IF(OR('Haq — Monthly P&amp;L and cash'!O5="",'Model inputs'!AJ40=""),"",'Haq — Monthly P&amp;L and cash'!O5&gt;'Model inputs'!AJ40))="",FALSE,IF(ISERROR('Haq — Monthly P&amp;L and cash'!O5&gt;'Model inputs'!AJ40),'Haq — Monthly P&amp;L and cash'!O5&gt;'Model inputs'!AJ40,IF(OR('Haq — Monthly P&amp;L and cash'!O5="",'Model inputs'!AJ40=""),"",'Haq — Monthly P&amp;L and cash'!O5&gt;'Model inputs'!AJ40))),'Haq — Monthly P&amp;L and cash'!N7*'Model inputs'!AJ37,0))</f>
        <v>35.178762919199194</v>
      </c>
      <c r="P8" s="10">
        <f>IF(IF(IF(ISERROR('Haq — Monthly P&amp;L and cash'!P5='Model inputs'!AJ40),'Haq — Monthly P&amp;L and cash'!P5='Model inputs'!AJ40,IF(OR('Haq — Monthly P&amp;L and cash'!P5="",'Model inputs'!AJ40=""),"",'Haq — Monthly P&amp;L and cash'!P5='Model inputs'!AJ40))="",FALSE,IF(ISERROR('Haq — Monthly P&amp;L and cash'!P5='Model inputs'!AJ40),'Haq — Monthly P&amp;L and cash'!P5='Model inputs'!AJ40,IF(OR('Haq — Monthly P&amp;L and cash'!P5="",'Model inputs'!AJ40=""),"",'Haq — Monthly P&amp;L and cash'!P5='Model inputs'!AJ40))),IF('Model inputs'!AJ41="","",'Model inputs'!AJ41),IF(IF(IF(ISERROR('Haq — Monthly P&amp;L and cash'!P5&gt;'Model inputs'!AJ40),'Haq — Monthly P&amp;L and cash'!P5&gt;'Model inputs'!AJ40,IF(OR('Haq — Monthly P&amp;L and cash'!P5="",'Model inputs'!AJ40=""),"",'Haq — Monthly P&amp;L and cash'!P5&gt;'Model inputs'!AJ40))="",FALSE,IF(ISERROR('Haq — Monthly P&amp;L and cash'!P5&gt;'Model inputs'!AJ40),'Haq — Monthly P&amp;L and cash'!P5&gt;'Model inputs'!AJ40,IF(OR('Haq — Monthly P&amp;L and cash'!P5="",'Model inputs'!AJ40=""),"",'Haq — Monthly P&amp;L and cash'!P5&gt;'Model inputs'!AJ40))),'Haq — Monthly P&amp;L and cash'!O7*'Model inputs'!AJ37,0))</f>
        <v>40.45557735707907</v>
      </c>
      <c r="Q8" s="10">
        <f>IF(IF(IF(ISERROR('Haq — Monthly P&amp;L and cash'!Q5='Model inputs'!AJ40),'Haq — Monthly P&amp;L and cash'!Q5='Model inputs'!AJ40,IF(OR('Haq — Monthly P&amp;L and cash'!Q5="",'Model inputs'!AJ40=""),"",'Haq — Monthly P&amp;L and cash'!Q5='Model inputs'!AJ40))="",FALSE,IF(ISERROR('Haq — Monthly P&amp;L and cash'!Q5='Model inputs'!AJ40),'Haq — Monthly P&amp;L and cash'!Q5='Model inputs'!AJ40,IF(OR('Haq — Monthly P&amp;L and cash'!Q5="",'Model inputs'!AJ40=""),"",'Haq — Monthly P&amp;L and cash'!Q5='Model inputs'!AJ40))),IF('Model inputs'!AJ41="","",'Model inputs'!AJ41),IF(IF(IF(ISERROR('Haq — Monthly P&amp;L and cash'!Q5&gt;'Model inputs'!AJ40),'Haq — Monthly P&amp;L and cash'!Q5&gt;'Model inputs'!AJ40,IF(OR('Haq — Monthly P&amp;L and cash'!Q5="",'Model inputs'!AJ40=""),"",'Haq — Monthly P&amp;L and cash'!Q5&gt;'Model inputs'!AJ40))="",FALSE,IF(ISERROR('Haq — Monthly P&amp;L and cash'!Q5&gt;'Model inputs'!AJ40),'Haq — Monthly P&amp;L and cash'!Q5&gt;'Model inputs'!AJ40,IF(OR('Haq — Monthly P&amp;L and cash'!Q5="",'Model inputs'!AJ40=""),"",'Haq — Monthly P&amp;L and cash'!Q5&gt;'Model inputs'!AJ40))),'Haq — Monthly P&amp;L and cash'!P7*'Model inputs'!AJ37,0))</f>
        <v>46.523913960640925</v>
      </c>
      <c r="R8" s="10">
        <f>IF(IF(IF(ISERROR('Haq — Monthly P&amp;L and cash'!R5='Model inputs'!AJ40),'Haq — Monthly P&amp;L and cash'!R5='Model inputs'!AJ40,IF(OR('Haq — Monthly P&amp;L and cash'!R5="",'Model inputs'!AJ40=""),"",'Haq — Monthly P&amp;L and cash'!R5='Model inputs'!AJ40))="",FALSE,IF(ISERROR('Haq — Monthly P&amp;L and cash'!R5='Model inputs'!AJ40),'Haq — Monthly P&amp;L and cash'!R5='Model inputs'!AJ40,IF(OR('Haq — Monthly P&amp;L and cash'!R5="",'Model inputs'!AJ40=""),"",'Haq — Monthly P&amp;L and cash'!R5='Model inputs'!AJ40))),IF('Model inputs'!AJ41="","",'Model inputs'!AJ41),IF(IF(IF(ISERROR('Haq — Monthly P&amp;L and cash'!R5&gt;'Model inputs'!AJ40),'Haq — Monthly P&amp;L and cash'!R5&gt;'Model inputs'!AJ40,IF(OR('Haq — Monthly P&amp;L and cash'!R5="",'Model inputs'!AJ40=""),"",'Haq — Monthly P&amp;L and cash'!R5&gt;'Model inputs'!AJ40))="",FALSE,IF(ISERROR('Haq — Monthly P&amp;L and cash'!R5&gt;'Model inputs'!AJ40),'Haq — Monthly P&amp;L and cash'!R5&gt;'Model inputs'!AJ40,IF(OR('Haq — Monthly P&amp;L and cash'!R5="",'Model inputs'!AJ40=""),"",'Haq — Monthly P&amp;L and cash'!R5&gt;'Model inputs'!AJ40))),'Haq — Monthly P&amp;L and cash'!Q7*'Model inputs'!AJ37,0))</f>
        <v>53.50250105473706</v>
      </c>
      <c r="S8" s="10">
        <f>IF(IF(IF(ISERROR('Haq — Monthly P&amp;L and cash'!S5='Model inputs'!AJ40),'Haq — Monthly P&amp;L and cash'!S5='Model inputs'!AJ40,IF(OR('Haq — Monthly P&amp;L and cash'!S5="",'Model inputs'!AJ40=""),"",'Haq — Monthly P&amp;L and cash'!S5='Model inputs'!AJ40))="",FALSE,IF(ISERROR('Haq — Monthly P&amp;L and cash'!S5='Model inputs'!AJ40),'Haq — Monthly P&amp;L and cash'!S5='Model inputs'!AJ40,IF(OR('Haq — Monthly P&amp;L and cash'!S5="",'Model inputs'!AJ40=""),"",'Haq — Monthly P&amp;L and cash'!S5='Model inputs'!AJ40))),IF('Model inputs'!AJ41="","",'Model inputs'!AJ41),IF(IF(IF(ISERROR('Haq — Monthly P&amp;L and cash'!S5&gt;'Model inputs'!AJ40),'Haq — Monthly P&amp;L and cash'!S5&gt;'Model inputs'!AJ40,IF(OR('Haq — Monthly P&amp;L and cash'!S5="",'Model inputs'!AJ40=""),"",'Haq — Monthly P&amp;L and cash'!S5&gt;'Model inputs'!AJ40))="",FALSE,IF(ISERROR('Haq — Monthly P&amp;L and cash'!S5&gt;'Model inputs'!AJ40),'Haq — Monthly P&amp;L and cash'!S5&gt;'Model inputs'!AJ40,IF(OR('Haq — Monthly P&amp;L and cash'!S5="",'Model inputs'!AJ40=""),"",'Haq — Monthly P&amp;L and cash'!S5&gt;'Model inputs'!AJ40))),'Haq — Monthly P&amp;L and cash'!R7*'Model inputs'!AJ37,0))</f>
        <v>61.52787621294762</v>
      </c>
      <c r="T8" s="10">
        <f>IF(IF(IF(ISERROR('Haq — Monthly P&amp;L and cash'!T5='Model inputs'!AJ40),'Haq — Monthly P&amp;L and cash'!T5='Model inputs'!AJ40,IF(OR('Haq — Monthly P&amp;L and cash'!T5="",'Model inputs'!AJ40=""),"",'Haq — Monthly P&amp;L and cash'!T5='Model inputs'!AJ40))="",FALSE,IF(ISERROR('Haq — Monthly P&amp;L and cash'!T5='Model inputs'!AJ40),'Haq — Monthly P&amp;L and cash'!T5='Model inputs'!AJ40,IF(OR('Haq — Monthly P&amp;L and cash'!T5="",'Model inputs'!AJ40=""),"",'Haq — Monthly P&amp;L and cash'!T5='Model inputs'!AJ40))),IF('Model inputs'!AJ41="","",'Model inputs'!AJ41),IF(IF(IF(ISERROR('Haq — Monthly P&amp;L and cash'!T5&gt;'Model inputs'!AJ40),'Haq — Monthly P&amp;L and cash'!T5&gt;'Model inputs'!AJ40,IF(OR('Haq — Monthly P&amp;L and cash'!T5="",'Model inputs'!AJ40=""),"",'Haq — Monthly P&amp;L and cash'!T5&gt;'Model inputs'!AJ40))="",FALSE,IF(ISERROR('Haq — Monthly P&amp;L and cash'!T5&gt;'Model inputs'!AJ40),'Haq — Monthly P&amp;L and cash'!T5&gt;'Model inputs'!AJ40,IF(OR('Haq — Monthly P&amp;L and cash'!T5="",'Model inputs'!AJ40=""),"",'Haq — Monthly P&amp;L and cash'!T5&gt;'Model inputs'!AJ40))),'Haq — Monthly P&amp;L and cash'!S7*'Model inputs'!AJ37,0))</f>
        <v>70.75705764488976</v>
      </c>
      <c r="U8" s="10">
        <f>IF(IF(IF(ISERROR('Haq — Monthly P&amp;L and cash'!U5='Model inputs'!AJ40),'Haq — Monthly P&amp;L and cash'!U5='Model inputs'!AJ40,IF(OR('Haq — Monthly P&amp;L and cash'!U5="",'Model inputs'!AJ40=""),"",'Haq — Monthly P&amp;L and cash'!U5='Model inputs'!AJ40))="",FALSE,IF(ISERROR('Haq — Monthly P&amp;L and cash'!U5='Model inputs'!AJ40),'Haq — Monthly P&amp;L and cash'!U5='Model inputs'!AJ40,IF(OR('Haq — Monthly P&amp;L and cash'!U5="",'Model inputs'!AJ40=""),"",'Haq — Monthly P&amp;L and cash'!U5='Model inputs'!AJ40))),IF('Model inputs'!AJ41="","",'Model inputs'!AJ41),IF(IF(IF(ISERROR('Haq — Monthly P&amp;L and cash'!U5&gt;'Model inputs'!AJ40),'Haq — Monthly P&amp;L and cash'!U5&gt;'Model inputs'!AJ40,IF(OR('Haq — Monthly P&amp;L and cash'!U5="",'Model inputs'!AJ40=""),"",'Haq — Monthly P&amp;L and cash'!U5&gt;'Model inputs'!AJ40))="",FALSE,IF(ISERROR('Haq — Monthly P&amp;L and cash'!U5&gt;'Model inputs'!AJ40),'Haq — Monthly P&amp;L and cash'!U5&gt;'Model inputs'!AJ40,IF(OR('Haq — Monthly P&amp;L and cash'!U5="",'Model inputs'!AJ40=""),"",'Haq — Monthly P&amp;L and cash'!U5&gt;'Model inputs'!AJ40))),'Haq — Monthly P&amp;L and cash'!T7*'Model inputs'!AJ37,0))</f>
        <v>81.37061629162321</v>
      </c>
      <c r="V8" s="10">
        <f>IF(IF(IF(ISERROR('Haq — Monthly P&amp;L and cash'!V5='Model inputs'!AJ40),'Haq — Monthly P&amp;L and cash'!V5='Model inputs'!AJ40,IF(OR('Haq — Monthly P&amp;L and cash'!V5="",'Model inputs'!AJ40=""),"",'Haq — Monthly P&amp;L and cash'!V5='Model inputs'!AJ40))="",FALSE,IF(ISERROR('Haq — Monthly P&amp;L and cash'!V5='Model inputs'!AJ40),'Haq — Monthly P&amp;L and cash'!V5='Model inputs'!AJ40,IF(OR('Haq — Monthly P&amp;L and cash'!V5="",'Model inputs'!AJ40=""),"",'Haq — Monthly P&amp;L and cash'!V5='Model inputs'!AJ40))),IF('Model inputs'!AJ41="","",'Model inputs'!AJ41),IF(IF(IF(ISERROR('Haq — Monthly P&amp;L and cash'!V5&gt;'Model inputs'!AJ40),'Haq — Monthly P&amp;L and cash'!V5&gt;'Model inputs'!AJ40,IF(OR('Haq — Monthly P&amp;L and cash'!V5="",'Model inputs'!AJ40=""),"",'Haq — Monthly P&amp;L and cash'!V5&gt;'Model inputs'!AJ40))="",FALSE,IF(ISERROR('Haq — Monthly P&amp;L and cash'!V5&gt;'Model inputs'!AJ40),'Haq — Monthly P&amp;L and cash'!V5&gt;'Model inputs'!AJ40,IF(OR('Haq — Monthly P&amp;L and cash'!V5="",'Model inputs'!AJ40=""),"",'Haq — Monthly P&amp;L and cash'!V5&gt;'Model inputs'!AJ40))),'Haq — Monthly P&amp;L and cash'!U7*'Model inputs'!AJ37,0))</f>
        <v>93.57620873536669</v>
      </c>
      <c r="W8" s="10">
        <f>IF(IF(IF(ISERROR('Haq — Monthly P&amp;L and cash'!W5='Model inputs'!AJ40),'Haq — Monthly P&amp;L and cash'!W5='Model inputs'!AJ40,IF(OR('Haq — Monthly P&amp;L and cash'!W5="",'Model inputs'!AJ40=""),"",'Haq — Monthly P&amp;L and cash'!W5='Model inputs'!AJ40))="",FALSE,IF(ISERROR('Haq — Monthly P&amp;L and cash'!W5='Model inputs'!AJ40),'Haq — Monthly P&amp;L and cash'!W5='Model inputs'!AJ40,IF(OR('Haq — Monthly P&amp;L and cash'!W5="",'Model inputs'!AJ40=""),"",'Haq — Monthly P&amp;L and cash'!W5='Model inputs'!AJ40))),IF('Model inputs'!AJ41="","",'Model inputs'!AJ41),IF(IF(IF(ISERROR('Haq — Monthly P&amp;L and cash'!W5&gt;'Model inputs'!AJ40),'Haq — Monthly P&amp;L and cash'!W5&gt;'Model inputs'!AJ40,IF(OR('Haq — Monthly P&amp;L and cash'!W5="",'Model inputs'!AJ40=""),"",'Haq — Monthly P&amp;L and cash'!W5&gt;'Model inputs'!AJ40))="",FALSE,IF(ISERROR('Haq — Monthly P&amp;L and cash'!W5&gt;'Model inputs'!AJ40),'Haq — Monthly P&amp;L and cash'!W5&gt;'Model inputs'!AJ40,IF(OR('Haq — Monthly P&amp;L and cash'!W5="",'Model inputs'!AJ40=""),"",'Haq — Monthly P&amp;L and cash'!W5&gt;'Model inputs'!AJ40))),'Haq — Monthly P&amp;L and cash'!V7*'Model inputs'!AJ37,0))</f>
        <v>107.61264004567168</v>
      </c>
      <c r="X8" s="10">
        <f>IF(IF(IF(ISERROR('Haq — Monthly P&amp;L and cash'!X5='Model inputs'!AJ40),'Haq — Monthly P&amp;L and cash'!X5='Model inputs'!AJ40,IF(OR('Haq — Monthly P&amp;L and cash'!X5="",'Model inputs'!AJ40=""),"",'Haq — Monthly P&amp;L and cash'!X5='Model inputs'!AJ40))="",FALSE,IF(ISERROR('Haq — Monthly P&amp;L and cash'!X5='Model inputs'!AJ40),'Haq — Monthly P&amp;L and cash'!X5='Model inputs'!AJ40,IF(OR('Haq — Monthly P&amp;L and cash'!X5="",'Model inputs'!AJ40=""),"",'Haq — Monthly P&amp;L and cash'!X5='Model inputs'!AJ40))),IF('Model inputs'!AJ41="","",'Model inputs'!AJ41),IF(IF(IF(ISERROR('Haq — Monthly P&amp;L and cash'!X5&gt;'Model inputs'!AJ40),'Haq — Monthly P&amp;L and cash'!X5&gt;'Model inputs'!AJ40,IF(OR('Haq — Monthly P&amp;L and cash'!X5="",'Model inputs'!AJ40=""),"",'Haq — Monthly P&amp;L and cash'!X5&gt;'Model inputs'!AJ40))="",FALSE,IF(ISERROR('Haq — Monthly P&amp;L and cash'!X5&gt;'Model inputs'!AJ40),'Haq — Monthly P&amp;L and cash'!X5&gt;'Model inputs'!AJ40,IF(OR('Haq — Monthly P&amp;L and cash'!X5="",'Model inputs'!AJ40=""),"",'Haq — Monthly P&amp;L and cash'!X5&gt;'Model inputs'!AJ40))),'Haq — Monthly P&amp;L and cash'!W7*'Model inputs'!AJ37,0))</f>
        <v>123.75453605252243</v>
      </c>
      <c r="Y8" s="10">
        <f>IF(IF(IF(ISERROR('Haq — Monthly P&amp;L and cash'!Y5='Model inputs'!AJ40),'Haq — Monthly P&amp;L and cash'!Y5='Model inputs'!AJ40,IF(OR('Haq — Monthly P&amp;L and cash'!Y5="",'Model inputs'!AJ40=""),"",'Haq — Monthly P&amp;L and cash'!Y5='Model inputs'!AJ40))="",FALSE,IF(ISERROR('Haq — Monthly P&amp;L and cash'!Y5='Model inputs'!AJ40),'Haq — Monthly P&amp;L and cash'!Y5='Model inputs'!AJ40,IF(OR('Haq — Monthly P&amp;L and cash'!Y5="",'Model inputs'!AJ40=""),"",'Haq — Monthly P&amp;L and cash'!Y5='Model inputs'!AJ40))),IF('Model inputs'!AJ41="","",'Model inputs'!AJ41),IF(IF(IF(ISERROR('Haq — Monthly P&amp;L and cash'!Y5&gt;'Model inputs'!AJ40),'Haq — Monthly P&amp;L and cash'!Y5&gt;'Model inputs'!AJ40,IF(OR('Haq — Monthly P&amp;L and cash'!Y5="",'Model inputs'!AJ40=""),"",'Haq — Monthly P&amp;L and cash'!Y5&gt;'Model inputs'!AJ40))="",FALSE,IF(ISERROR('Haq — Monthly P&amp;L and cash'!Y5&gt;'Model inputs'!AJ40),'Haq — Monthly P&amp;L and cash'!Y5&gt;'Model inputs'!AJ40,IF(OR('Haq — Monthly P&amp;L and cash'!Y5="",'Model inputs'!AJ40=""),"",'Haq — Monthly P&amp;L and cash'!Y5&gt;'Model inputs'!AJ40))),'Haq — Monthly P&amp;L and cash'!X7*'Model inputs'!AJ37,0))</f>
        <v>142.31771646040076</v>
      </c>
    </row>
    <row r="9">
      <c r="A9" t="inlineStr" s="8">
        <is>
          <t xml:space="preserve">Haq CSC checks</t>
        </is>
      </c>
      <c r="B9" s="10">
        <f>'Haq — Monthly P&amp;L and cash'!B7*'Model inputs'!AJ35</f>
        <v>0</v>
      </c>
      <c r="C9" s="10">
        <f>'Haq — Monthly P&amp;L and cash'!C7*'Model inputs'!AJ35</f>
        <v>0</v>
      </c>
      <c r="D9" s="10">
        <f>'Haq — Monthly P&amp;L and cash'!D7*'Model inputs'!AJ35</f>
        <v>0</v>
      </c>
      <c r="E9" s="10">
        <f>'Haq — Monthly P&amp;L and cash'!E7*'Model inputs'!AJ35</f>
        <v>4000</v>
      </c>
      <c r="F9" s="10">
        <f>'Haq — Monthly P&amp;L and cash'!F7*'Model inputs'!AJ35</f>
        <v>4599.999999999999</v>
      </c>
      <c r="G9" s="10">
        <f>'Haq — Monthly P&amp;L and cash'!G7*'Model inputs'!AJ35</f>
        <v>5289.999999999999</v>
      </c>
      <c r="H9" s="10">
        <f>'Haq — Monthly P&amp;L and cash'!H7*'Model inputs'!AJ35</f>
        <v>6083.499999999998</v>
      </c>
      <c r="I9" s="10">
        <f>'Haq — Monthly P&amp;L and cash'!I7*'Model inputs'!AJ35</f>
        <v>6996.024999999998</v>
      </c>
      <c r="J9" s="10">
        <f>'Haq — Monthly P&amp;L and cash'!J7*'Model inputs'!AJ35</f>
        <v>8045.428749999996</v>
      </c>
      <c r="K9" s="10">
        <f>'Haq — Monthly P&amp;L and cash'!K7*'Model inputs'!AJ35</f>
        <v>9252.243062499994</v>
      </c>
      <c r="L9" s="10">
        <f>'Haq — Monthly P&amp;L and cash'!L7*'Model inputs'!AJ35</f>
        <v>10640.079521874994</v>
      </c>
      <c r="M9" s="10">
        <f>'Haq — Monthly P&amp;L and cash'!M7*'Model inputs'!AJ35</f>
        <v>12236.09145015624</v>
      </c>
      <c r="N9" s="10">
        <f>'Haq — Monthly P&amp;L and cash'!N7*'Model inputs'!AJ35</f>
        <v>14071.505167679677</v>
      </c>
      <c r="O9" s="10">
        <f>'Haq — Monthly P&amp;L and cash'!O7*'Model inputs'!AJ35</f>
        <v>16182.230942831628</v>
      </c>
      <c r="P9" s="10">
        <f>'Haq — Monthly P&amp;L and cash'!P7*'Model inputs'!AJ35</f>
        <v>18609.565584256372</v>
      </c>
      <c r="Q9" s="10">
        <f>'Haq — Monthly P&amp;L and cash'!Q7*'Model inputs'!AJ35</f>
        <v>21401.000421894823</v>
      </c>
      <c r="R9" s="10">
        <f>'Haq — Monthly P&amp;L and cash'!R7*'Model inputs'!AJ35</f>
        <v>24611.150485179045</v>
      </c>
      <c r="S9" s="10">
        <f>'Haq — Monthly P&amp;L and cash'!S7*'Model inputs'!AJ35</f>
        <v>28302.823057955902</v>
      </c>
      <c r="T9" s="10">
        <f>'Haq — Monthly P&amp;L and cash'!T7*'Model inputs'!AJ35</f>
        <v>32548.246516649284</v>
      </c>
      <c r="U9" s="10">
        <f>'Haq — Monthly P&amp;L and cash'!U7*'Model inputs'!AJ35</f>
        <v>37430.483494146676</v>
      </c>
      <c r="V9" s="10">
        <f>'Haq — Monthly P&amp;L and cash'!V7*'Model inputs'!AJ35</f>
        <v>43045.05601826867</v>
      </c>
      <c r="W9" s="10">
        <f>'Haq — Monthly P&amp;L and cash'!W7*'Model inputs'!AJ35</f>
        <v>49501.81442100897</v>
      </c>
      <c r="X9" s="10">
        <f>'Haq — Monthly P&amp;L and cash'!X7*'Model inputs'!AJ35</f>
        <v>56927.08658416031</v>
      </c>
      <c r="Y9" s="10">
        <f>'Haq — Monthly P&amp;L and cash'!Y7*'Model inputs'!AJ35</f>
        <v>65466.14957178434</v>
      </c>
    </row>
    <row r="10">
      <c r="A10" t="inlineStr" s="8">
        <is>
          <t xml:space="preserve">Haq CSC revenue</t>
        </is>
      </c>
      <c r="B10" s="9">
        <f>'Haq — Monthly P&amp;L and cash'!B7*('Model inputs'!AJ43+MAX('Model inputs'!AJ35-'Model inputs'!AJ38,0)*'Model inputs'!AJ36)</f>
        <v>0</v>
      </c>
      <c r="C10" s="9">
        <f>'Haq — Monthly P&amp;L and cash'!C7*('Model inputs'!AJ43+MAX('Model inputs'!AJ35-'Model inputs'!AJ38,0)*'Model inputs'!AJ36)</f>
        <v>0</v>
      </c>
      <c r="D10" s="9">
        <f>'Haq — Monthly P&amp;L and cash'!D7*('Model inputs'!AJ43+MAX('Model inputs'!AJ35-'Model inputs'!AJ38,0)*'Model inputs'!AJ36)</f>
        <v>0</v>
      </c>
      <c r="E10" s="9">
        <f>'Haq — Monthly P&amp;L and cash'!E7*('Model inputs'!AJ43+MAX('Model inputs'!AJ35-'Model inputs'!AJ38,0)*'Model inputs'!AJ36)</f>
        <v>74950</v>
      </c>
      <c r="F10" s="9">
        <f>'Haq — Monthly P&amp;L and cash'!F7*('Model inputs'!AJ43+MAX('Model inputs'!AJ35-'Model inputs'!AJ38,0)*'Model inputs'!AJ36)</f>
        <v>86192.49999999999</v>
      </c>
      <c r="G10" s="9">
        <f>'Haq — Monthly P&amp;L and cash'!G7*('Model inputs'!AJ43+MAX('Model inputs'!AJ35-'Model inputs'!AJ38,0)*'Model inputs'!AJ36)</f>
        <v>99121.37499999999</v>
      </c>
      <c r="H10" s="9">
        <f>'Haq — Monthly P&amp;L and cash'!H7*('Model inputs'!AJ43+MAX('Model inputs'!AJ35-'Model inputs'!AJ38,0)*'Model inputs'!AJ36)</f>
        <v>113989.58124999996</v>
      </c>
      <c r="I10" s="9">
        <f>'Haq — Monthly P&amp;L and cash'!I7*('Model inputs'!AJ43+MAX('Model inputs'!AJ35-'Model inputs'!AJ38,0)*'Model inputs'!AJ36)</f>
        <v>131088.01843749994</v>
      </c>
      <c r="J10" s="9">
        <f>'Haq — Monthly P&amp;L and cash'!J7*('Model inputs'!AJ43+MAX('Model inputs'!AJ35-'Model inputs'!AJ38,0)*'Model inputs'!AJ36)</f>
        <v>150751.22120312494</v>
      </c>
      <c r="K10" s="9">
        <f>'Haq — Monthly P&amp;L and cash'!K7*('Model inputs'!AJ43+MAX('Model inputs'!AJ35-'Model inputs'!AJ38,0)*'Model inputs'!AJ36)</f>
        <v>173363.90438359365</v>
      </c>
      <c r="L10" s="9">
        <f>'Haq — Monthly P&amp;L and cash'!L7*('Model inputs'!AJ43+MAX('Model inputs'!AJ35-'Model inputs'!AJ38,0)*'Model inputs'!AJ36)</f>
        <v>199368.4900411327</v>
      </c>
      <c r="M10" s="9">
        <f>'Haq — Monthly P&amp;L and cash'!M7*('Model inputs'!AJ43+MAX('Model inputs'!AJ35-'Model inputs'!AJ38,0)*'Model inputs'!AJ36)</f>
        <v>229273.76354730257</v>
      </c>
      <c r="N10" s="9">
        <f>'Haq — Monthly P&amp;L and cash'!N7*('Model inputs'!AJ43+MAX('Model inputs'!AJ35-'Model inputs'!AJ38,0)*'Model inputs'!AJ36)</f>
        <v>263664.82807939796</v>
      </c>
      <c r="O10" s="9">
        <f>'Haq — Monthly P&amp;L and cash'!O7*('Model inputs'!AJ43+MAX('Model inputs'!AJ35-'Model inputs'!AJ38,0)*'Model inputs'!AJ36)</f>
        <v>303214.5522913076</v>
      </c>
      <c r="P10" s="9">
        <f>'Haq — Monthly P&amp;L and cash'!P7*('Model inputs'!AJ43+MAX('Model inputs'!AJ35-'Model inputs'!AJ38,0)*'Model inputs'!AJ36)</f>
        <v>348696.73513500375</v>
      </c>
      <c r="Q10" s="9">
        <f>'Haq — Monthly P&amp;L and cash'!Q7*('Model inputs'!AJ43+MAX('Model inputs'!AJ35-'Model inputs'!AJ38,0)*'Model inputs'!AJ36)</f>
        <v>401001.24540525425</v>
      </c>
      <c r="R10" s="9">
        <f>'Haq — Monthly P&amp;L and cash'!R7*('Model inputs'!AJ43+MAX('Model inputs'!AJ35-'Model inputs'!AJ38,0)*'Model inputs'!AJ36)</f>
        <v>461151.43221604236</v>
      </c>
      <c r="S10" s="9">
        <f>'Haq — Monthly P&amp;L and cash'!S7*('Model inputs'!AJ43+MAX('Model inputs'!AJ35-'Model inputs'!AJ38,0)*'Model inputs'!AJ36)</f>
        <v>530324.1470484487</v>
      </c>
      <c r="T10" s="9">
        <f>'Haq — Monthly P&amp;L and cash'!T7*('Model inputs'!AJ43+MAX('Model inputs'!AJ35-'Model inputs'!AJ38,0)*'Model inputs'!AJ36)</f>
        <v>609872.7691057159</v>
      </c>
      <c r="U10" s="9">
        <f>'Haq — Monthly P&amp;L and cash'!U7*('Model inputs'!AJ43+MAX('Model inputs'!AJ35-'Model inputs'!AJ38,0)*'Model inputs'!AJ36)</f>
        <v>701353.6844715733</v>
      </c>
      <c r="V10" s="9">
        <f>'Haq — Monthly P&amp;L and cash'!V7*('Model inputs'!AJ43+MAX('Model inputs'!AJ35-'Model inputs'!AJ38,0)*'Model inputs'!AJ36)</f>
        <v>806556.7371423092</v>
      </c>
      <c r="W10" s="9">
        <f>'Haq — Monthly P&amp;L and cash'!W7*('Model inputs'!AJ43+MAX('Model inputs'!AJ35-'Model inputs'!AJ38,0)*'Model inputs'!AJ36)</f>
        <v>927540.2477136555</v>
      </c>
      <c r="X10" s="9">
        <f>'Haq — Monthly P&amp;L and cash'!X7*('Model inputs'!AJ43+MAX('Model inputs'!AJ35-'Model inputs'!AJ38,0)*'Model inputs'!AJ36)</f>
        <v>1066671.2848707037</v>
      </c>
      <c r="Y10" s="9">
        <f>'Haq — Monthly P&amp;L and cash'!Y7*('Model inputs'!AJ43+MAX('Model inputs'!AJ35-'Model inputs'!AJ38,0)*'Model inputs'!AJ36)</f>
        <v>1226671.977601309</v>
      </c>
    </row>
    <row r="11">
      <c r="A11" t="inlineStr" s="8">
        <is>
          <t xml:space="preserve">Haq CSR districts</t>
        </is>
      </c>
      <c r="B11" s="10">
        <f>IF(IF(IF(ISERROR('Haq — Monthly P&amp;L and cash'!B5&gt;=24),'Haq — Monthly P&amp;L and cash'!B5&gt;=24,IF('Haq — Monthly P&amp;L and cash'!B5="","",'Haq — Monthly P&amp;L and cash'!B5&gt;=24))="",FALSE,IF(ISERROR('Haq — Monthly P&amp;L and cash'!B5&gt;=24),'Haq — Monthly P&amp;L and cash'!B5&gt;=24,IF('Haq — Monthly P&amp;L and cash'!B5="","",'Haq — Monthly P&amp;L and cash'!B5&gt;=24))),IF('Model inputs'!AJ51="","",'Model inputs'!AJ51),IF(IF(IF(ISERROR('Haq — Monthly P&amp;L and cash'!B5&gt;=23),'Haq — Monthly P&amp;L and cash'!B5&gt;=23,IF('Haq — Monthly P&amp;L and cash'!B5="","",'Haq — Monthly P&amp;L and cash'!B5&gt;=23))="",FALSE,IF(ISERROR('Haq — Monthly P&amp;L and cash'!B5&gt;=23),'Haq — Monthly P&amp;L and cash'!B5&gt;=23,IF('Haq — Monthly P&amp;L and cash'!B5="","",'Haq — Monthly P&amp;L and cash'!B5&gt;=23))),IF('Model inputs'!AJ50="","",'Model inputs'!AJ50),IF(IF(IF(ISERROR('Haq — Monthly P&amp;L and cash'!B5&gt;=21),'Haq — Monthly P&amp;L and cash'!B5&gt;=21,IF('Haq — Monthly P&amp;L and cash'!B5="","",'Haq — Monthly P&amp;L and cash'!B5&gt;=21))="",FALSE,IF(ISERROR('Haq — Monthly P&amp;L and cash'!B5&gt;=21),'Haq — Monthly P&amp;L and cash'!B5&gt;=21,IF('Haq — Monthly P&amp;L and cash'!B5="","",'Haq — Monthly P&amp;L and cash'!B5&gt;=21))),IF('Model inputs'!AJ49="","",'Model inputs'!AJ49),IF(IF(IF(ISERROR('Haq — Monthly P&amp;L and cash'!B5&gt;=18),'Haq — Monthly P&amp;L and cash'!B5&gt;=18,IF('Haq — Monthly P&amp;L and cash'!B5="","",'Haq — Monthly P&amp;L and cash'!B5&gt;=18))="",FALSE,IF(ISERROR('Haq — Monthly P&amp;L and cash'!B5&gt;=18),'Haq — Monthly P&amp;L and cash'!B5&gt;=18,IF('Haq — Monthly P&amp;L and cash'!B5="","",'Haq — Monthly P&amp;L and cash'!B5&gt;=18))),IF('Model inputs'!AJ48="","",'Model inputs'!AJ48),IF(IF(IF(ISERROR('Haq — Monthly P&amp;L and cash'!B5&gt;=15),'Haq — Monthly P&amp;L and cash'!B5&gt;=15,IF('Haq — Monthly P&amp;L and cash'!B5="","",'Haq — Monthly P&amp;L and cash'!B5&gt;=15))="",FALSE,IF(ISERROR('Haq — Monthly P&amp;L and cash'!B5&gt;=15),'Haq — Monthly P&amp;L and cash'!B5&gt;=15,IF('Haq — Monthly P&amp;L and cash'!B5="","",'Haq — Monthly P&amp;L and cash'!B5&gt;=15))),IF('Model inputs'!AJ47="","",'Model inputs'!AJ47),IF(IF(IF(ISERROR('Haq — Monthly P&amp;L and cash'!B5&gt;=12),'Haq — Monthly P&amp;L and cash'!B5&gt;=12,IF('Haq — Monthly P&amp;L and cash'!B5="","",'Haq — Monthly P&amp;L and cash'!B5&gt;=12))="",FALSE,IF(ISERROR('Haq — Monthly P&amp;L and cash'!B5&gt;=12),'Haq — Monthly P&amp;L and cash'!B5&gt;=12,IF('Haq — Monthly P&amp;L and cash'!B5="","",'Haq — Monthly P&amp;L and cash'!B5&gt;=12))),IF('Model inputs'!AJ46="","",'Model inputs'!AJ46),IF(IF(IF(ISERROR('Haq — Monthly P&amp;L and cash'!B5&gt;=9),'Haq — Monthly P&amp;L and cash'!B5&gt;=9,IF('Haq — Monthly P&amp;L and cash'!B5="","",'Haq — Monthly P&amp;L and cash'!B5&gt;=9))="",FALSE,IF(ISERROR('Haq — Monthly P&amp;L and cash'!B5&gt;=9),'Haq — Monthly P&amp;L and cash'!B5&gt;=9,IF('Haq — Monthly P&amp;L and cash'!B5="","",'Haq — Monthly P&amp;L and cash'!B5&gt;=9))),IF('Model inputs'!AJ53="","",'Model inputs'!AJ53),IF(IF(IF(ISERROR('Haq — Monthly P&amp;L and cash'!B5&gt;=6),'Haq — Monthly P&amp;L and cash'!B5&gt;=6,IF('Haq — Monthly P&amp;L and cash'!B5="","",'Haq — Monthly P&amp;L and cash'!B5&gt;=6))="",FALSE,IF(ISERROR('Haq — Monthly P&amp;L and cash'!B5&gt;=6),'Haq — Monthly P&amp;L and cash'!B5&gt;=6,IF('Haq — Monthly P&amp;L and cash'!B5="","",'Haq — Monthly P&amp;L and cash'!B5&gt;=6))),IF('Model inputs'!AJ52="","",'Model inputs'!AJ52),0))))))))</f>
        <v>0</v>
      </c>
      <c r="C11" s="10">
        <f>IF(IF(IF(ISERROR('Haq — Monthly P&amp;L and cash'!C5&gt;=24),'Haq — Monthly P&amp;L and cash'!C5&gt;=24,IF('Haq — Monthly P&amp;L and cash'!C5="","",'Haq — Monthly P&amp;L and cash'!C5&gt;=24))="",FALSE,IF(ISERROR('Haq — Monthly P&amp;L and cash'!C5&gt;=24),'Haq — Monthly P&amp;L and cash'!C5&gt;=24,IF('Haq — Monthly P&amp;L and cash'!C5="","",'Haq — Monthly P&amp;L and cash'!C5&gt;=24))),IF('Model inputs'!AJ51="","",'Model inputs'!AJ51),IF(IF(IF(ISERROR('Haq — Monthly P&amp;L and cash'!C5&gt;=23),'Haq — Monthly P&amp;L and cash'!C5&gt;=23,IF('Haq — Monthly P&amp;L and cash'!C5="","",'Haq — Monthly P&amp;L and cash'!C5&gt;=23))="",FALSE,IF(ISERROR('Haq — Monthly P&amp;L and cash'!C5&gt;=23),'Haq — Monthly P&amp;L and cash'!C5&gt;=23,IF('Haq — Monthly P&amp;L and cash'!C5="","",'Haq — Monthly P&amp;L and cash'!C5&gt;=23))),IF('Model inputs'!AJ50="","",'Model inputs'!AJ50),IF(IF(IF(ISERROR('Haq — Monthly P&amp;L and cash'!C5&gt;=21),'Haq — Monthly P&amp;L and cash'!C5&gt;=21,IF('Haq — Monthly P&amp;L and cash'!C5="","",'Haq — Monthly P&amp;L and cash'!C5&gt;=21))="",FALSE,IF(ISERROR('Haq — Monthly P&amp;L and cash'!C5&gt;=21),'Haq — Monthly P&amp;L and cash'!C5&gt;=21,IF('Haq — Monthly P&amp;L and cash'!C5="","",'Haq — Monthly P&amp;L and cash'!C5&gt;=21))),IF('Model inputs'!AJ49="","",'Model inputs'!AJ49),IF(IF(IF(ISERROR('Haq — Monthly P&amp;L and cash'!C5&gt;=18),'Haq — Monthly P&amp;L and cash'!C5&gt;=18,IF('Haq — Monthly P&amp;L and cash'!C5="","",'Haq — Monthly P&amp;L and cash'!C5&gt;=18))="",FALSE,IF(ISERROR('Haq — Monthly P&amp;L and cash'!C5&gt;=18),'Haq — Monthly P&amp;L and cash'!C5&gt;=18,IF('Haq — Monthly P&amp;L and cash'!C5="","",'Haq — Monthly P&amp;L and cash'!C5&gt;=18))),IF('Model inputs'!AJ48="","",'Model inputs'!AJ48),IF(IF(IF(ISERROR('Haq — Monthly P&amp;L and cash'!C5&gt;=15),'Haq — Monthly P&amp;L and cash'!C5&gt;=15,IF('Haq — Monthly P&amp;L and cash'!C5="","",'Haq — Monthly P&amp;L and cash'!C5&gt;=15))="",FALSE,IF(ISERROR('Haq — Monthly P&amp;L and cash'!C5&gt;=15),'Haq — Monthly P&amp;L and cash'!C5&gt;=15,IF('Haq — Monthly P&amp;L and cash'!C5="","",'Haq — Monthly P&amp;L and cash'!C5&gt;=15))),IF('Model inputs'!AJ47="","",'Model inputs'!AJ47),IF(IF(IF(ISERROR('Haq — Monthly P&amp;L and cash'!C5&gt;=12),'Haq — Monthly P&amp;L and cash'!C5&gt;=12,IF('Haq — Monthly P&amp;L and cash'!C5="","",'Haq — Monthly P&amp;L and cash'!C5&gt;=12))="",FALSE,IF(ISERROR('Haq — Monthly P&amp;L and cash'!C5&gt;=12),'Haq — Monthly P&amp;L and cash'!C5&gt;=12,IF('Haq — Monthly P&amp;L and cash'!C5="","",'Haq — Monthly P&amp;L and cash'!C5&gt;=12))),IF('Model inputs'!AJ46="","",'Model inputs'!AJ46),IF(IF(IF(ISERROR('Haq — Monthly P&amp;L and cash'!C5&gt;=9),'Haq — Monthly P&amp;L and cash'!C5&gt;=9,IF('Haq — Monthly P&amp;L and cash'!C5="","",'Haq — Monthly P&amp;L and cash'!C5&gt;=9))="",FALSE,IF(ISERROR('Haq — Monthly P&amp;L and cash'!C5&gt;=9),'Haq — Monthly P&amp;L and cash'!C5&gt;=9,IF('Haq — Monthly P&amp;L and cash'!C5="","",'Haq — Monthly P&amp;L and cash'!C5&gt;=9))),IF('Model inputs'!AJ53="","",'Model inputs'!AJ53),IF(IF(IF(ISERROR('Haq — Monthly P&amp;L and cash'!C5&gt;=6),'Haq — Monthly P&amp;L and cash'!C5&gt;=6,IF('Haq — Monthly P&amp;L and cash'!C5="","",'Haq — Monthly P&amp;L and cash'!C5&gt;=6))="",FALSE,IF(ISERROR('Haq — Monthly P&amp;L and cash'!C5&gt;=6),'Haq — Monthly P&amp;L and cash'!C5&gt;=6,IF('Haq — Monthly P&amp;L and cash'!C5="","",'Haq — Monthly P&amp;L and cash'!C5&gt;=6))),IF('Model inputs'!AJ52="","",'Model inputs'!AJ52),0))))))))</f>
        <v>0</v>
      </c>
      <c r="D11" s="10">
        <f>IF(IF(IF(ISERROR('Haq — Monthly P&amp;L and cash'!D5&gt;=24),'Haq — Monthly P&amp;L and cash'!D5&gt;=24,IF('Haq — Monthly P&amp;L and cash'!D5="","",'Haq — Monthly P&amp;L and cash'!D5&gt;=24))="",FALSE,IF(ISERROR('Haq — Monthly P&amp;L and cash'!D5&gt;=24),'Haq — Monthly P&amp;L and cash'!D5&gt;=24,IF('Haq — Monthly P&amp;L and cash'!D5="","",'Haq — Monthly P&amp;L and cash'!D5&gt;=24))),IF('Model inputs'!AJ51="","",'Model inputs'!AJ51),IF(IF(IF(ISERROR('Haq — Monthly P&amp;L and cash'!D5&gt;=23),'Haq — Monthly P&amp;L and cash'!D5&gt;=23,IF('Haq — Monthly P&amp;L and cash'!D5="","",'Haq — Monthly P&amp;L and cash'!D5&gt;=23))="",FALSE,IF(ISERROR('Haq — Monthly P&amp;L and cash'!D5&gt;=23),'Haq — Monthly P&amp;L and cash'!D5&gt;=23,IF('Haq — Monthly P&amp;L and cash'!D5="","",'Haq — Monthly P&amp;L and cash'!D5&gt;=23))),IF('Model inputs'!AJ50="","",'Model inputs'!AJ50),IF(IF(IF(ISERROR('Haq — Monthly P&amp;L and cash'!D5&gt;=21),'Haq — Monthly P&amp;L and cash'!D5&gt;=21,IF('Haq — Monthly P&amp;L and cash'!D5="","",'Haq — Monthly P&amp;L and cash'!D5&gt;=21))="",FALSE,IF(ISERROR('Haq — Monthly P&amp;L and cash'!D5&gt;=21),'Haq — Monthly P&amp;L and cash'!D5&gt;=21,IF('Haq — Monthly P&amp;L and cash'!D5="","",'Haq — Monthly P&amp;L and cash'!D5&gt;=21))),IF('Model inputs'!AJ49="","",'Model inputs'!AJ49),IF(IF(IF(ISERROR('Haq — Monthly P&amp;L and cash'!D5&gt;=18),'Haq — Monthly P&amp;L and cash'!D5&gt;=18,IF('Haq — Monthly P&amp;L and cash'!D5="","",'Haq — Monthly P&amp;L and cash'!D5&gt;=18))="",FALSE,IF(ISERROR('Haq — Monthly P&amp;L and cash'!D5&gt;=18),'Haq — Monthly P&amp;L and cash'!D5&gt;=18,IF('Haq — Monthly P&amp;L and cash'!D5="","",'Haq — Monthly P&amp;L and cash'!D5&gt;=18))),IF('Model inputs'!AJ48="","",'Model inputs'!AJ48),IF(IF(IF(ISERROR('Haq — Monthly P&amp;L and cash'!D5&gt;=15),'Haq — Monthly P&amp;L and cash'!D5&gt;=15,IF('Haq — Monthly P&amp;L and cash'!D5="","",'Haq — Monthly P&amp;L and cash'!D5&gt;=15))="",FALSE,IF(ISERROR('Haq — Monthly P&amp;L and cash'!D5&gt;=15),'Haq — Monthly P&amp;L and cash'!D5&gt;=15,IF('Haq — Monthly P&amp;L and cash'!D5="","",'Haq — Monthly P&amp;L and cash'!D5&gt;=15))),IF('Model inputs'!AJ47="","",'Model inputs'!AJ47),IF(IF(IF(ISERROR('Haq — Monthly P&amp;L and cash'!D5&gt;=12),'Haq — Monthly P&amp;L and cash'!D5&gt;=12,IF('Haq — Monthly P&amp;L and cash'!D5="","",'Haq — Monthly P&amp;L and cash'!D5&gt;=12))="",FALSE,IF(ISERROR('Haq — Monthly P&amp;L and cash'!D5&gt;=12),'Haq — Monthly P&amp;L and cash'!D5&gt;=12,IF('Haq — Monthly P&amp;L and cash'!D5="","",'Haq — Monthly P&amp;L and cash'!D5&gt;=12))),IF('Model inputs'!AJ46="","",'Model inputs'!AJ46),IF(IF(IF(ISERROR('Haq — Monthly P&amp;L and cash'!D5&gt;=9),'Haq — Monthly P&amp;L and cash'!D5&gt;=9,IF('Haq — Monthly P&amp;L and cash'!D5="","",'Haq — Monthly P&amp;L and cash'!D5&gt;=9))="",FALSE,IF(ISERROR('Haq — Monthly P&amp;L and cash'!D5&gt;=9),'Haq — Monthly P&amp;L and cash'!D5&gt;=9,IF('Haq — Monthly P&amp;L and cash'!D5="","",'Haq — Monthly P&amp;L and cash'!D5&gt;=9))),IF('Model inputs'!AJ53="","",'Model inputs'!AJ53),IF(IF(IF(ISERROR('Haq — Monthly P&amp;L and cash'!D5&gt;=6),'Haq — Monthly P&amp;L and cash'!D5&gt;=6,IF('Haq — Monthly P&amp;L and cash'!D5="","",'Haq — Monthly P&amp;L and cash'!D5&gt;=6))="",FALSE,IF(ISERROR('Haq — Monthly P&amp;L and cash'!D5&gt;=6),'Haq — Monthly P&amp;L and cash'!D5&gt;=6,IF('Haq — Monthly P&amp;L and cash'!D5="","",'Haq — Monthly P&amp;L and cash'!D5&gt;=6))),IF('Model inputs'!AJ52="","",'Model inputs'!AJ52),0))))))))</f>
        <v>0</v>
      </c>
      <c r="E11" s="10">
        <f>IF(IF(IF(ISERROR('Haq — Monthly P&amp;L and cash'!E5&gt;=24),'Haq — Monthly P&amp;L and cash'!E5&gt;=24,IF('Haq — Monthly P&amp;L and cash'!E5="","",'Haq — Monthly P&amp;L and cash'!E5&gt;=24))="",FALSE,IF(ISERROR('Haq — Monthly P&amp;L and cash'!E5&gt;=24),'Haq — Monthly P&amp;L and cash'!E5&gt;=24,IF('Haq — Monthly P&amp;L and cash'!E5="","",'Haq — Monthly P&amp;L and cash'!E5&gt;=24))),IF('Model inputs'!AJ51="","",'Model inputs'!AJ51),IF(IF(IF(ISERROR('Haq — Monthly P&amp;L and cash'!E5&gt;=23),'Haq — Monthly P&amp;L and cash'!E5&gt;=23,IF('Haq — Monthly P&amp;L and cash'!E5="","",'Haq — Monthly P&amp;L and cash'!E5&gt;=23))="",FALSE,IF(ISERROR('Haq — Monthly P&amp;L and cash'!E5&gt;=23),'Haq — Monthly P&amp;L and cash'!E5&gt;=23,IF('Haq — Monthly P&amp;L and cash'!E5="","",'Haq — Monthly P&amp;L and cash'!E5&gt;=23))),IF('Model inputs'!AJ50="","",'Model inputs'!AJ50),IF(IF(IF(ISERROR('Haq — Monthly P&amp;L and cash'!E5&gt;=21),'Haq — Monthly P&amp;L and cash'!E5&gt;=21,IF('Haq — Monthly P&amp;L and cash'!E5="","",'Haq — Monthly P&amp;L and cash'!E5&gt;=21))="",FALSE,IF(ISERROR('Haq — Monthly P&amp;L and cash'!E5&gt;=21),'Haq — Monthly P&amp;L and cash'!E5&gt;=21,IF('Haq — Monthly P&amp;L and cash'!E5="","",'Haq — Monthly P&amp;L and cash'!E5&gt;=21))),IF('Model inputs'!AJ49="","",'Model inputs'!AJ49),IF(IF(IF(ISERROR('Haq — Monthly P&amp;L and cash'!E5&gt;=18),'Haq — Monthly P&amp;L and cash'!E5&gt;=18,IF('Haq — Monthly P&amp;L and cash'!E5="","",'Haq — Monthly P&amp;L and cash'!E5&gt;=18))="",FALSE,IF(ISERROR('Haq — Monthly P&amp;L and cash'!E5&gt;=18),'Haq — Monthly P&amp;L and cash'!E5&gt;=18,IF('Haq — Monthly P&amp;L and cash'!E5="","",'Haq — Monthly P&amp;L and cash'!E5&gt;=18))),IF('Model inputs'!AJ48="","",'Model inputs'!AJ48),IF(IF(IF(ISERROR('Haq — Monthly P&amp;L and cash'!E5&gt;=15),'Haq — Monthly P&amp;L and cash'!E5&gt;=15,IF('Haq — Monthly P&amp;L and cash'!E5="","",'Haq — Monthly P&amp;L and cash'!E5&gt;=15))="",FALSE,IF(ISERROR('Haq — Monthly P&amp;L and cash'!E5&gt;=15),'Haq — Monthly P&amp;L and cash'!E5&gt;=15,IF('Haq — Monthly P&amp;L and cash'!E5="","",'Haq — Monthly P&amp;L and cash'!E5&gt;=15))),IF('Model inputs'!AJ47="","",'Model inputs'!AJ47),IF(IF(IF(ISERROR('Haq — Monthly P&amp;L and cash'!E5&gt;=12),'Haq — Monthly P&amp;L and cash'!E5&gt;=12,IF('Haq — Monthly P&amp;L and cash'!E5="","",'Haq — Monthly P&amp;L and cash'!E5&gt;=12))="",FALSE,IF(ISERROR('Haq — Monthly P&amp;L and cash'!E5&gt;=12),'Haq — Monthly P&amp;L and cash'!E5&gt;=12,IF('Haq — Monthly P&amp;L and cash'!E5="","",'Haq — Monthly P&amp;L and cash'!E5&gt;=12))),IF('Model inputs'!AJ46="","",'Model inputs'!AJ46),IF(IF(IF(ISERROR('Haq — Monthly P&amp;L and cash'!E5&gt;=9),'Haq — Monthly P&amp;L and cash'!E5&gt;=9,IF('Haq — Monthly P&amp;L and cash'!E5="","",'Haq — Monthly P&amp;L and cash'!E5&gt;=9))="",FALSE,IF(ISERROR('Haq — Monthly P&amp;L and cash'!E5&gt;=9),'Haq — Monthly P&amp;L and cash'!E5&gt;=9,IF('Haq — Monthly P&amp;L and cash'!E5="","",'Haq — Monthly P&amp;L and cash'!E5&gt;=9))),IF('Model inputs'!AJ53="","",'Model inputs'!AJ53),IF(IF(IF(ISERROR('Haq — Monthly P&amp;L and cash'!E5&gt;=6),'Haq — Monthly P&amp;L and cash'!E5&gt;=6,IF('Haq — Monthly P&amp;L and cash'!E5="","",'Haq — Monthly P&amp;L and cash'!E5&gt;=6))="",FALSE,IF(ISERROR('Haq — Monthly P&amp;L and cash'!E5&gt;=6),'Haq — Monthly P&amp;L and cash'!E5&gt;=6,IF('Haq — Monthly P&amp;L and cash'!E5="","",'Haq — Monthly P&amp;L and cash'!E5&gt;=6))),IF('Model inputs'!AJ52="","",'Model inputs'!AJ52),0))))))))</f>
        <v>0</v>
      </c>
      <c r="F11" s="10">
        <f>IF(IF(IF(ISERROR('Haq — Monthly P&amp;L and cash'!F5&gt;=24),'Haq — Monthly P&amp;L and cash'!F5&gt;=24,IF('Haq — Monthly P&amp;L and cash'!F5="","",'Haq — Monthly P&amp;L and cash'!F5&gt;=24))="",FALSE,IF(ISERROR('Haq — Monthly P&amp;L and cash'!F5&gt;=24),'Haq — Monthly P&amp;L and cash'!F5&gt;=24,IF('Haq — Monthly P&amp;L and cash'!F5="","",'Haq — Monthly P&amp;L and cash'!F5&gt;=24))),IF('Model inputs'!AJ51="","",'Model inputs'!AJ51),IF(IF(IF(ISERROR('Haq — Monthly P&amp;L and cash'!F5&gt;=23),'Haq — Monthly P&amp;L and cash'!F5&gt;=23,IF('Haq — Monthly P&amp;L and cash'!F5="","",'Haq — Monthly P&amp;L and cash'!F5&gt;=23))="",FALSE,IF(ISERROR('Haq — Monthly P&amp;L and cash'!F5&gt;=23),'Haq — Monthly P&amp;L and cash'!F5&gt;=23,IF('Haq — Monthly P&amp;L and cash'!F5="","",'Haq — Monthly P&amp;L and cash'!F5&gt;=23))),IF('Model inputs'!AJ50="","",'Model inputs'!AJ50),IF(IF(IF(ISERROR('Haq — Monthly P&amp;L and cash'!F5&gt;=21),'Haq — Monthly P&amp;L and cash'!F5&gt;=21,IF('Haq — Monthly P&amp;L and cash'!F5="","",'Haq — Monthly P&amp;L and cash'!F5&gt;=21))="",FALSE,IF(ISERROR('Haq — Monthly P&amp;L and cash'!F5&gt;=21),'Haq — Monthly P&amp;L and cash'!F5&gt;=21,IF('Haq — Monthly P&amp;L and cash'!F5="","",'Haq — Monthly P&amp;L and cash'!F5&gt;=21))),IF('Model inputs'!AJ49="","",'Model inputs'!AJ49),IF(IF(IF(ISERROR('Haq — Monthly P&amp;L and cash'!F5&gt;=18),'Haq — Monthly P&amp;L and cash'!F5&gt;=18,IF('Haq — Monthly P&amp;L and cash'!F5="","",'Haq — Monthly P&amp;L and cash'!F5&gt;=18))="",FALSE,IF(ISERROR('Haq — Monthly P&amp;L and cash'!F5&gt;=18),'Haq — Monthly P&amp;L and cash'!F5&gt;=18,IF('Haq — Monthly P&amp;L and cash'!F5="","",'Haq — Monthly P&amp;L and cash'!F5&gt;=18))),IF('Model inputs'!AJ48="","",'Model inputs'!AJ48),IF(IF(IF(ISERROR('Haq — Monthly P&amp;L and cash'!F5&gt;=15),'Haq — Monthly P&amp;L and cash'!F5&gt;=15,IF('Haq — Monthly P&amp;L and cash'!F5="","",'Haq — Monthly P&amp;L and cash'!F5&gt;=15))="",FALSE,IF(ISERROR('Haq — Monthly P&amp;L and cash'!F5&gt;=15),'Haq — Monthly P&amp;L and cash'!F5&gt;=15,IF('Haq — Monthly P&amp;L and cash'!F5="","",'Haq — Monthly P&amp;L and cash'!F5&gt;=15))),IF('Model inputs'!AJ47="","",'Model inputs'!AJ47),IF(IF(IF(ISERROR('Haq — Monthly P&amp;L and cash'!F5&gt;=12),'Haq — Monthly P&amp;L and cash'!F5&gt;=12,IF('Haq — Monthly P&amp;L and cash'!F5="","",'Haq — Monthly P&amp;L and cash'!F5&gt;=12))="",FALSE,IF(ISERROR('Haq — Monthly P&amp;L and cash'!F5&gt;=12),'Haq — Monthly P&amp;L and cash'!F5&gt;=12,IF('Haq — Monthly P&amp;L and cash'!F5="","",'Haq — Monthly P&amp;L and cash'!F5&gt;=12))),IF('Model inputs'!AJ46="","",'Model inputs'!AJ46),IF(IF(IF(ISERROR('Haq — Monthly P&amp;L and cash'!F5&gt;=9),'Haq — Monthly P&amp;L and cash'!F5&gt;=9,IF('Haq — Monthly P&amp;L and cash'!F5="","",'Haq — Monthly P&amp;L and cash'!F5&gt;=9))="",FALSE,IF(ISERROR('Haq — Monthly P&amp;L and cash'!F5&gt;=9),'Haq — Monthly P&amp;L and cash'!F5&gt;=9,IF('Haq — Monthly P&amp;L and cash'!F5="","",'Haq — Monthly P&amp;L and cash'!F5&gt;=9))),IF('Model inputs'!AJ53="","",'Model inputs'!AJ53),IF(IF(IF(ISERROR('Haq — Monthly P&amp;L and cash'!F5&gt;=6),'Haq — Monthly P&amp;L and cash'!F5&gt;=6,IF('Haq — Monthly P&amp;L and cash'!F5="","",'Haq — Monthly P&amp;L and cash'!F5&gt;=6))="",FALSE,IF(ISERROR('Haq — Monthly P&amp;L and cash'!F5&gt;=6),'Haq — Monthly P&amp;L and cash'!F5&gt;=6,IF('Haq — Monthly P&amp;L and cash'!F5="","",'Haq — Monthly P&amp;L and cash'!F5&gt;=6))),IF('Model inputs'!AJ52="","",'Model inputs'!AJ52),0))))))))</f>
        <v>0</v>
      </c>
      <c r="G11" s="10">
        <f>IF(IF(IF(ISERROR('Haq — Monthly P&amp;L and cash'!G5&gt;=24),'Haq — Monthly P&amp;L and cash'!G5&gt;=24,IF('Haq — Monthly P&amp;L and cash'!G5="","",'Haq — Monthly P&amp;L and cash'!G5&gt;=24))="",FALSE,IF(ISERROR('Haq — Monthly P&amp;L and cash'!G5&gt;=24),'Haq — Monthly P&amp;L and cash'!G5&gt;=24,IF('Haq — Monthly P&amp;L and cash'!G5="","",'Haq — Monthly P&amp;L and cash'!G5&gt;=24))),IF('Model inputs'!AJ51="","",'Model inputs'!AJ51),IF(IF(IF(ISERROR('Haq — Monthly P&amp;L and cash'!G5&gt;=23),'Haq — Monthly P&amp;L and cash'!G5&gt;=23,IF('Haq — Monthly P&amp;L and cash'!G5="","",'Haq — Monthly P&amp;L and cash'!G5&gt;=23))="",FALSE,IF(ISERROR('Haq — Monthly P&amp;L and cash'!G5&gt;=23),'Haq — Monthly P&amp;L and cash'!G5&gt;=23,IF('Haq — Monthly P&amp;L and cash'!G5="","",'Haq — Monthly P&amp;L and cash'!G5&gt;=23))),IF('Model inputs'!AJ50="","",'Model inputs'!AJ50),IF(IF(IF(ISERROR('Haq — Monthly P&amp;L and cash'!G5&gt;=21),'Haq — Monthly P&amp;L and cash'!G5&gt;=21,IF('Haq — Monthly P&amp;L and cash'!G5="","",'Haq — Monthly P&amp;L and cash'!G5&gt;=21))="",FALSE,IF(ISERROR('Haq — Monthly P&amp;L and cash'!G5&gt;=21),'Haq — Monthly P&amp;L and cash'!G5&gt;=21,IF('Haq — Monthly P&amp;L and cash'!G5="","",'Haq — Monthly P&amp;L and cash'!G5&gt;=21))),IF('Model inputs'!AJ49="","",'Model inputs'!AJ49),IF(IF(IF(ISERROR('Haq — Monthly P&amp;L and cash'!G5&gt;=18),'Haq — Monthly P&amp;L and cash'!G5&gt;=18,IF('Haq — Monthly P&amp;L and cash'!G5="","",'Haq — Monthly P&amp;L and cash'!G5&gt;=18))="",FALSE,IF(ISERROR('Haq — Monthly P&amp;L and cash'!G5&gt;=18),'Haq — Monthly P&amp;L and cash'!G5&gt;=18,IF('Haq — Monthly P&amp;L and cash'!G5="","",'Haq — Monthly P&amp;L and cash'!G5&gt;=18))),IF('Model inputs'!AJ48="","",'Model inputs'!AJ48),IF(IF(IF(ISERROR('Haq — Monthly P&amp;L and cash'!G5&gt;=15),'Haq — Monthly P&amp;L and cash'!G5&gt;=15,IF('Haq — Monthly P&amp;L and cash'!G5="","",'Haq — Monthly P&amp;L and cash'!G5&gt;=15))="",FALSE,IF(ISERROR('Haq — Monthly P&amp;L and cash'!G5&gt;=15),'Haq — Monthly P&amp;L and cash'!G5&gt;=15,IF('Haq — Monthly P&amp;L and cash'!G5="","",'Haq — Monthly P&amp;L and cash'!G5&gt;=15))),IF('Model inputs'!AJ47="","",'Model inputs'!AJ47),IF(IF(IF(ISERROR('Haq — Monthly P&amp;L and cash'!G5&gt;=12),'Haq — Monthly P&amp;L and cash'!G5&gt;=12,IF('Haq — Monthly P&amp;L and cash'!G5="","",'Haq — Monthly P&amp;L and cash'!G5&gt;=12))="",FALSE,IF(ISERROR('Haq — Monthly P&amp;L and cash'!G5&gt;=12),'Haq — Monthly P&amp;L and cash'!G5&gt;=12,IF('Haq — Monthly P&amp;L and cash'!G5="","",'Haq — Monthly P&amp;L and cash'!G5&gt;=12))),IF('Model inputs'!AJ46="","",'Model inputs'!AJ46),IF(IF(IF(ISERROR('Haq — Monthly P&amp;L and cash'!G5&gt;=9),'Haq — Monthly P&amp;L and cash'!G5&gt;=9,IF('Haq — Monthly P&amp;L and cash'!G5="","",'Haq — Monthly P&amp;L and cash'!G5&gt;=9))="",FALSE,IF(ISERROR('Haq — Monthly P&amp;L and cash'!G5&gt;=9),'Haq — Monthly P&amp;L and cash'!G5&gt;=9,IF('Haq — Monthly P&amp;L and cash'!G5="","",'Haq — Monthly P&amp;L and cash'!G5&gt;=9))),IF('Model inputs'!AJ53="","",'Model inputs'!AJ53),IF(IF(IF(ISERROR('Haq — Monthly P&amp;L and cash'!G5&gt;=6),'Haq — Monthly P&amp;L and cash'!G5&gt;=6,IF('Haq — Monthly P&amp;L and cash'!G5="","",'Haq — Monthly P&amp;L and cash'!G5&gt;=6))="",FALSE,IF(ISERROR('Haq — Monthly P&amp;L and cash'!G5&gt;=6),'Haq — Monthly P&amp;L and cash'!G5&gt;=6,IF('Haq — Monthly P&amp;L and cash'!G5="","",'Haq — Monthly P&amp;L and cash'!G5&gt;=6))),IF('Model inputs'!AJ52="","",'Model inputs'!AJ52),0))))))))</f>
        <v>1</v>
      </c>
      <c r="H11" s="10">
        <f>IF(IF(IF(ISERROR('Haq — Monthly P&amp;L and cash'!H5&gt;=24),'Haq — Monthly P&amp;L and cash'!H5&gt;=24,IF('Haq — Monthly P&amp;L and cash'!H5="","",'Haq — Monthly P&amp;L and cash'!H5&gt;=24))="",FALSE,IF(ISERROR('Haq — Monthly P&amp;L and cash'!H5&gt;=24),'Haq — Monthly P&amp;L and cash'!H5&gt;=24,IF('Haq — Monthly P&amp;L and cash'!H5="","",'Haq — Monthly P&amp;L and cash'!H5&gt;=24))),IF('Model inputs'!AJ51="","",'Model inputs'!AJ51),IF(IF(IF(ISERROR('Haq — Monthly P&amp;L and cash'!H5&gt;=23),'Haq — Monthly P&amp;L and cash'!H5&gt;=23,IF('Haq — Monthly P&amp;L and cash'!H5="","",'Haq — Monthly P&amp;L and cash'!H5&gt;=23))="",FALSE,IF(ISERROR('Haq — Monthly P&amp;L and cash'!H5&gt;=23),'Haq — Monthly P&amp;L and cash'!H5&gt;=23,IF('Haq — Monthly P&amp;L and cash'!H5="","",'Haq — Monthly P&amp;L and cash'!H5&gt;=23))),IF('Model inputs'!AJ50="","",'Model inputs'!AJ50),IF(IF(IF(ISERROR('Haq — Monthly P&amp;L and cash'!H5&gt;=21),'Haq — Monthly P&amp;L and cash'!H5&gt;=21,IF('Haq — Monthly P&amp;L and cash'!H5="","",'Haq — Monthly P&amp;L and cash'!H5&gt;=21))="",FALSE,IF(ISERROR('Haq — Monthly P&amp;L and cash'!H5&gt;=21),'Haq — Monthly P&amp;L and cash'!H5&gt;=21,IF('Haq — Monthly P&amp;L and cash'!H5="","",'Haq — Monthly P&amp;L and cash'!H5&gt;=21))),IF('Model inputs'!AJ49="","",'Model inputs'!AJ49),IF(IF(IF(ISERROR('Haq — Monthly P&amp;L and cash'!H5&gt;=18),'Haq — Monthly P&amp;L and cash'!H5&gt;=18,IF('Haq — Monthly P&amp;L and cash'!H5="","",'Haq — Monthly P&amp;L and cash'!H5&gt;=18))="",FALSE,IF(ISERROR('Haq — Monthly P&amp;L and cash'!H5&gt;=18),'Haq — Monthly P&amp;L and cash'!H5&gt;=18,IF('Haq — Monthly P&amp;L and cash'!H5="","",'Haq — Monthly P&amp;L and cash'!H5&gt;=18))),IF('Model inputs'!AJ48="","",'Model inputs'!AJ48),IF(IF(IF(ISERROR('Haq — Monthly P&amp;L and cash'!H5&gt;=15),'Haq — Monthly P&amp;L and cash'!H5&gt;=15,IF('Haq — Monthly P&amp;L and cash'!H5="","",'Haq — Monthly P&amp;L and cash'!H5&gt;=15))="",FALSE,IF(ISERROR('Haq — Monthly P&amp;L and cash'!H5&gt;=15),'Haq — Monthly P&amp;L and cash'!H5&gt;=15,IF('Haq — Monthly P&amp;L and cash'!H5="","",'Haq — Monthly P&amp;L and cash'!H5&gt;=15))),IF('Model inputs'!AJ47="","",'Model inputs'!AJ47),IF(IF(IF(ISERROR('Haq — Monthly P&amp;L and cash'!H5&gt;=12),'Haq — Monthly P&amp;L and cash'!H5&gt;=12,IF('Haq — Monthly P&amp;L and cash'!H5="","",'Haq — Monthly P&amp;L and cash'!H5&gt;=12))="",FALSE,IF(ISERROR('Haq — Monthly P&amp;L and cash'!H5&gt;=12),'Haq — Monthly P&amp;L and cash'!H5&gt;=12,IF('Haq — Monthly P&amp;L and cash'!H5="","",'Haq — Monthly P&amp;L and cash'!H5&gt;=12))),IF('Model inputs'!AJ46="","",'Model inputs'!AJ46),IF(IF(IF(ISERROR('Haq — Monthly P&amp;L and cash'!H5&gt;=9),'Haq — Monthly P&amp;L and cash'!H5&gt;=9,IF('Haq — Monthly P&amp;L and cash'!H5="","",'Haq — Monthly P&amp;L and cash'!H5&gt;=9))="",FALSE,IF(ISERROR('Haq — Monthly P&amp;L and cash'!H5&gt;=9),'Haq — Monthly P&amp;L and cash'!H5&gt;=9,IF('Haq — Monthly P&amp;L and cash'!H5="","",'Haq — Monthly P&amp;L and cash'!H5&gt;=9))),IF('Model inputs'!AJ53="","",'Model inputs'!AJ53),IF(IF(IF(ISERROR('Haq — Monthly P&amp;L and cash'!H5&gt;=6),'Haq — Monthly P&amp;L and cash'!H5&gt;=6,IF('Haq — Monthly P&amp;L and cash'!H5="","",'Haq — Monthly P&amp;L and cash'!H5&gt;=6))="",FALSE,IF(ISERROR('Haq — Monthly P&amp;L and cash'!H5&gt;=6),'Haq — Monthly P&amp;L and cash'!H5&gt;=6,IF('Haq — Monthly P&amp;L and cash'!H5="","",'Haq — Monthly P&amp;L and cash'!H5&gt;=6))),IF('Model inputs'!AJ52="","",'Model inputs'!AJ52),0))))))))</f>
        <v>1</v>
      </c>
      <c r="I11" s="10">
        <f>IF(IF(IF(ISERROR('Haq — Monthly P&amp;L and cash'!I5&gt;=24),'Haq — Monthly P&amp;L and cash'!I5&gt;=24,IF('Haq — Monthly P&amp;L and cash'!I5="","",'Haq — Monthly P&amp;L and cash'!I5&gt;=24))="",FALSE,IF(ISERROR('Haq — Monthly P&amp;L and cash'!I5&gt;=24),'Haq — Monthly P&amp;L and cash'!I5&gt;=24,IF('Haq — Monthly P&amp;L and cash'!I5="","",'Haq — Monthly P&amp;L and cash'!I5&gt;=24))),IF('Model inputs'!AJ51="","",'Model inputs'!AJ51),IF(IF(IF(ISERROR('Haq — Monthly P&amp;L and cash'!I5&gt;=23),'Haq — Monthly P&amp;L and cash'!I5&gt;=23,IF('Haq — Monthly P&amp;L and cash'!I5="","",'Haq — Monthly P&amp;L and cash'!I5&gt;=23))="",FALSE,IF(ISERROR('Haq — Monthly P&amp;L and cash'!I5&gt;=23),'Haq — Monthly P&amp;L and cash'!I5&gt;=23,IF('Haq — Monthly P&amp;L and cash'!I5="","",'Haq — Monthly P&amp;L and cash'!I5&gt;=23))),IF('Model inputs'!AJ50="","",'Model inputs'!AJ50),IF(IF(IF(ISERROR('Haq — Monthly P&amp;L and cash'!I5&gt;=21),'Haq — Monthly P&amp;L and cash'!I5&gt;=21,IF('Haq — Monthly P&amp;L and cash'!I5="","",'Haq — Monthly P&amp;L and cash'!I5&gt;=21))="",FALSE,IF(ISERROR('Haq — Monthly P&amp;L and cash'!I5&gt;=21),'Haq — Monthly P&amp;L and cash'!I5&gt;=21,IF('Haq — Monthly P&amp;L and cash'!I5="","",'Haq — Monthly P&amp;L and cash'!I5&gt;=21))),IF('Model inputs'!AJ49="","",'Model inputs'!AJ49),IF(IF(IF(ISERROR('Haq — Monthly P&amp;L and cash'!I5&gt;=18),'Haq — Monthly P&amp;L and cash'!I5&gt;=18,IF('Haq — Monthly P&amp;L and cash'!I5="","",'Haq — Monthly P&amp;L and cash'!I5&gt;=18))="",FALSE,IF(ISERROR('Haq — Monthly P&amp;L and cash'!I5&gt;=18),'Haq — Monthly P&amp;L and cash'!I5&gt;=18,IF('Haq — Monthly P&amp;L and cash'!I5="","",'Haq — Monthly P&amp;L and cash'!I5&gt;=18))),IF('Model inputs'!AJ48="","",'Model inputs'!AJ48),IF(IF(IF(ISERROR('Haq — Monthly P&amp;L and cash'!I5&gt;=15),'Haq — Monthly P&amp;L and cash'!I5&gt;=15,IF('Haq — Monthly P&amp;L and cash'!I5="","",'Haq — Monthly P&amp;L and cash'!I5&gt;=15))="",FALSE,IF(ISERROR('Haq — Monthly P&amp;L and cash'!I5&gt;=15),'Haq — Monthly P&amp;L and cash'!I5&gt;=15,IF('Haq — Monthly P&amp;L and cash'!I5="","",'Haq — Monthly P&amp;L and cash'!I5&gt;=15))),IF('Model inputs'!AJ47="","",'Model inputs'!AJ47),IF(IF(IF(ISERROR('Haq — Monthly P&amp;L and cash'!I5&gt;=12),'Haq — Monthly P&amp;L and cash'!I5&gt;=12,IF('Haq — Monthly P&amp;L and cash'!I5="","",'Haq — Monthly P&amp;L and cash'!I5&gt;=12))="",FALSE,IF(ISERROR('Haq — Monthly P&amp;L and cash'!I5&gt;=12),'Haq — Monthly P&amp;L and cash'!I5&gt;=12,IF('Haq — Monthly P&amp;L and cash'!I5="","",'Haq — Monthly P&amp;L and cash'!I5&gt;=12))),IF('Model inputs'!AJ46="","",'Model inputs'!AJ46),IF(IF(IF(ISERROR('Haq — Monthly P&amp;L and cash'!I5&gt;=9),'Haq — Monthly P&amp;L and cash'!I5&gt;=9,IF('Haq — Monthly P&amp;L and cash'!I5="","",'Haq — Monthly P&amp;L and cash'!I5&gt;=9))="",FALSE,IF(ISERROR('Haq — Monthly P&amp;L and cash'!I5&gt;=9),'Haq — Monthly P&amp;L and cash'!I5&gt;=9,IF('Haq — Monthly P&amp;L and cash'!I5="","",'Haq — Monthly P&amp;L and cash'!I5&gt;=9))),IF('Model inputs'!AJ53="","",'Model inputs'!AJ53),IF(IF(IF(ISERROR('Haq — Monthly P&amp;L and cash'!I5&gt;=6),'Haq — Monthly P&amp;L and cash'!I5&gt;=6,IF('Haq — Monthly P&amp;L and cash'!I5="","",'Haq — Monthly P&amp;L and cash'!I5&gt;=6))="",FALSE,IF(ISERROR('Haq — Monthly P&amp;L and cash'!I5&gt;=6),'Haq — Monthly P&amp;L and cash'!I5&gt;=6,IF('Haq — Monthly P&amp;L and cash'!I5="","",'Haq — Monthly P&amp;L and cash'!I5&gt;=6))),IF('Model inputs'!AJ52="","",'Model inputs'!AJ52),0))))))))</f>
        <v>1</v>
      </c>
      <c r="J11" s="10">
        <f>IF(IF(IF(ISERROR('Haq — Monthly P&amp;L and cash'!J5&gt;=24),'Haq — Monthly P&amp;L and cash'!J5&gt;=24,IF('Haq — Monthly P&amp;L and cash'!J5="","",'Haq — Monthly P&amp;L and cash'!J5&gt;=24))="",FALSE,IF(ISERROR('Haq — Monthly P&amp;L and cash'!J5&gt;=24),'Haq — Monthly P&amp;L and cash'!J5&gt;=24,IF('Haq — Monthly P&amp;L and cash'!J5="","",'Haq — Monthly P&amp;L and cash'!J5&gt;=24))),IF('Model inputs'!AJ51="","",'Model inputs'!AJ51),IF(IF(IF(ISERROR('Haq — Monthly P&amp;L and cash'!J5&gt;=23),'Haq — Monthly P&amp;L and cash'!J5&gt;=23,IF('Haq — Monthly P&amp;L and cash'!J5="","",'Haq — Monthly P&amp;L and cash'!J5&gt;=23))="",FALSE,IF(ISERROR('Haq — Monthly P&amp;L and cash'!J5&gt;=23),'Haq — Monthly P&amp;L and cash'!J5&gt;=23,IF('Haq — Monthly P&amp;L and cash'!J5="","",'Haq — Monthly P&amp;L and cash'!J5&gt;=23))),IF('Model inputs'!AJ50="","",'Model inputs'!AJ50),IF(IF(IF(ISERROR('Haq — Monthly P&amp;L and cash'!J5&gt;=21),'Haq — Monthly P&amp;L and cash'!J5&gt;=21,IF('Haq — Monthly P&amp;L and cash'!J5="","",'Haq — Monthly P&amp;L and cash'!J5&gt;=21))="",FALSE,IF(ISERROR('Haq — Monthly P&amp;L and cash'!J5&gt;=21),'Haq — Monthly P&amp;L and cash'!J5&gt;=21,IF('Haq — Monthly P&amp;L and cash'!J5="","",'Haq — Monthly P&amp;L and cash'!J5&gt;=21))),IF('Model inputs'!AJ49="","",'Model inputs'!AJ49),IF(IF(IF(ISERROR('Haq — Monthly P&amp;L and cash'!J5&gt;=18),'Haq — Monthly P&amp;L and cash'!J5&gt;=18,IF('Haq — Monthly P&amp;L and cash'!J5="","",'Haq — Monthly P&amp;L and cash'!J5&gt;=18))="",FALSE,IF(ISERROR('Haq — Monthly P&amp;L and cash'!J5&gt;=18),'Haq — Monthly P&amp;L and cash'!J5&gt;=18,IF('Haq — Monthly P&amp;L and cash'!J5="","",'Haq — Monthly P&amp;L and cash'!J5&gt;=18))),IF('Model inputs'!AJ48="","",'Model inputs'!AJ48),IF(IF(IF(ISERROR('Haq — Monthly P&amp;L and cash'!J5&gt;=15),'Haq — Monthly P&amp;L and cash'!J5&gt;=15,IF('Haq — Monthly P&amp;L and cash'!J5="","",'Haq — Monthly P&amp;L and cash'!J5&gt;=15))="",FALSE,IF(ISERROR('Haq — Monthly P&amp;L and cash'!J5&gt;=15),'Haq — Monthly P&amp;L and cash'!J5&gt;=15,IF('Haq — Monthly P&amp;L and cash'!J5="","",'Haq — Monthly P&amp;L and cash'!J5&gt;=15))),IF('Model inputs'!AJ47="","",'Model inputs'!AJ47),IF(IF(IF(ISERROR('Haq — Monthly P&amp;L and cash'!J5&gt;=12),'Haq — Monthly P&amp;L and cash'!J5&gt;=12,IF('Haq — Monthly P&amp;L and cash'!J5="","",'Haq — Monthly P&amp;L and cash'!J5&gt;=12))="",FALSE,IF(ISERROR('Haq — Monthly P&amp;L and cash'!J5&gt;=12),'Haq — Monthly P&amp;L and cash'!J5&gt;=12,IF('Haq — Monthly P&amp;L and cash'!J5="","",'Haq — Monthly P&amp;L and cash'!J5&gt;=12))),IF('Model inputs'!AJ46="","",'Model inputs'!AJ46),IF(IF(IF(ISERROR('Haq — Monthly P&amp;L and cash'!J5&gt;=9),'Haq — Monthly P&amp;L and cash'!J5&gt;=9,IF('Haq — Monthly P&amp;L and cash'!J5="","",'Haq — Monthly P&amp;L and cash'!J5&gt;=9))="",FALSE,IF(ISERROR('Haq — Monthly P&amp;L and cash'!J5&gt;=9),'Haq — Monthly P&amp;L and cash'!J5&gt;=9,IF('Haq — Monthly P&amp;L and cash'!J5="","",'Haq — Monthly P&amp;L and cash'!J5&gt;=9))),IF('Model inputs'!AJ53="","",'Model inputs'!AJ53),IF(IF(IF(ISERROR('Haq — Monthly P&amp;L and cash'!J5&gt;=6),'Haq — Monthly P&amp;L and cash'!J5&gt;=6,IF('Haq — Monthly P&amp;L and cash'!J5="","",'Haq — Monthly P&amp;L and cash'!J5&gt;=6))="",FALSE,IF(ISERROR('Haq — Monthly P&amp;L and cash'!J5&gt;=6),'Haq — Monthly P&amp;L and cash'!J5&gt;=6,IF('Haq — Monthly P&amp;L and cash'!J5="","",'Haq — Monthly P&amp;L and cash'!J5&gt;=6))),IF('Model inputs'!AJ52="","",'Model inputs'!AJ52),0))))))))</f>
        <v>2</v>
      </c>
      <c r="K11" s="10">
        <f>IF(IF(IF(ISERROR('Haq — Monthly P&amp;L and cash'!K5&gt;=24),'Haq — Monthly P&amp;L and cash'!K5&gt;=24,IF('Haq — Monthly P&amp;L and cash'!K5="","",'Haq — Monthly P&amp;L and cash'!K5&gt;=24))="",FALSE,IF(ISERROR('Haq — Monthly P&amp;L and cash'!K5&gt;=24),'Haq — Monthly P&amp;L and cash'!K5&gt;=24,IF('Haq — Monthly P&amp;L and cash'!K5="","",'Haq — Monthly P&amp;L and cash'!K5&gt;=24))),IF('Model inputs'!AJ51="","",'Model inputs'!AJ51),IF(IF(IF(ISERROR('Haq — Monthly P&amp;L and cash'!K5&gt;=23),'Haq — Monthly P&amp;L and cash'!K5&gt;=23,IF('Haq — Monthly P&amp;L and cash'!K5="","",'Haq — Monthly P&amp;L and cash'!K5&gt;=23))="",FALSE,IF(ISERROR('Haq — Monthly P&amp;L and cash'!K5&gt;=23),'Haq — Monthly P&amp;L and cash'!K5&gt;=23,IF('Haq — Monthly P&amp;L and cash'!K5="","",'Haq — Monthly P&amp;L and cash'!K5&gt;=23))),IF('Model inputs'!AJ50="","",'Model inputs'!AJ50),IF(IF(IF(ISERROR('Haq — Monthly P&amp;L and cash'!K5&gt;=21),'Haq — Monthly P&amp;L and cash'!K5&gt;=21,IF('Haq — Monthly P&amp;L and cash'!K5="","",'Haq — Monthly P&amp;L and cash'!K5&gt;=21))="",FALSE,IF(ISERROR('Haq — Monthly P&amp;L and cash'!K5&gt;=21),'Haq — Monthly P&amp;L and cash'!K5&gt;=21,IF('Haq — Monthly P&amp;L and cash'!K5="","",'Haq — Monthly P&amp;L and cash'!K5&gt;=21))),IF('Model inputs'!AJ49="","",'Model inputs'!AJ49),IF(IF(IF(ISERROR('Haq — Monthly P&amp;L and cash'!K5&gt;=18),'Haq — Monthly P&amp;L and cash'!K5&gt;=18,IF('Haq — Monthly P&amp;L and cash'!K5="","",'Haq — Monthly P&amp;L and cash'!K5&gt;=18))="",FALSE,IF(ISERROR('Haq — Monthly P&amp;L and cash'!K5&gt;=18),'Haq — Monthly P&amp;L and cash'!K5&gt;=18,IF('Haq — Monthly P&amp;L and cash'!K5="","",'Haq — Monthly P&amp;L and cash'!K5&gt;=18))),IF('Model inputs'!AJ48="","",'Model inputs'!AJ48),IF(IF(IF(ISERROR('Haq — Monthly P&amp;L and cash'!K5&gt;=15),'Haq — Monthly P&amp;L and cash'!K5&gt;=15,IF('Haq — Monthly P&amp;L and cash'!K5="","",'Haq — Monthly P&amp;L and cash'!K5&gt;=15))="",FALSE,IF(ISERROR('Haq — Monthly P&amp;L and cash'!K5&gt;=15),'Haq — Monthly P&amp;L and cash'!K5&gt;=15,IF('Haq — Monthly P&amp;L and cash'!K5="","",'Haq — Monthly P&amp;L and cash'!K5&gt;=15))),IF('Model inputs'!AJ47="","",'Model inputs'!AJ47),IF(IF(IF(ISERROR('Haq — Monthly P&amp;L and cash'!K5&gt;=12),'Haq — Monthly P&amp;L and cash'!K5&gt;=12,IF('Haq — Monthly P&amp;L and cash'!K5="","",'Haq — Monthly P&amp;L and cash'!K5&gt;=12))="",FALSE,IF(ISERROR('Haq — Monthly P&amp;L and cash'!K5&gt;=12),'Haq — Monthly P&amp;L and cash'!K5&gt;=12,IF('Haq — Monthly P&amp;L and cash'!K5="","",'Haq — Monthly P&amp;L and cash'!K5&gt;=12))),IF('Model inputs'!AJ46="","",'Model inputs'!AJ46),IF(IF(IF(ISERROR('Haq — Monthly P&amp;L and cash'!K5&gt;=9),'Haq — Monthly P&amp;L and cash'!K5&gt;=9,IF('Haq — Monthly P&amp;L and cash'!K5="","",'Haq — Monthly P&amp;L and cash'!K5&gt;=9))="",FALSE,IF(ISERROR('Haq — Monthly P&amp;L and cash'!K5&gt;=9),'Haq — Monthly P&amp;L and cash'!K5&gt;=9,IF('Haq — Monthly P&amp;L and cash'!K5="","",'Haq — Monthly P&amp;L and cash'!K5&gt;=9))),IF('Model inputs'!AJ53="","",'Model inputs'!AJ53),IF(IF(IF(ISERROR('Haq — Monthly P&amp;L and cash'!K5&gt;=6),'Haq — Monthly P&amp;L and cash'!K5&gt;=6,IF('Haq — Monthly P&amp;L and cash'!K5="","",'Haq — Monthly P&amp;L and cash'!K5&gt;=6))="",FALSE,IF(ISERROR('Haq — Monthly P&amp;L and cash'!K5&gt;=6),'Haq — Monthly P&amp;L and cash'!K5&gt;=6,IF('Haq — Monthly P&amp;L and cash'!K5="","",'Haq — Monthly P&amp;L and cash'!K5&gt;=6))),IF('Model inputs'!AJ52="","",'Model inputs'!AJ52),0))))))))</f>
        <v>2</v>
      </c>
      <c r="L11" s="10">
        <f>IF(IF(IF(ISERROR('Haq — Monthly P&amp;L and cash'!L5&gt;=24),'Haq — Monthly P&amp;L and cash'!L5&gt;=24,IF('Haq — Monthly P&amp;L and cash'!L5="","",'Haq — Monthly P&amp;L and cash'!L5&gt;=24))="",FALSE,IF(ISERROR('Haq — Monthly P&amp;L and cash'!L5&gt;=24),'Haq — Monthly P&amp;L and cash'!L5&gt;=24,IF('Haq — Monthly P&amp;L and cash'!L5="","",'Haq — Monthly P&amp;L and cash'!L5&gt;=24))),IF('Model inputs'!AJ51="","",'Model inputs'!AJ51),IF(IF(IF(ISERROR('Haq — Monthly P&amp;L and cash'!L5&gt;=23),'Haq — Monthly P&amp;L and cash'!L5&gt;=23,IF('Haq — Monthly P&amp;L and cash'!L5="","",'Haq — Monthly P&amp;L and cash'!L5&gt;=23))="",FALSE,IF(ISERROR('Haq — Monthly P&amp;L and cash'!L5&gt;=23),'Haq — Monthly P&amp;L and cash'!L5&gt;=23,IF('Haq — Monthly P&amp;L and cash'!L5="","",'Haq — Monthly P&amp;L and cash'!L5&gt;=23))),IF('Model inputs'!AJ50="","",'Model inputs'!AJ50),IF(IF(IF(ISERROR('Haq — Monthly P&amp;L and cash'!L5&gt;=21),'Haq — Monthly P&amp;L and cash'!L5&gt;=21,IF('Haq — Monthly P&amp;L and cash'!L5="","",'Haq — Monthly P&amp;L and cash'!L5&gt;=21))="",FALSE,IF(ISERROR('Haq — Monthly P&amp;L and cash'!L5&gt;=21),'Haq — Monthly P&amp;L and cash'!L5&gt;=21,IF('Haq — Monthly P&amp;L and cash'!L5="","",'Haq — Monthly P&amp;L and cash'!L5&gt;=21))),IF('Model inputs'!AJ49="","",'Model inputs'!AJ49),IF(IF(IF(ISERROR('Haq — Monthly P&amp;L and cash'!L5&gt;=18),'Haq — Monthly P&amp;L and cash'!L5&gt;=18,IF('Haq — Monthly P&amp;L and cash'!L5="","",'Haq — Monthly P&amp;L and cash'!L5&gt;=18))="",FALSE,IF(ISERROR('Haq — Monthly P&amp;L and cash'!L5&gt;=18),'Haq — Monthly P&amp;L and cash'!L5&gt;=18,IF('Haq — Monthly P&amp;L and cash'!L5="","",'Haq — Monthly P&amp;L and cash'!L5&gt;=18))),IF('Model inputs'!AJ48="","",'Model inputs'!AJ48),IF(IF(IF(ISERROR('Haq — Monthly P&amp;L and cash'!L5&gt;=15),'Haq — Monthly P&amp;L and cash'!L5&gt;=15,IF('Haq — Monthly P&amp;L and cash'!L5="","",'Haq — Monthly P&amp;L and cash'!L5&gt;=15))="",FALSE,IF(ISERROR('Haq — Monthly P&amp;L and cash'!L5&gt;=15),'Haq — Monthly P&amp;L and cash'!L5&gt;=15,IF('Haq — Monthly P&amp;L and cash'!L5="","",'Haq — Monthly P&amp;L and cash'!L5&gt;=15))),IF('Model inputs'!AJ47="","",'Model inputs'!AJ47),IF(IF(IF(ISERROR('Haq — Monthly P&amp;L and cash'!L5&gt;=12),'Haq — Monthly P&amp;L and cash'!L5&gt;=12,IF('Haq — Monthly P&amp;L and cash'!L5="","",'Haq — Monthly P&amp;L and cash'!L5&gt;=12))="",FALSE,IF(ISERROR('Haq — Monthly P&amp;L and cash'!L5&gt;=12),'Haq — Monthly P&amp;L and cash'!L5&gt;=12,IF('Haq — Monthly P&amp;L and cash'!L5="","",'Haq — Monthly P&amp;L and cash'!L5&gt;=12))),IF('Model inputs'!AJ46="","",'Model inputs'!AJ46),IF(IF(IF(ISERROR('Haq — Monthly P&amp;L and cash'!L5&gt;=9),'Haq — Monthly P&amp;L and cash'!L5&gt;=9,IF('Haq — Monthly P&amp;L and cash'!L5="","",'Haq — Monthly P&amp;L and cash'!L5&gt;=9))="",FALSE,IF(ISERROR('Haq — Monthly P&amp;L and cash'!L5&gt;=9),'Haq — Monthly P&amp;L and cash'!L5&gt;=9,IF('Haq — Monthly P&amp;L and cash'!L5="","",'Haq — Monthly P&amp;L and cash'!L5&gt;=9))),IF('Model inputs'!AJ53="","",'Model inputs'!AJ53),IF(IF(IF(ISERROR('Haq — Monthly P&amp;L and cash'!L5&gt;=6),'Haq — Monthly P&amp;L and cash'!L5&gt;=6,IF('Haq — Monthly P&amp;L and cash'!L5="","",'Haq — Monthly P&amp;L and cash'!L5&gt;=6))="",FALSE,IF(ISERROR('Haq — Monthly P&amp;L and cash'!L5&gt;=6),'Haq — Monthly P&amp;L and cash'!L5&gt;=6,IF('Haq — Monthly P&amp;L and cash'!L5="","",'Haq — Monthly P&amp;L and cash'!L5&gt;=6))),IF('Model inputs'!AJ52="","",'Model inputs'!AJ52),0))))))))</f>
        <v>2</v>
      </c>
      <c r="M11" s="10">
        <f>IF(IF(IF(ISERROR('Haq — Monthly P&amp;L and cash'!M5&gt;=24),'Haq — Monthly P&amp;L and cash'!M5&gt;=24,IF('Haq — Monthly P&amp;L and cash'!M5="","",'Haq — Monthly P&amp;L and cash'!M5&gt;=24))="",FALSE,IF(ISERROR('Haq — Monthly P&amp;L and cash'!M5&gt;=24),'Haq — Monthly P&amp;L and cash'!M5&gt;=24,IF('Haq — Monthly P&amp;L and cash'!M5="","",'Haq — Monthly P&amp;L and cash'!M5&gt;=24))),IF('Model inputs'!AJ51="","",'Model inputs'!AJ51),IF(IF(IF(ISERROR('Haq — Monthly P&amp;L and cash'!M5&gt;=23),'Haq — Monthly P&amp;L and cash'!M5&gt;=23,IF('Haq — Monthly P&amp;L and cash'!M5="","",'Haq — Monthly P&amp;L and cash'!M5&gt;=23))="",FALSE,IF(ISERROR('Haq — Monthly P&amp;L and cash'!M5&gt;=23),'Haq — Monthly P&amp;L and cash'!M5&gt;=23,IF('Haq — Monthly P&amp;L and cash'!M5="","",'Haq — Monthly P&amp;L and cash'!M5&gt;=23))),IF('Model inputs'!AJ50="","",'Model inputs'!AJ50),IF(IF(IF(ISERROR('Haq — Monthly P&amp;L and cash'!M5&gt;=21),'Haq — Monthly P&amp;L and cash'!M5&gt;=21,IF('Haq — Monthly P&amp;L and cash'!M5="","",'Haq — Monthly P&amp;L and cash'!M5&gt;=21))="",FALSE,IF(ISERROR('Haq — Monthly P&amp;L and cash'!M5&gt;=21),'Haq — Monthly P&amp;L and cash'!M5&gt;=21,IF('Haq — Monthly P&amp;L and cash'!M5="","",'Haq — Monthly P&amp;L and cash'!M5&gt;=21))),IF('Model inputs'!AJ49="","",'Model inputs'!AJ49),IF(IF(IF(ISERROR('Haq — Monthly P&amp;L and cash'!M5&gt;=18),'Haq — Monthly P&amp;L and cash'!M5&gt;=18,IF('Haq — Monthly P&amp;L and cash'!M5="","",'Haq — Monthly P&amp;L and cash'!M5&gt;=18))="",FALSE,IF(ISERROR('Haq — Monthly P&amp;L and cash'!M5&gt;=18),'Haq — Monthly P&amp;L and cash'!M5&gt;=18,IF('Haq — Monthly P&amp;L and cash'!M5="","",'Haq — Monthly P&amp;L and cash'!M5&gt;=18))),IF('Model inputs'!AJ48="","",'Model inputs'!AJ48),IF(IF(IF(ISERROR('Haq — Monthly P&amp;L and cash'!M5&gt;=15),'Haq — Monthly P&amp;L and cash'!M5&gt;=15,IF('Haq — Monthly P&amp;L and cash'!M5="","",'Haq — Monthly P&amp;L and cash'!M5&gt;=15))="",FALSE,IF(ISERROR('Haq — Monthly P&amp;L and cash'!M5&gt;=15),'Haq — Monthly P&amp;L and cash'!M5&gt;=15,IF('Haq — Monthly P&amp;L and cash'!M5="","",'Haq — Monthly P&amp;L and cash'!M5&gt;=15))),IF('Model inputs'!AJ47="","",'Model inputs'!AJ47),IF(IF(IF(ISERROR('Haq — Monthly P&amp;L and cash'!M5&gt;=12),'Haq — Monthly P&amp;L and cash'!M5&gt;=12,IF('Haq — Monthly P&amp;L and cash'!M5="","",'Haq — Monthly P&amp;L and cash'!M5&gt;=12))="",FALSE,IF(ISERROR('Haq — Monthly P&amp;L and cash'!M5&gt;=12),'Haq — Monthly P&amp;L and cash'!M5&gt;=12,IF('Haq — Monthly P&amp;L and cash'!M5="","",'Haq — Monthly P&amp;L and cash'!M5&gt;=12))),IF('Model inputs'!AJ46="","",'Model inputs'!AJ46),IF(IF(IF(ISERROR('Haq — Monthly P&amp;L and cash'!M5&gt;=9),'Haq — Monthly P&amp;L and cash'!M5&gt;=9,IF('Haq — Monthly P&amp;L and cash'!M5="","",'Haq — Monthly P&amp;L and cash'!M5&gt;=9))="",FALSE,IF(ISERROR('Haq — Monthly P&amp;L and cash'!M5&gt;=9),'Haq — Monthly P&amp;L and cash'!M5&gt;=9,IF('Haq — Monthly P&amp;L and cash'!M5="","",'Haq — Monthly P&amp;L and cash'!M5&gt;=9))),IF('Model inputs'!AJ53="","",'Model inputs'!AJ53),IF(IF(IF(ISERROR('Haq — Monthly P&amp;L and cash'!M5&gt;=6),'Haq — Monthly P&amp;L and cash'!M5&gt;=6,IF('Haq — Monthly P&amp;L and cash'!M5="","",'Haq — Monthly P&amp;L and cash'!M5&gt;=6))="",FALSE,IF(ISERROR('Haq — Monthly P&amp;L and cash'!M5&gt;=6),'Haq — Monthly P&amp;L and cash'!M5&gt;=6,IF('Haq — Monthly P&amp;L and cash'!M5="","",'Haq — Monthly P&amp;L and cash'!M5&gt;=6))),IF('Model inputs'!AJ52="","",'Model inputs'!AJ52),0))))))))</f>
        <v>3</v>
      </c>
      <c r="N11" s="10">
        <f>IF(IF(IF(ISERROR('Haq — Monthly P&amp;L and cash'!N5&gt;=24),'Haq — Monthly P&amp;L and cash'!N5&gt;=24,IF('Haq — Monthly P&amp;L and cash'!N5="","",'Haq — Monthly P&amp;L and cash'!N5&gt;=24))="",FALSE,IF(ISERROR('Haq — Monthly P&amp;L and cash'!N5&gt;=24),'Haq — Monthly P&amp;L and cash'!N5&gt;=24,IF('Haq — Monthly P&amp;L and cash'!N5="","",'Haq — Monthly P&amp;L and cash'!N5&gt;=24))),IF('Model inputs'!AJ51="","",'Model inputs'!AJ51),IF(IF(IF(ISERROR('Haq — Monthly P&amp;L and cash'!N5&gt;=23),'Haq — Monthly P&amp;L and cash'!N5&gt;=23,IF('Haq — Monthly P&amp;L and cash'!N5="","",'Haq — Monthly P&amp;L and cash'!N5&gt;=23))="",FALSE,IF(ISERROR('Haq — Monthly P&amp;L and cash'!N5&gt;=23),'Haq — Monthly P&amp;L and cash'!N5&gt;=23,IF('Haq — Monthly P&amp;L and cash'!N5="","",'Haq — Monthly P&amp;L and cash'!N5&gt;=23))),IF('Model inputs'!AJ50="","",'Model inputs'!AJ50),IF(IF(IF(ISERROR('Haq — Monthly P&amp;L and cash'!N5&gt;=21),'Haq — Monthly P&amp;L and cash'!N5&gt;=21,IF('Haq — Monthly P&amp;L and cash'!N5="","",'Haq — Monthly P&amp;L and cash'!N5&gt;=21))="",FALSE,IF(ISERROR('Haq — Monthly P&amp;L and cash'!N5&gt;=21),'Haq — Monthly P&amp;L and cash'!N5&gt;=21,IF('Haq — Monthly P&amp;L and cash'!N5="","",'Haq — Monthly P&amp;L and cash'!N5&gt;=21))),IF('Model inputs'!AJ49="","",'Model inputs'!AJ49),IF(IF(IF(ISERROR('Haq — Monthly P&amp;L and cash'!N5&gt;=18),'Haq — Monthly P&amp;L and cash'!N5&gt;=18,IF('Haq — Monthly P&amp;L and cash'!N5="","",'Haq — Monthly P&amp;L and cash'!N5&gt;=18))="",FALSE,IF(ISERROR('Haq — Monthly P&amp;L and cash'!N5&gt;=18),'Haq — Monthly P&amp;L and cash'!N5&gt;=18,IF('Haq — Monthly P&amp;L and cash'!N5="","",'Haq — Monthly P&amp;L and cash'!N5&gt;=18))),IF('Model inputs'!AJ48="","",'Model inputs'!AJ48),IF(IF(IF(ISERROR('Haq — Monthly P&amp;L and cash'!N5&gt;=15),'Haq — Monthly P&amp;L and cash'!N5&gt;=15,IF('Haq — Monthly P&amp;L and cash'!N5="","",'Haq — Monthly P&amp;L and cash'!N5&gt;=15))="",FALSE,IF(ISERROR('Haq — Monthly P&amp;L and cash'!N5&gt;=15),'Haq — Monthly P&amp;L and cash'!N5&gt;=15,IF('Haq — Monthly P&amp;L and cash'!N5="","",'Haq — Monthly P&amp;L and cash'!N5&gt;=15))),IF('Model inputs'!AJ47="","",'Model inputs'!AJ47),IF(IF(IF(ISERROR('Haq — Monthly P&amp;L and cash'!N5&gt;=12),'Haq — Monthly P&amp;L and cash'!N5&gt;=12,IF('Haq — Monthly P&amp;L and cash'!N5="","",'Haq — Monthly P&amp;L and cash'!N5&gt;=12))="",FALSE,IF(ISERROR('Haq — Monthly P&amp;L and cash'!N5&gt;=12),'Haq — Monthly P&amp;L and cash'!N5&gt;=12,IF('Haq — Monthly P&amp;L and cash'!N5="","",'Haq — Monthly P&amp;L and cash'!N5&gt;=12))),IF('Model inputs'!AJ46="","",'Model inputs'!AJ46),IF(IF(IF(ISERROR('Haq — Monthly P&amp;L and cash'!N5&gt;=9),'Haq — Monthly P&amp;L and cash'!N5&gt;=9,IF('Haq — Monthly P&amp;L and cash'!N5="","",'Haq — Monthly P&amp;L and cash'!N5&gt;=9))="",FALSE,IF(ISERROR('Haq — Monthly P&amp;L and cash'!N5&gt;=9),'Haq — Monthly P&amp;L and cash'!N5&gt;=9,IF('Haq — Monthly P&amp;L and cash'!N5="","",'Haq — Monthly P&amp;L and cash'!N5&gt;=9))),IF('Model inputs'!AJ53="","",'Model inputs'!AJ53),IF(IF(IF(ISERROR('Haq — Monthly P&amp;L and cash'!N5&gt;=6),'Haq — Monthly P&amp;L and cash'!N5&gt;=6,IF('Haq — Monthly P&amp;L and cash'!N5="","",'Haq — Monthly P&amp;L and cash'!N5&gt;=6))="",FALSE,IF(ISERROR('Haq — Monthly P&amp;L and cash'!N5&gt;=6),'Haq — Monthly P&amp;L and cash'!N5&gt;=6,IF('Haq — Monthly P&amp;L and cash'!N5="","",'Haq — Monthly P&amp;L and cash'!N5&gt;=6))),IF('Model inputs'!AJ52="","",'Model inputs'!AJ52),0))))))))</f>
        <v>3</v>
      </c>
      <c r="O11" s="10">
        <f>IF(IF(IF(ISERROR('Haq — Monthly P&amp;L and cash'!O5&gt;=24),'Haq — Monthly P&amp;L and cash'!O5&gt;=24,IF('Haq — Monthly P&amp;L and cash'!O5="","",'Haq — Monthly P&amp;L and cash'!O5&gt;=24))="",FALSE,IF(ISERROR('Haq — Monthly P&amp;L and cash'!O5&gt;=24),'Haq — Monthly P&amp;L and cash'!O5&gt;=24,IF('Haq — Monthly P&amp;L and cash'!O5="","",'Haq — Monthly P&amp;L and cash'!O5&gt;=24))),IF('Model inputs'!AJ51="","",'Model inputs'!AJ51),IF(IF(IF(ISERROR('Haq — Monthly P&amp;L and cash'!O5&gt;=23),'Haq — Monthly P&amp;L and cash'!O5&gt;=23,IF('Haq — Monthly P&amp;L and cash'!O5="","",'Haq — Monthly P&amp;L and cash'!O5&gt;=23))="",FALSE,IF(ISERROR('Haq — Monthly P&amp;L and cash'!O5&gt;=23),'Haq — Monthly P&amp;L and cash'!O5&gt;=23,IF('Haq — Monthly P&amp;L and cash'!O5="","",'Haq — Monthly P&amp;L and cash'!O5&gt;=23))),IF('Model inputs'!AJ50="","",'Model inputs'!AJ50),IF(IF(IF(ISERROR('Haq — Monthly P&amp;L and cash'!O5&gt;=21),'Haq — Monthly P&amp;L and cash'!O5&gt;=21,IF('Haq — Monthly P&amp;L and cash'!O5="","",'Haq — Monthly P&amp;L and cash'!O5&gt;=21))="",FALSE,IF(ISERROR('Haq — Monthly P&amp;L and cash'!O5&gt;=21),'Haq — Monthly P&amp;L and cash'!O5&gt;=21,IF('Haq — Monthly P&amp;L and cash'!O5="","",'Haq — Monthly P&amp;L and cash'!O5&gt;=21))),IF('Model inputs'!AJ49="","",'Model inputs'!AJ49),IF(IF(IF(ISERROR('Haq — Monthly P&amp;L and cash'!O5&gt;=18),'Haq — Monthly P&amp;L and cash'!O5&gt;=18,IF('Haq — Monthly P&amp;L and cash'!O5="","",'Haq — Monthly P&amp;L and cash'!O5&gt;=18))="",FALSE,IF(ISERROR('Haq — Monthly P&amp;L and cash'!O5&gt;=18),'Haq — Monthly P&amp;L and cash'!O5&gt;=18,IF('Haq — Monthly P&amp;L and cash'!O5="","",'Haq — Monthly P&amp;L and cash'!O5&gt;=18))),IF('Model inputs'!AJ48="","",'Model inputs'!AJ48),IF(IF(IF(ISERROR('Haq — Monthly P&amp;L and cash'!O5&gt;=15),'Haq — Monthly P&amp;L and cash'!O5&gt;=15,IF('Haq — Monthly P&amp;L and cash'!O5="","",'Haq — Monthly P&amp;L and cash'!O5&gt;=15))="",FALSE,IF(ISERROR('Haq — Monthly P&amp;L and cash'!O5&gt;=15),'Haq — Monthly P&amp;L and cash'!O5&gt;=15,IF('Haq — Monthly P&amp;L and cash'!O5="","",'Haq — Monthly P&amp;L and cash'!O5&gt;=15))),IF('Model inputs'!AJ47="","",'Model inputs'!AJ47),IF(IF(IF(ISERROR('Haq — Monthly P&amp;L and cash'!O5&gt;=12),'Haq — Monthly P&amp;L and cash'!O5&gt;=12,IF('Haq — Monthly P&amp;L and cash'!O5="","",'Haq — Monthly P&amp;L and cash'!O5&gt;=12))="",FALSE,IF(ISERROR('Haq — Monthly P&amp;L and cash'!O5&gt;=12),'Haq — Monthly P&amp;L and cash'!O5&gt;=12,IF('Haq — Monthly P&amp;L and cash'!O5="","",'Haq — Monthly P&amp;L and cash'!O5&gt;=12))),IF('Model inputs'!AJ46="","",'Model inputs'!AJ46),IF(IF(IF(ISERROR('Haq — Monthly P&amp;L and cash'!O5&gt;=9),'Haq — Monthly P&amp;L and cash'!O5&gt;=9,IF('Haq — Monthly P&amp;L and cash'!O5="","",'Haq — Monthly P&amp;L and cash'!O5&gt;=9))="",FALSE,IF(ISERROR('Haq — Monthly P&amp;L and cash'!O5&gt;=9),'Haq — Monthly P&amp;L and cash'!O5&gt;=9,IF('Haq — Monthly P&amp;L and cash'!O5="","",'Haq — Monthly P&amp;L and cash'!O5&gt;=9))),IF('Model inputs'!AJ53="","",'Model inputs'!AJ53),IF(IF(IF(ISERROR('Haq — Monthly P&amp;L and cash'!O5&gt;=6),'Haq — Monthly P&amp;L and cash'!O5&gt;=6,IF('Haq — Monthly P&amp;L and cash'!O5="","",'Haq — Monthly P&amp;L and cash'!O5&gt;=6))="",FALSE,IF(ISERROR('Haq — Monthly P&amp;L and cash'!O5&gt;=6),'Haq — Monthly P&amp;L and cash'!O5&gt;=6,IF('Haq — Monthly P&amp;L and cash'!O5="","",'Haq — Monthly P&amp;L and cash'!O5&gt;=6))),IF('Model inputs'!AJ52="","",'Model inputs'!AJ52),0))))))))</f>
        <v>3</v>
      </c>
      <c r="P11" s="10">
        <f>IF(IF(IF(ISERROR('Haq — Monthly P&amp;L and cash'!P5&gt;=24),'Haq — Monthly P&amp;L and cash'!P5&gt;=24,IF('Haq — Monthly P&amp;L and cash'!P5="","",'Haq — Monthly P&amp;L and cash'!P5&gt;=24))="",FALSE,IF(ISERROR('Haq — Monthly P&amp;L and cash'!P5&gt;=24),'Haq — Monthly P&amp;L and cash'!P5&gt;=24,IF('Haq — Monthly P&amp;L and cash'!P5="","",'Haq — Monthly P&amp;L and cash'!P5&gt;=24))),IF('Model inputs'!AJ51="","",'Model inputs'!AJ51),IF(IF(IF(ISERROR('Haq — Monthly P&amp;L and cash'!P5&gt;=23),'Haq — Monthly P&amp;L and cash'!P5&gt;=23,IF('Haq — Monthly P&amp;L and cash'!P5="","",'Haq — Monthly P&amp;L and cash'!P5&gt;=23))="",FALSE,IF(ISERROR('Haq — Monthly P&amp;L and cash'!P5&gt;=23),'Haq — Monthly P&amp;L and cash'!P5&gt;=23,IF('Haq — Monthly P&amp;L and cash'!P5="","",'Haq — Monthly P&amp;L and cash'!P5&gt;=23))),IF('Model inputs'!AJ50="","",'Model inputs'!AJ50),IF(IF(IF(ISERROR('Haq — Monthly P&amp;L and cash'!P5&gt;=21),'Haq — Monthly P&amp;L and cash'!P5&gt;=21,IF('Haq — Monthly P&amp;L and cash'!P5="","",'Haq — Monthly P&amp;L and cash'!P5&gt;=21))="",FALSE,IF(ISERROR('Haq — Monthly P&amp;L and cash'!P5&gt;=21),'Haq — Monthly P&amp;L and cash'!P5&gt;=21,IF('Haq — Monthly P&amp;L and cash'!P5="","",'Haq — Monthly P&amp;L and cash'!P5&gt;=21))),IF('Model inputs'!AJ49="","",'Model inputs'!AJ49),IF(IF(IF(ISERROR('Haq — Monthly P&amp;L and cash'!P5&gt;=18),'Haq — Monthly P&amp;L and cash'!P5&gt;=18,IF('Haq — Monthly P&amp;L and cash'!P5="","",'Haq — Monthly P&amp;L and cash'!P5&gt;=18))="",FALSE,IF(ISERROR('Haq — Monthly P&amp;L and cash'!P5&gt;=18),'Haq — Monthly P&amp;L and cash'!P5&gt;=18,IF('Haq — Monthly P&amp;L and cash'!P5="","",'Haq — Monthly P&amp;L and cash'!P5&gt;=18))),IF('Model inputs'!AJ48="","",'Model inputs'!AJ48),IF(IF(IF(ISERROR('Haq — Monthly P&amp;L and cash'!P5&gt;=15),'Haq — Monthly P&amp;L and cash'!P5&gt;=15,IF('Haq — Monthly P&amp;L and cash'!P5="","",'Haq — Monthly P&amp;L and cash'!P5&gt;=15))="",FALSE,IF(ISERROR('Haq — Monthly P&amp;L and cash'!P5&gt;=15),'Haq — Monthly P&amp;L and cash'!P5&gt;=15,IF('Haq — Monthly P&amp;L and cash'!P5="","",'Haq — Monthly P&amp;L and cash'!P5&gt;=15))),IF('Model inputs'!AJ47="","",'Model inputs'!AJ47),IF(IF(IF(ISERROR('Haq — Monthly P&amp;L and cash'!P5&gt;=12),'Haq — Monthly P&amp;L and cash'!P5&gt;=12,IF('Haq — Monthly P&amp;L and cash'!P5="","",'Haq — Monthly P&amp;L and cash'!P5&gt;=12))="",FALSE,IF(ISERROR('Haq — Monthly P&amp;L and cash'!P5&gt;=12),'Haq — Monthly P&amp;L and cash'!P5&gt;=12,IF('Haq — Monthly P&amp;L and cash'!P5="","",'Haq — Monthly P&amp;L and cash'!P5&gt;=12))),IF('Model inputs'!AJ46="","",'Model inputs'!AJ46),IF(IF(IF(ISERROR('Haq — Monthly P&amp;L and cash'!P5&gt;=9),'Haq — Monthly P&amp;L and cash'!P5&gt;=9,IF('Haq — Monthly P&amp;L and cash'!P5="","",'Haq — Monthly P&amp;L and cash'!P5&gt;=9))="",FALSE,IF(ISERROR('Haq — Monthly P&amp;L and cash'!P5&gt;=9),'Haq — Monthly P&amp;L and cash'!P5&gt;=9,IF('Haq — Monthly P&amp;L and cash'!P5="","",'Haq — Monthly P&amp;L and cash'!P5&gt;=9))),IF('Model inputs'!AJ53="","",'Model inputs'!AJ53),IF(IF(IF(ISERROR('Haq — Monthly P&amp;L and cash'!P5&gt;=6),'Haq — Monthly P&amp;L and cash'!P5&gt;=6,IF('Haq — Monthly P&amp;L and cash'!P5="","",'Haq — Monthly P&amp;L and cash'!P5&gt;=6))="",FALSE,IF(ISERROR('Haq — Monthly P&amp;L and cash'!P5&gt;=6),'Haq — Monthly P&amp;L and cash'!P5&gt;=6,IF('Haq — Monthly P&amp;L and cash'!P5="","",'Haq — Monthly P&amp;L and cash'!P5&gt;=6))),IF('Model inputs'!AJ52="","",'Model inputs'!AJ52),0))))))))</f>
        <v>4</v>
      </c>
      <c r="Q11" s="10">
        <f>IF(IF(IF(ISERROR('Haq — Monthly P&amp;L and cash'!Q5&gt;=24),'Haq — Monthly P&amp;L and cash'!Q5&gt;=24,IF('Haq — Monthly P&amp;L and cash'!Q5="","",'Haq — Monthly P&amp;L and cash'!Q5&gt;=24))="",FALSE,IF(ISERROR('Haq — Monthly P&amp;L and cash'!Q5&gt;=24),'Haq — Monthly P&amp;L and cash'!Q5&gt;=24,IF('Haq — Monthly P&amp;L and cash'!Q5="","",'Haq — Monthly P&amp;L and cash'!Q5&gt;=24))),IF('Model inputs'!AJ51="","",'Model inputs'!AJ51),IF(IF(IF(ISERROR('Haq — Monthly P&amp;L and cash'!Q5&gt;=23),'Haq — Monthly P&amp;L and cash'!Q5&gt;=23,IF('Haq — Monthly P&amp;L and cash'!Q5="","",'Haq — Monthly P&amp;L and cash'!Q5&gt;=23))="",FALSE,IF(ISERROR('Haq — Monthly P&amp;L and cash'!Q5&gt;=23),'Haq — Monthly P&amp;L and cash'!Q5&gt;=23,IF('Haq — Monthly P&amp;L and cash'!Q5="","",'Haq — Monthly P&amp;L and cash'!Q5&gt;=23))),IF('Model inputs'!AJ50="","",'Model inputs'!AJ50),IF(IF(IF(ISERROR('Haq — Monthly P&amp;L and cash'!Q5&gt;=21),'Haq — Monthly P&amp;L and cash'!Q5&gt;=21,IF('Haq — Monthly P&amp;L and cash'!Q5="","",'Haq — Monthly P&amp;L and cash'!Q5&gt;=21))="",FALSE,IF(ISERROR('Haq — Monthly P&amp;L and cash'!Q5&gt;=21),'Haq — Monthly P&amp;L and cash'!Q5&gt;=21,IF('Haq — Monthly P&amp;L and cash'!Q5="","",'Haq — Monthly P&amp;L and cash'!Q5&gt;=21))),IF('Model inputs'!AJ49="","",'Model inputs'!AJ49),IF(IF(IF(ISERROR('Haq — Monthly P&amp;L and cash'!Q5&gt;=18),'Haq — Monthly P&amp;L and cash'!Q5&gt;=18,IF('Haq — Monthly P&amp;L and cash'!Q5="","",'Haq — Monthly P&amp;L and cash'!Q5&gt;=18))="",FALSE,IF(ISERROR('Haq — Monthly P&amp;L and cash'!Q5&gt;=18),'Haq — Monthly P&amp;L and cash'!Q5&gt;=18,IF('Haq — Monthly P&amp;L and cash'!Q5="","",'Haq — Monthly P&amp;L and cash'!Q5&gt;=18))),IF('Model inputs'!AJ48="","",'Model inputs'!AJ48),IF(IF(IF(ISERROR('Haq — Monthly P&amp;L and cash'!Q5&gt;=15),'Haq — Monthly P&amp;L and cash'!Q5&gt;=15,IF('Haq — Monthly P&amp;L and cash'!Q5="","",'Haq — Monthly P&amp;L and cash'!Q5&gt;=15))="",FALSE,IF(ISERROR('Haq — Monthly P&amp;L and cash'!Q5&gt;=15),'Haq — Monthly P&amp;L and cash'!Q5&gt;=15,IF('Haq — Monthly P&amp;L and cash'!Q5="","",'Haq — Monthly P&amp;L and cash'!Q5&gt;=15))),IF('Model inputs'!AJ47="","",'Model inputs'!AJ47),IF(IF(IF(ISERROR('Haq — Monthly P&amp;L and cash'!Q5&gt;=12),'Haq — Monthly P&amp;L and cash'!Q5&gt;=12,IF('Haq — Monthly P&amp;L and cash'!Q5="","",'Haq — Monthly P&amp;L and cash'!Q5&gt;=12))="",FALSE,IF(ISERROR('Haq — Monthly P&amp;L and cash'!Q5&gt;=12),'Haq — Monthly P&amp;L and cash'!Q5&gt;=12,IF('Haq — Monthly P&amp;L and cash'!Q5="","",'Haq — Monthly P&amp;L and cash'!Q5&gt;=12))),IF('Model inputs'!AJ46="","",'Model inputs'!AJ46),IF(IF(IF(ISERROR('Haq — Monthly P&amp;L and cash'!Q5&gt;=9),'Haq — Monthly P&amp;L and cash'!Q5&gt;=9,IF('Haq — Monthly P&amp;L and cash'!Q5="","",'Haq — Monthly P&amp;L and cash'!Q5&gt;=9))="",FALSE,IF(ISERROR('Haq — Monthly P&amp;L and cash'!Q5&gt;=9),'Haq — Monthly P&amp;L and cash'!Q5&gt;=9,IF('Haq — Monthly P&amp;L and cash'!Q5="","",'Haq — Monthly P&amp;L and cash'!Q5&gt;=9))),IF('Model inputs'!AJ53="","",'Model inputs'!AJ53),IF(IF(IF(ISERROR('Haq — Monthly P&amp;L and cash'!Q5&gt;=6),'Haq — Monthly P&amp;L and cash'!Q5&gt;=6,IF('Haq — Monthly P&amp;L and cash'!Q5="","",'Haq — Monthly P&amp;L and cash'!Q5&gt;=6))="",FALSE,IF(ISERROR('Haq — Monthly P&amp;L and cash'!Q5&gt;=6),'Haq — Monthly P&amp;L and cash'!Q5&gt;=6,IF('Haq — Monthly P&amp;L and cash'!Q5="","",'Haq — Monthly P&amp;L and cash'!Q5&gt;=6))),IF('Model inputs'!AJ52="","",'Model inputs'!AJ52),0))))))))</f>
        <v>4</v>
      </c>
      <c r="R11" s="10">
        <f>IF(IF(IF(ISERROR('Haq — Monthly P&amp;L and cash'!R5&gt;=24),'Haq — Monthly P&amp;L and cash'!R5&gt;=24,IF('Haq — Monthly P&amp;L and cash'!R5="","",'Haq — Monthly P&amp;L and cash'!R5&gt;=24))="",FALSE,IF(ISERROR('Haq — Monthly P&amp;L and cash'!R5&gt;=24),'Haq — Monthly P&amp;L and cash'!R5&gt;=24,IF('Haq — Monthly P&amp;L and cash'!R5="","",'Haq — Monthly P&amp;L and cash'!R5&gt;=24))),IF('Model inputs'!AJ51="","",'Model inputs'!AJ51),IF(IF(IF(ISERROR('Haq — Monthly P&amp;L and cash'!R5&gt;=23),'Haq — Monthly P&amp;L and cash'!R5&gt;=23,IF('Haq — Monthly P&amp;L and cash'!R5="","",'Haq — Monthly P&amp;L and cash'!R5&gt;=23))="",FALSE,IF(ISERROR('Haq — Monthly P&amp;L and cash'!R5&gt;=23),'Haq — Monthly P&amp;L and cash'!R5&gt;=23,IF('Haq — Monthly P&amp;L and cash'!R5="","",'Haq — Monthly P&amp;L and cash'!R5&gt;=23))),IF('Model inputs'!AJ50="","",'Model inputs'!AJ50),IF(IF(IF(ISERROR('Haq — Monthly P&amp;L and cash'!R5&gt;=21),'Haq — Monthly P&amp;L and cash'!R5&gt;=21,IF('Haq — Monthly P&amp;L and cash'!R5="","",'Haq — Monthly P&amp;L and cash'!R5&gt;=21))="",FALSE,IF(ISERROR('Haq — Monthly P&amp;L and cash'!R5&gt;=21),'Haq — Monthly P&amp;L and cash'!R5&gt;=21,IF('Haq — Monthly P&amp;L and cash'!R5="","",'Haq — Monthly P&amp;L and cash'!R5&gt;=21))),IF('Model inputs'!AJ49="","",'Model inputs'!AJ49),IF(IF(IF(ISERROR('Haq — Monthly P&amp;L and cash'!R5&gt;=18),'Haq — Monthly P&amp;L and cash'!R5&gt;=18,IF('Haq — Monthly P&amp;L and cash'!R5="","",'Haq — Monthly P&amp;L and cash'!R5&gt;=18))="",FALSE,IF(ISERROR('Haq — Monthly P&amp;L and cash'!R5&gt;=18),'Haq — Monthly P&amp;L and cash'!R5&gt;=18,IF('Haq — Monthly P&amp;L and cash'!R5="","",'Haq — Monthly P&amp;L and cash'!R5&gt;=18))),IF('Model inputs'!AJ48="","",'Model inputs'!AJ48),IF(IF(IF(ISERROR('Haq — Monthly P&amp;L and cash'!R5&gt;=15),'Haq — Monthly P&amp;L and cash'!R5&gt;=15,IF('Haq — Monthly P&amp;L and cash'!R5="","",'Haq — Monthly P&amp;L and cash'!R5&gt;=15))="",FALSE,IF(ISERROR('Haq — Monthly P&amp;L and cash'!R5&gt;=15),'Haq — Monthly P&amp;L and cash'!R5&gt;=15,IF('Haq — Monthly P&amp;L and cash'!R5="","",'Haq — Monthly P&amp;L and cash'!R5&gt;=15))),IF('Model inputs'!AJ47="","",'Model inputs'!AJ47),IF(IF(IF(ISERROR('Haq — Monthly P&amp;L and cash'!R5&gt;=12),'Haq — Monthly P&amp;L and cash'!R5&gt;=12,IF('Haq — Monthly P&amp;L and cash'!R5="","",'Haq — Monthly P&amp;L and cash'!R5&gt;=12))="",FALSE,IF(ISERROR('Haq — Monthly P&amp;L and cash'!R5&gt;=12),'Haq — Monthly P&amp;L and cash'!R5&gt;=12,IF('Haq — Monthly P&amp;L and cash'!R5="","",'Haq — Monthly P&amp;L and cash'!R5&gt;=12))),IF('Model inputs'!AJ46="","",'Model inputs'!AJ46),IF(IF(IF(ISERROR('Haq — Monthly P&amp;L and cash'!R5&gt;=9),'Haq — Monthly P&amp;L and cash'!R5&gt;=9,IF('Haq — Monthly P&amp;L and cash'!R5="","",'Haq — Monthly P&amp;L and cash'!R5&gt;=9))="",FALSE,IF(ISERROR('Haq — Monthly P&amp;L and cash'!R5&gt;=9),'Haq — Monthly P&amp;L and cash'!R5&gt;=9,IF('Haq — Monthly P&amp;L and cash'!R5="","",'Haq — Monthly P&amp;L and cash'!R5&gt;=9))),IF('Model inputs'!AJ53="","",'Model inputs'!AJ53),IF(IF(IF(ISERROR('Haq — Monthly P&amp;L and cash'!R5&gt;=6),'Haq — Monthly P&amp;L and cash'!R5&gt;=6,IF('Haq — Monthly P&amp;L and cash'!R5="","",'Haq — Monthly P&amp;L and cash'!R5&gt;=6))="",FALSE,IF(ISERROR('Haq — Monthly P&amp;L and cash'!R5&gt;=6),'Haq — Monthly P&amp;L and cash'!R5&gt;=6,IF('Haq — Monthly P&amp;L and cash'!R5="","",'Haq — Monthly P&amp;L and cash'!R5&gt;=6))),IF('Model inputs'!AJ52="","",'Model inputs'!AJ52),0))))))))</f>
        <v>4</v>
      </c>
      <c r="S11" s="10">
        <f>IF(IF(IF(ISERROR('Haq — Monthly P&amp;L and cash'!S5&gt;=24),'Haq — Monthly P&amp;L and cash'!S5&gt;=24,IF('Haq — Monthly P&amp;L and cash'!S5="","",'Haq — Monthly P&amp;L and cash'!S5&gt;=24))="",FALSE,IF(ISERROR('Haq — Monthly P&amp;L and cash'!S5&gt;=24),'Haq — Monthly P&amp;L and cash'!S5&gt;=24,IF('Haq — Monthly P&amp;L and cash'!S5="","",'Haq — Monthly P&amp;L and cash'!S5&gt;=24))),IF('Model inputs'!AJ51="","",'Model inputs'!AJ51),IF(IF(IF(ISERROR('Haq — Monthly P&amp;L and cash'!S5&gt;=23),'Haq — Monthly P&amp;L and cash'!S5&gt;=23,IF('Haq — Monthly P&amp;L and cash'!S5="","",'Haq — Monthly P&amp;L and cash'!S5&gt;=23))="",FALSE,IF(ISERROR('Haq — Monthly P&amp;L and cash'!S5&gt;=23),'Haq — Monthly P&amp;L and cash'!S5&gt;=23,IF('Haq — Monthly P&amp;L and cash'!S5="","",'Haq — Monthly P&amp;L and cash'!S5&gt;=23))),IF('Model inputs'!AJ50="","",'Model inputs'!AJ50),IF(IF(IF(ISERROR('Haq — Monthly P&amp;L and cash'!S5&gt;=21),'Haq — Monthly P&amp;L and cash'!S5&gt;=21,IF('Haq — Monthly P&amp;L and cash'!S5="","",'Haq — Monthly P&amp;L and cash'!S5&gt;=21))="",FALSE,IF(ISERROR('Haq — Monthly P&amp;L and cash'!S5&gt;=21),'Haq — Monthly P&amp;L and cash'!S5&gt;=21,IF('Haq — Monthly P&amp;L and cash'!S5="","",'Haq — Monthly P&amp;L and cash'!S5&gt;=21))),IF('Model inputs'!AJ49="","",'Model inputs'!AJ49),IF(IF(IF(ISERROR('Haq — Monthly P&amp;L and cash'!S5&gt;=18),'Haq — Monthly P&amp;L and cash'!S5&gt;=18,IF('Haq — Monthly P&amp;L and cash'!S5="","",'Haq — Monthly P&amp;L and cash'!S5&gt;=18))="",FALSE,IF(ISERROR('Haq — Monthly P&amp;L and cash'!S5&gt;=18),'Haq — Monthly P&amp;L and cash'!S5&gt;=18,IF('Haq — Monthly P&amp;L and cash'!S5="","",'Haq — Monthly P&amp;L and cash'!S5&gt;=18))),IF('Model inputs'!AJ48="","",'Model inputs'!AJ48),IF(IF(IF(ISERROR('Haq — Monthly P&amp;L and cash'!S5&gt;=15),'Haq — Monthly P&amp;L and cash'!S5&gt;=15,IF('Haq — Monthly P&amp;L and cash'!S5="","",'Haq — Monthly P&amp;L and cash'!S5&gt;=15))="",FALSE,IF(ISERROR('Haq — Monthly P&amp;L and cash'!S5&gt;=15),'Haq — Monthly P&amp;L and cash'!S5&gt;=15,IF('Haq — Monthly P&amp;L and cash'!S5="","",'Haq — Monthly P&amp;L and cash'!S5&gt;=15))),IF('Model inputs'!AJ47="","",'Model inputs'!AJ47),IF(IF(IF(ISERROR('Haq — Monthly P&amp;L and cash'!S5&gt;=12),'Haq — Monthly P&amp;L and cash'!S5&gt;=12,IF('Haq — Monthly P&amp;L and cash'!S5="","",'Haq — Monthly P&amp;L and cash'!S5&gt;=12))="",FALSE,IF(ISERROR('Haq — Monthly P&amp;L and cash'!S5&gt;=12),'Haq — Monthly P&amp;L and cash'!S5&gt;=12,IF('Haq — Monthly P&amp;L and cash'!S5="","",'Haq — Monthly P&amp;L and cash'!S5&gt;=12))),IF('Model inputs'!AJ46="","",'Model inputs'!AJ46),IF(IF(IF(ISERROR('Haq — Monthly P&amp;L and cash'!S5&gt;=9),'Haq — Monthly P&amp;L and cash'!S5&gt;=9,IF('Haq — Monthly P&amp;L and cash'!S5="","",'Haq — Monthly P&amp;L and cash'!S5&gt;=9))="",FALSE,IF(ISERROR('Haq — Monthly P&amp;L and cash'!S5&gt;=9),'Haq — Monthly P&amp;L and cash'!S5&gt;=9,IF('Haq — Monthly P&amp;L and cash'!S5="","",'Haq — Monthly P&amp;L and cash'!S5&gt;=9))),IF('Model inputs'!AJ53="","",'Model inputs'!AJ53),IF(IF(IF(ISERROR('Haq — Monthly P&amp;L and cash'!S5&gt;=6),'Haq — Monthly P&amp;L and cash'!S5&gt;=6,IF('Haq — Monthly P&amp;L and cash'!S5="","",'Haq — Monthly P&amp;L and cash'!S5&gt;=6))="",FALSE,IF(ISERROR('Haq — Monthly P&amp;L and cash'!S5&gt;=6),'Haq — Monthly P&amp;L and cash'!S5&gt;=6,IF('Haq — Monthly P&amp;L and cash'!S5="","",'Haq — Monthly P&amp;L and cash'!S5&gt;=6))),IF('Model inputs'!AJ52="","",'Model inputs'!AJ52),0))))))))</f>
        <v>5</v>
      </c>
      <c r="T11" s="10">
        <f>IF(IF(IF(ISERROR('Haq — Monthly P&amp;L and cash'!T5&gt;=24),'Haq — Monthly P&amp;L and cash'!T5&gt;=24,IF('Haq — Monthly P&amp;L and cash'!T5="","",'Haq — Monthly P&amp;L and cash'!T5&gt;=24))="",FALSE,IF(ISERROR('Haq — Monthly P&amp;L and cash'!T5&gt;=24),'Haq — Monthly P&amp;L and cash'!T5&gt;=24,IF('Haq — Monthly P&amp;L and cash'!T5="","",'Haq — Monthly P&amp;L and cash'!T5&gt;=24))),IF('Model inputs'!AJ51="","",'Model inputs'!AJ51),IF(IF(IF(ISERROR('Haq — Monthly P&amp;L and cash'!T5&gt;=23),'Haq — Monthly P&amp;L and cash'!T5&gt;=23,IF('Haq — Monthly P&amp;L and cash'!T5="","",'Haq — Monthly P&amp;L and cash'!T5&gt;=23))="",FALSE,IF(ISERROR('Haq — Monthly P&amp;L and cash'!T5&gt;=23),'Haq — Monthly P&amp;L and cash'!T5&gt;=23,IF('Haq — Monthly P&amp;L and cash'!T5="","",'Haq — Monthly P&amp;L and cash'!T5&gt;=23))),IF('Model inputs'!AJ50="","",'Model inputs'!AJ50),IF(IF(IF(ISERROR('Haq — Monthly P&amp;L and cash'!T5&gt;=21),'Haq — Monthly P&amp;L and cash'!T5&gt;=21,IF('Haq — Monthly P&amp;L and cash'!T5="","",'Haq — Monthly P&amp;L and cash'!T5&gt;=21))="",FALSE,IF(ISERROR('Haq — Monthly P&amp;L and cash'!T5&gt;=21),'Haq — Monthly P&amp;L and cash'!T5&gt;=21,IF('Haq — Monthly P&amp;L and cash'!T5="","",'Haq — Monthly P&amp;L and cash'!T5&gt;=21))),IF('Model inputs'!AJ49="","",'Model inputs'!AJ49),IF(IF(IF(ISERROR('Haq — Monthly P&amp;L and cash'!T5&gt;=18),'Haq — Monthly P&amp;L and cash'!T5&gt;=18,IF('Haq — Monthly P&amp;L and cash'!T5="","",'Haq — Monthly P&amp;L and cash'!T5&gt;=18))="",FALSE,IF(ISERROR('Haq — Monthly P&amp;L and cash'!T5&gt;=18),'Haq — Monthly P&amp;L and cash'!T5&gt;=18,IF('Haq — Monthly P&amp;L and cash'!T5="","",'Haq — Monthly P&amp;L and cash'!T5&gt;=18))),IF('Model inputs'!AJ48="","",'Model inputs'!AJ48),IF(IF(IF(ISERROR('Haq — Monthly P&amp;L and cash'!T5&gt;=15),'Haq — Monthly P&amp;L and cash'!T5&gt;=15,IF('Haq — Monthly P&amp;L and cash'!T5="","",'Haq — Monthly P&amp;L and cash'!T5&gt;=15))="",FALSE,IF(ISERROR('Haq — Monthly P&amp;L and cash'!T5&gt;=15),'Haq — Monthly P&amp;L and cash'!T5&gt;=15,IF('Haq — Monthly P&amp;L and cash'!T5="","",'Haq — Monthly P&amp;L and cash'!T5&gt;=15))),IF('Model inputs'!AJ47="","",'Model inputs'!AJ47),IF(IF(IF(ISERROR('Haq — Monthly P&amp;L and cash'!T5&gt;=12),'Haq — Monthly P&amp;L and cash'!T5&gt;=12,IF('Haq — Monthly P&amp;L and cash'!T5="","",'Haq — Monthly P&amp;L and cash'!T5&gt;=12))="",FALSE,IF(ISERROR('Haq — Monthly P&amp;L and cash'!T5&gt;=12),'Haq — Monthly P&amp;L and cash'!T5&gt;=12,IF('Haq — Monthly P&amp;L and cash'!T5="","",'Haq — Monthly P&amp;L and cash'!T5&gt;=12))),IF('Model inputs'!AJ46="","",'Model inputs'!AJ46),IF(IF(IF(ISERROR('Haq — Monthly P&amp;L and cash'!T5&gt;=9),'Haq — Monthly P&amp;L and cash'!T5&gt;=9,IF('Haq — Monthly P&amp;L and cash'!T5="","",'Haq — Monthly P&amp;L and cash'!T5&gt;=9))="",FALSE,IF(ISERROR('Haq — Monthly P&amp;L and cash'!T5&gt;=9),'Haq — Monthly P&amp;L and cash'!T5&gt;=9,IF('Haq — Monthly P&amp;L and cash'!T5="","",'Haq — Monthly P&amp;L and cash'!T5&gt;=9))),IF('Model inputs'!AJ53="","",'Model inputs'!AJ53),IF(IF(IF(ISERROR('Haq — Monthly P&amp;L and cash'!T5&gt;=6),'Haq — Monthly P&amp;L and cash'!T5&gt;=6,IF('Haq — Monthly P&amp;L and cash'!T5="","",'Haq — Monthly P&amp;L and cash'!T5&gt;=6))="",FALSE,IF(ISERROR('Haq — Monthly P&amp;L and cash'!T5&gt;=6),'Haq — Monthly P&amp;L and cash'!T5&gt;=6,IF('Haq — Monthly P&amp;L and cash'!T5="","",'Haq — Monthly P&amp;L and cash'!T5&gt;=6))),IF('Model inputs'!AJ52="","",'Model inputs'!AJ52),0))))))))</f>
        <v>5</v>
      </c>
      <c r="U11" s="10">
        <f>IF(IF(IF(ISERROR('Haq — Monthly P&amp;L and cash'!U5&gt;=24),'Haq — Monthly P&amp;L and cash'!U5&gt;=24,IF('Haq — Monthly P&amp;L and cash'!U5="","",'Haq — Monthly P&amp;L and cash'!U5&gt;=24))="",FALSE,IF(ISERROR('Haq — Monthly P&amp;L and cash'!U5&gt;=24),'Haq — Monthly P&amp;L and cash'!U5&gt;=24,IF('Haq — Monthly P&amp;L and cash'!U5="","",'Haq — Monthly P&amp;L and cash'!U5&gt;=24))),IF('Model inputs'!AJ51="","",'Model inputs'!AJ51),IF(IF(IF(ISERROR('Haq — Monthly P&amp;L and cash'!U5&gt;=23),'Haq — Monthly P&amp;L and cash'!U5&gt;=23,IF('Haq — Monthly P&amp;L and cash'!U5="","",'Haq — Monthly P&amp;L and cash'!U5&gt;=23))="",FALSE,IF(ISERROR('Haq — Monthly P&amp;L and cash'!U5&gt;=23),'Haq — Monthly P&amp;L and cash'!U5&gt;=23,IF('Haq — Monthly P&amp;L and cash'!U5="","",'Haq — Monthly P&amp;L and cash'!U5&gt;=23))),IF('Model inputs'!AJ50="","",'Model inputs'!AJ50),IF(IF(IF(ISERROR('Haq — Monthly P&amp;L and cash'!U5&gt;=21),'Haq — Monthly P&amp;L and cash'!U5&gt;=21,IF('Haq — Monthly P&amp;L and cash'!U5="","",'Haq — Monthly P&amp;L and cash'!U5&gt;=21))="",FALSE,IF(ISERROR('Haq — Monthly P&amp;L and cash'!U5&gt;=21),'Haq — Monthly P&amp;L and cash'!U5&gt;=21,IF('Haq — Monthly P&amp;L and cash'!U5="","",'Haq — Monthly P&amp;L and cash'!U5&gt;=21))),IF('Model inputs'!AJ49="","",'Model inputs'!AJ49),IF(IF(IF(ISERROR('Haq — Monthly P&amp;L and cash'!U5&gt;=18),'Haq — Monthly P&amp;L and cash'!U5&gt;=18,IF('Haq — Monthly P&amp;L and cash'!U5="","",'Haq — Monthly P&amp;L and cash'!U5&gt;=18))="",FALSE,IF(ISERROR('Haq — Monthly P&amp;L and cash'!U5&gt;=18),'Haq — Monthly P&amp;L and cash'!U5&gt;=18,IF('Haq — Monthly P&amp;L and cash'!U5="","",'Haq — Monthly P&amp;L and cash'!U5&gt;=18))),IF('Model inputs'!AJ48="","",'Model inputs'!AJ48),IF(IF(IF(ISERROR('Haq — Monthly P&amp;L and cash'!U5&gt;=15),'Haq — Monthly P&amp;L and cash'!U5&gt;=15,IF('Haq — Monthly P&amp;L and cash'!U5="","",'Haq — Monthly P&amp;L and cash'!U5&gt;=15))="",FALSE,IF(ISERROR('Haq — Monthly P&amp;L and cash'!U5&gt;=15),'Haq — Monthly P&amp;L and cash'!U5&gt;=15,IF('Haq — Monthly P&amp;L and cash'!U5="","",'Haq — Monthly P&amp;L and cash'!U5&gt;=15))),IF('Model inputs'!AJ47="","",'Model inputs'!AJ47),IF(IF(IF(ISERROR('Haq — Monthly P&amp;L and cash'!U5&gt;=12),'Haq — Monthly P&amp;L and cash'!U5&gt;=12,IF('Haq — Monthly P&amp;L and cash'!U5="","",'Haq — Monthly P&amp;L and cash'!U5&gt;=12))="",FALSE,IF(ISERROR('Haq — Monthly P&amp;L and cash'!U5&gt;=12),'Haq — Monthly P&amp;L and cash'!U5&gt;=12,IF('Haq — Monthly P&amp;L and cash'!U5="","",'Haq — Monthly P&amp;L and cash'!U5&gt;=12))),IF('Model inputs'!AJ46="","",'Model inputs'!AJ46),IF(IF(IF(ISERROR('Haq — Monthly P&amp;L and cash'!U5&gt;=9),'Haq — Monthly P&amp;L and cash'!U5&gt;=9,IF('Haq — Monthly P&amp;L and cash'!U5="","",'Haq — Monthly P&amp;L and cash'!U5&gt;=9))="",FALSE,IF(ISERROR('Haq — Monthly P&amp;L and cash'!U5&gt;=9),'Haq — Monthly P&amp;L and cash'!U5&gt;=9,IF('Haq — Monthly P&amp;L and cash'!U5="","",'Haq — Monthly P&amp;L and cash'!U5&gt;=9))),IF('Model inputs'!AJ53="","",'Model inputs'!AJ53),IF(IF(IF(ISERROR('Haq — Monthly P&amp;L and cash'!U5&gt;=6),'Haq — Monthly P&amp;L and cash'!U5&gt;=6,IF('Haq — Monthly P&amp;L and cash'!U5="","",'Haq — Monthly P&amp;L and cash'!U5&gt;=6))="",FALSE,IF(ISERROR('Haq — Monthly P&amp;L and cash'!U5&gt;=6),'Haq — Monthly P&amp;L and cash'!U5&gt;=6,IF('Haq — Monthly P&amp;L and cash'!U5="","",'Haq — Monthly P&amp;L and cash'!U5&gt;=6))),IF('Model inputs'!AJ52="","",'Model inputs'!AJ52),0))))))))</f>
        <v>5</v>
      </c>
      <c r="V11" s="10">
        <f>IF(IF(IF(ISERROR('Haq — Monthly P&amp;L and cash'!V5&gt;=24),'Haq — Monthly P&amp;L and cash'!V5&gt;=24,IF('Haq — Monthly P&amp;L and cash'!V5="","",'Haq — Monthly P&amp;L and cash'!V5&gt;=24))="",FALSE,IF(ISERROR('Haq — Monthly P&amp;L and cash'!V5&gt;=24),'Haq — Monthly P&amp;L and cash'!V5&gt;=24,IF('Haq — Monthly P&amp;L and cash'!V5="","",'Haq — Monthly P&amp;L and cash'!V5&gt;=24))),IF('Model inputs'!AJ51="","",'Model inputs'!AJ51),IF(IF(IF(ISERROR('Haq — Monthly P&amp;L and cash'!V5&gt;=23),'Haq — Monthly P&amp;L and cash'!V5&gt;=23,IF('Haq — Monthly P&amp;L and cash'!V5="","",'Haq — Monthly P&amp;L and cash'!V5&gt;=23))="",FALSE,IF(ISERROR('Haq — Monthly P&amp;L and cash'!V5&gt;=23),'Haq — Monthly P&amp;L and cash'!V5&gt;=23,IF('Haq — Monthly P&amp;L and cash'!V5="","",'Haq — Monthly P&amp;L and cash'!V5&gt;=23))),IF('Model inputs'!AJ50="","",'Model inputs'!AJ50),IF(IF(IF(ISERROR('Haq — Monthly P&amp;L and cash'!V5&gt;=21),'Haq — Monthly P&amp;L and cash'!V5&gt;=21,IF('Haq — Monthly P&amp;L and cash'!V5="","",'Haq — Monthly P&amp;L and cash'!V5&gt;=21))="",FALSE,IF(ISERROR('Haq — Monthly P&amp;L and cash'!V5&gt;=21),'Haq — Monthly P&amp;L and cash'!V5&gt;=21,IF('Haq — Monthly P&amp;L and cash'!V5="","",'Haq — Monthly P&amp;L and cash'!V5&gt;=21))),IF('Model inputs'!AJ49="","",'Model inputs'!AJ49),IF(IF(IF(ISERROR('Haq — Monthly P&amp;L and cash'!V5&gt;=18),'Haq — Monthly P&amp;L and cash'!V5&gt;=18,IF('Haq — Monthly P&amp;L and cash'!V5="","",'Haq — Monthly P&amp;L and cash'!V5&gt;=18))="",FALSE,IF(ISERROR('Haq — Monthly P&amp;L and cash'!V5&gt;=18),'Haq — Monthly P&amp;L and cash'!V5&gt;=18,IF('Haq — Monthly P&amp;L and cash'!V5="","",'Haq — Monthly P&amp;L and cash'!V5&gt;=18))),IF('Model inputs'!AJ48="","",'Model inputs'!AJ48),IF(IF(IF(ISERROR('Haq — Monthly P&amp;L and cash'!V5&gt;=15),'Haq — Monthly P&amp;L and cash'!V5&gt;=15,IF('Haq — Monthly P&amp;L and cash'!V5="","",'Haq — Monthly P&amp;L and cash'!V5&gt;=15))="",FALSE,IF(ISERROR('Haq — Monthly P&amp;L and cash'!V5&gt;=15),'Haq — Monthly P&amp;L and cash'!V5&gt;=15,IF('Haq — Monthly P&amp;L and cash'!V5="","",'Haq — Monthly P&amp;L and cash'!V5&gt;=15))),IF('Model inputs'!AJ47="","",'Model inputs'!AJ47),IF(IF(IF(ISERROR('Haq — Monthly P&amp;L and cash'!V5&gt;=12),'Haq — Monthly P&amp;L and cash'!V5&gt;=12,IF('Haq — Monthly P&amp;L and cash'!V5="","",'Haq — Monthly P&amp;L and cash'!V5&gt;=12))="",FALSE,IF(ISERROR('Haq — Monthly P&amp;L and cash'!V5&gt;=12),'Haq — Monthly P&amp;L and cash'!V5&gt;=12,IF('Haq — Monthly P&amp;L and cash'!V5="","",'Haq — Monthly P&amp;L and cash'!V5&gt;=12))),IF('Model inputs'!AJ46="","",'Model inputs'!AJ46),IF(IF(IF(ISERROR('Haq — Monthly P&amp;L and cash'!V5&gt;=9),'Haq — Monthly P&amp;L and cash'!V5&gt;=9,IF('Haq — Monthly P&amp;L and cash'!V5="","",'Haq — Monthly P&amp;L and cash'!V5&gt;=9))="",FALSE,IF(ISERROR('Haq — Monthly P&amp;L and cash'!V5&gt;=9),'Haq — Monthly P&amp;L and cash'!V5&gt;=9,IF('Haq — Monthly P&amp;L and cash'!V5="","",'Haq — Monthly P&amp;L and cash'!V5&gt;=9))),IF('Model inputs'!AJ53="","",'Model inputs'!AJ53),IF(IF(IF(ISERROR('Haq — Monthly P&amp;L and cash'!V5&gt;=6),'Haq — Monthly P&amp;L and cash'!V5&gt;=6,IF('Haq — Monthly P&amp;L and cash'!V5="","",'Haq — Monthly P&amp;L and cash'!V5&gt;=6))="",FALSE,IF(ISERROR('Haq — Monthly P&amp;L and cash'!V5&gt;=6),'Haq — Monthly P&amp;L and cash'!V5&gt;=6,IF('Haq — Monthly P&amp;L and cash'!V5="","",'Haq — Monthly P&amp;L and cash'!V5&gt;=6))),IF('Model inputs'!AJ52="","",'Model inputs'!AJ52),0))))))))</f>
        <v>6</v>
      </c>
      <c r="W11" s="10">
        <f>IF(IF(IF(ISERROR('Haq — Monthly P&amp;L and cash'!W5&gt;=24),'Haq — Monthly P&amp;L and cash'!W5&gt;=24,IF('Haq — Monthly P&amp;L and cash'!W5="","",'Haq — Monthly P&amp;L and cash'!W5&gt;=24))="",FALSE,IF(ISERROR('Haq — Monthly P&amp;L and cash'!W5&gt;=24),'Haq — Monthly P&amp;L and cash'!W5&gt;=24,IF('Haq — Monthly P&amp;L and cash'!W5="","",'Haq — Monthly P&amp;L and cash'!W5&gt;=24))),IF('Model inputs'!AJ51="","",'Model inputs'!AJ51),IF(IF(IF(ISERROR('Haq — Monthly P&amp;L and cash'!W5&gt;=23),'Haq — Monthly P&amp;L and cash'!W5&gt;=23,IF('Haq — Monthly P&amp;L and cash'!W5="","",'Haq — Monthly P&amp;L and cash'!W5&gt;=23))="",FALSE,IF(ISERROR('Haq — Monthly P&amp;L and cash'!W5&gt;=23),'Haq — Monthly P&amp;L and cash'!W5&gt;=23,IF('Haq — Monthly P&amp;L and cash'!W5="","",'Haq — Monthly P&amp;L and cash'!W5&gt;=23))),IF('Model inputs'!AJ50="","",'Model inputs'!AJ50),IF(IF(IF(ISERROR('Haq — Monthly P&amp;L and cash'!W5&gt;=21),'Haq — Monthly P&amp;L and cash'!W5&gt;=21,IF('Haq — Monthly P&amp;L and cash'!W5="","",'Haq — Monthly P&amp;L and cash'!W5&gt;=21))="",FALSE,IF(ISERROR('Haq — Monthly P&amp;L and cash'!W5&gt;=21),'Haq — Monthly P&amp;L and cash'!W5&gt;=21,IF('Haq — Monthly P&amp;L and cash'!W5="","",'Haq — Monthly P&amp;L and cash'!W5&gt;=21))),IF('Model inputs'!AJ49="","",'Model inputs'!AJ49),IF(IF(IF(ISERROR('Haq — Monthly P&amp;L and cash'!W5&gt;=18),'Haq — Monthly P&amp;L and cash'!W5&gt;=18,IF('Haq — Monthly P&amp;L and cash'!W5="","",'Haq — Monthly P&amp;L and cash'!W5&gt;=18))="",FALSE,IF(ISERROR('Haq — Monthly P&amp;L and cash'!W5&gt;=18),'Haq — Monthly P&amp;L and cash'!W5&gt;=18,IF('Haq — Monthly P&amp;L and cash'!W5="","",'Haq — Monthly P&amp;L and cash'!W5&gt;=18))),IF('Model inputs'!AJ48="","",'Model inputs'!AJ48),IF(IF(IF(ISERROR('Haq — Monthly P&amp;L and cash'!W5&gt;=15),'Haq — Monthly P&amp;L and cash'!W5&gt;=15,IF('Haq — Monthly P&amp;L and cash'!W5="","",'Haq — Monthly P&amp;L and cash'!W5&gt;=15))="",FALSE,IF(ISERROR('Haq — Monthly P&amp;L and cash'!W5&gt;=15),'Haq — Monthly P&amp;L and cash'!W5&gt;=15,IF('Haq — Monthly P&amp;L and cash'!W5="","",'Haq — Monthly P&amp;L and cash'!W5&gt;=15))),IF('Model inputs'!AJ47="","",'Model inputs'!AJ47),IF(IF(IF(ISERROR('Haq — Monthly P&amp;L and cash'!W5&gt;=12),'Haq — Monthly P&amp;L and cash'!W5&gt;=12,IF('Haq — Monthly P&amp;L and cash'!W5="","",'Haq — Monthly P&amp;L and cash'!W5&gt;=12))="",FALSE,IF(ISERROR('Haq — Monthly P&amp;L and cash'!W5&gt;=12),'Haq — Monthly P&amp;L and cash'!W5&gt;=12,IF('Haq — Monthly P&amp;L and cash'!W5="","",'Haq — Monthly P&amp;L and cash'!W5&gt;=12))),IF('Model inputs'!AJ46="","",'Model inputs'!AJ46),IF(IF(IF(ISERROR('Haq — Monthly P&amp;L and cash'!W5&gt;=9),'Haq — Monthly P&amp;L and cash'!W5&gt;=9,IF('Haq — Monthly P&amp;L and cash'!W5="","",'Haq — Monthly P&amp;L and cash'!W5&gt;=9))="",FALSE,IF(ISERROR('Haq — Monthly P&amp;L and cash'!W5&gt;=9),'Haq — Monthly P&amp;L and cash'!W5&gt;=9,IF('Haq — Monthly P&amp;L and cash'!W5="","",'Haq — Monthly P&amp;L and cash'!W5&gt;=9))),IF('Model inputs'!AJ53="","",'Model inputs'!AJ53),IF(IF(IF(ISERROR('Haq — Monthly P&amp;L and cash'!W5&gt;=6),'Haq — Monthly P&amp;L and cash'!W5&gt;=6,IF('Haq — Monthly P&amp;L and cash'!W5="","",'Haq — Monthly P&amp;L and cash'!W5&gt;=6))="",FALSE,IF(ISERROR('Haq — Monthly P&amp;L and cash'!W5&gt;=6),'Haq — Monthly P&amp;L and cash'!W5&gt;=6,IF('Haq — Monthly P&amp;L and cash'!W5="","",'Haq — Monthly P&amp;L and cash'!W5&gt;=6))),IF('Model inputs'!AJ52="","",'Model inputs'!AJ52),0))))))))</f>
        <v>6</v>
      </c>
      <c r="X11" s="10">
        <f>IF(IF(IF(ISERROR('Haq — Monthly P&amp;L and cash'!X5&gt;=24),'Haq — Monthly P&amp;L and cash'!X5&gt;=24,IF('Haq — Monthly P&amp;L and cash'!X5="","",'Haq — Monthly P&amp;L and cash'!X5&gt;=24))="",FALSE,IF(ISERROR('Haq — Monthly P&amp;L and cash'!X5&gt;=24),'Haq — Monthly P&amp;L and cash'!X5&gt;=24,IF('Haq — Monthly P&amp;L and cash'!X5="","",'Haq — Monthly P&amp;L and cash'!X5&gt;=24))),IF('Model inputs'!AJ51="","",'Model inputs'!AJ51),IF(IF(IF(ISERROR('Haq — Monthly P&amp;L and cash'!X5&gt;=23),'Haq — Monthly P&amp;L and cash'!X5&gt;=23,IF('Haq — Monthly P&amp;L and cash'!X5="","",'Haq — Monthly P&amp;L and cash'!X5&gt;=23))="",FALSE,IF(ISERROR('Haq — Monthly P&amp;L and cash'!X5&gt;=23),'Haq — Monthly P&amp;L and cash'!X5&gt;=23,IF('Haq — Monthly P&amp;L and cash'!X5="","",'Haq — Monthly P&amp;L and cash'!X5&gt;=23))),IF('Model inputs'!AJ50="","",'Model inputs'!AJ50),IF(IF(IF(ISERROR('Haq — Monthly P&amp;L and cash'!X5&gt;=21),'Haq — Monthly P&amp;L and cash'!X5&gt;=21,IF('Haq — Monthly P&amp;L and cash'!X5="","",'Haq — Monthly P&amp;L and cash'!X5&gt;=21))="",FALSE,IF(ISERROR('Haq — Monthly P&amp;L and cash'!X5&gt;=21),'Haq — Monthly P&amp;L and cash'!X5&gt;=21,IF('Haq — Monthly P&amp;L and cash'!X5="","",'Haq — Monthly P&amp;L and cash'!X5&gt;=21))),IF('Model inputs'!AJ49="","",'Model inputs'!AJ49),IF(IF(IF(ISERROR('Haq — Monthly P&amp;L and cash'!X5&gt;=18),'Haq — Monthly P&amp;L and cash'!X5&gt;=18,IF('Haq — Monthly P&amp;L and cash'!X5="","",'Haq — Monthly P&amp;L and cash'!X5&gt;=18))="",FALSE,IF(ISERROR('Haq — Monthly P&amp;L and cash'!X5&gt;=18),'Haq — Monthly P&amp;L and cash'!X5&gt;=18,IF('Haq — Monthly P&amp;L and cash'!X5="","",'Haq — Monthly P&amp;L and cash'!X5&gt;=18))),IF('Model inputs'!AJ48="","",'Model inputs'!AJ48),IF(IF(IF(ISERROR('Haq — Monthly P&amp;L and cash'!X5&gt;=15),'Haq — Monthly P&amp;L and cash'!X5&gt;=15,IF('Haq — Monthly P&amp;L and cash'!X5="","",'Haq — Monthly P&amp;L and cash'!X5&gt;=15))="",FALSE,IF(ISERROR('Haq — Monthly P&amp;L and cash'!X5&gt;=15),'Haq — Monthly P&amp;L and cash'!X5&gt;=15,IF('Haq — Monthly P&amp;L and cash'!X5="","",'Haq — Monthly P&amp;L and cash'!X5&gt;=15))),IF('Model inputs'!AJ47="","",'Model inputs'!AJ47),IF(IF(IF(ISERROR('Haq — Monthly P&amp;L and cash'!X5&gt;=12),'Haq — Monthly P&amp;L and cash'!X5&gt;=12,IF('Haq — Monthly P&amp;L and cash'!X5="","",'Haq — Monthly P&amp;L and cash'!X5&gt;=12))="",FALSE,IF(ISERROR('Haq — Monthly P&amp;L and cash'!X5&gt;=12),'Haq — Monthly P&amp;L and cash'!X5&gt;=12,IF('Haq — Monthly P&amp;L and cash'!X5="","",'Haq — Monthly P&amp;L and cash'!X5&gt;=12))),IF('Model inputs'!AJ46="","",'Model inputs'!AJ46),IF(IF(IF(ISERROR('Haq — Monthly P&amp;L and cash'!X5&gt;=9),'Haq — Monthly P&amp;L and cash'!X5&gt;=9,IF('Haq — Monthly P&amp;L and cash'!X5="","",'Haq — Monthly P&amp;L and cash'!X5&gt;=9))="",FALSE,IF(ISERROR('Haq — Monthly P&amp;L and cash'!X5&gt;=9),'Haq — Monthly P&amp;L and cash'!X5&gt;=9,IF('Haq — Monthly P&amp;L and cash'!X5="","",'Haq — Monthly P&amp;L and cash'!X5&gt;=9))),IF('Model inputs'!AJ53="","",'Model inputs'!AJ53),IF(IF(IF(ISERROR('Haq — Monthly P&amp;L and cash'!X5&gt;=6),'Haq — Monthly P&amp;L and cash'!X5&gt;=6,IF('Haq — Monthly P&amp;L and cash'!X5="","",'Haq — Monthly P&amp;L and cash'!X5&gt;=6))="",FALSE,IF(ISERROR('Haq — Monthly P&amp;L and cash'!X5&gt;=6),'Haq — Monthly P&amp;L and cash'!X5&gt;=6,IF('Haq — Monthly P&amp;L and cash'!X5="","",'Haq — Monthly P&amp;L and cash'!X5&gt;=6))),IF('Model inputs'!AJ52="","",'Model inputs'!AJ52),0))))))))</f>
        <v>7</v>
      </c>
      <c r="Y11" s="10">
        <f>IF(IF(IF(ISERROR('Haq — Monthly P&amp;L and cash'!Y5&gt;=24),'Haq — Monthly P&amp;L and cash'!Y5&gt;=24,IF('Haq — Monthly P&amp;L and cash'!Y5="","",'Haq — Monthly P&amp;L and cash'!Y5&gt;=24))="",FALSE,IF(ISERROR('Haq — Monthly P&amp;L and cash'!Y5&gt;=24),'Haq — Monthly P&amp;L and cash'!Y5&gt;=24,IF('Haq — Monthly P&amp;L and cash'!Y5="","",'Haq — Monthly P&amp;L and cash'!Y5&gt;=24))),IF('Model inputs'!AJ51="","",'Model inputs'!AJ51),IF(IF(IF(ISERROR('Haq — Monthly P&amp;L and cash'!Y5&gt;=23),'Haq — Monthly P&amp;L and cash'!Y5&gt;=23,IF('Haq — Monthly P&amp;L and cash'!Y5="","",'Haq — Monthly P&amp;L and cash'!Y5&gt;=23))="",FALSE,IF(ISERROR('Haq — Monthly P&amp;L and cash'!Y5&gt;=23),'Haq — Monthly P&amp;L and cash'!Y5&gt;=23,IF('Haq — Monthly P&amp;L and cash'!Y5="","",'Haq — Monthly P&amp;L and cash'!Y5&gt;=23))),IF('Model inputs'!AJ50="","",'Model inputs'!AJ50),IF(IF(IF(ISERROR('Haq — Monthly P&amp;L and cash'!Y5&gt;=21),'Haq — Monthly P&amp;L and cash'!Y5&gt;=21,IF('Haq — Monthly P&amp;L and cash'!Y5="","",'Haq — Monthly P&amp;L and cash'!Y5&gt;=21))="",FALSE,IF(ISERROR('Haq — Monthly P&amp;L and cash'!Y5&gt;=21),'Haq — Monthly P&amp;L and cash'!Y5&gt;=21,IF('Haq — Monthly P&amp;L and cash'!Y5="","",'Haq — Monthly P&amp;L and cash'!Y5&gt;=21))),IF('Model inputs'!AJ49="","",'Model inputs'!AJ49),IF(IF(IF(ISERROR('Haq — Monthly P&amp;L and cash'!Y5&gt;=18),'Haq — Monthly P&amp;L and cash'!Y5&gt;=18,IF('Haq — Monthly P&amp;L and cash'!Y5="","",'Haq — Monthly P&amp;L and cash'!Y5&gt;=18))="",FALSE,IF(ISERROR('Haq — Monthly P&amp;L and cash'!Y5&gt;=18),'Haq — Monthly P&amp;L and cash'!Y5&gt;=18,IF('Haq — Monthly P&amp;L and cash'!Y5="","",'Haq — Monthly P&amp;L and cash'!Y5&gt;=18))),IF('Model inputs'!AJ48="","",'Model inputs'!AJ48),IF(IF(IF(ISERROR('Haq — Monthly P&amp;L and cash'!Y5&gt;=15),'Haq — Monthly P&amp;L and cash'!Y5&gt;=15,IF('Haq — Monthly P&amp;L and cash'!Y5="","",'Haq — Monthly P&amp;L and cash'!Y5&gt;=15))="",FALSE,IF(ISERROR('Haq — Monthly P&amp;L and cash'!Y5&gt;=15),'Haq — Monthly P&amp;L and cash'!Y5&gt;=15,IF('Haq — Monthly P&amp;L and cash'!Y5="","",'Haq — Monthly P&amp;L and cash'!Y5&gt;=15))),IF('Model inputs'!AJ47="","",'Model inputs'!AJ47),IF(IF(IF(ISERROR('Haq — Monthly P&amp;L and cash'!Y5&gt;=12),'Haq — Monthly P&amp;L and cash'!Y5&gt;=12,IF('Haq — Monthly P&amp;L and cash'!Y5="","",'Haq — Monthly P&amp;L and cash'!Y5&gt;=12))="",FALSE,IF(ISERROR('Haq — Monthly P&amp;L and cash'!Y5&gt;=12),'Haq — Monthly P&amp;L and cash'!Y5&gt;=12,IF('Haq — Monthly P&amp;L and cash'!Y5="","",'Haq — Monthly P&amp;L and cash'!Y5&gt;=12))),IF('Model inputs'!AJ46="","",'Model inputs'!AJ46),IF(IF(IF(ISERROR('Haq — Monthly P&amp;L and cash'!Y5&gt;=9),'Haq — Monthly P&amp;L and cash'!Y5&gt;=9,IF('Haq — Monthly P&amp;L and cash'!Y5="","",'Haq — Monthly P&amp;L and cash'!Y5&gt;=9))="",FALSE,IF(ISERROR('Haq — Monthly P&amp;L and cash'!Y5&gt;=9),'Haq — Monthly P&amp;L and cash'!Y5&gt;=9,IF('Haq — Monthly P&amp;L and cash'!Y5="","",'Haq — Monthly P&amp;L and cash'!Y5&gt;=9))),IF('Model inputs'!AJ53="","",'Model inputs'!AJ53),IF(IF(IF(ISERROR('Haq — Monthly P&amp;L and cash'!Y5&gt;=6),'Haq — Monthly P&amp;L and cash'!Y5&gt;=6,IF('Haq — Monthly P&amp;L and cash'!Y5="","",'Haq — Monthly P&amp;L and cash'!Y5&gt;=6))="",FALSE,IF(ISERROR('Haq — Monthly P&amp;L and cash'!Y5&gt;=6),'Haq — Monthly P&amp;L and cash'!Y5&gt;=6,IF('Haq — Monthly P&amp;L and cash'!Y5="","",'Haq — Monthly P&amp;L and cash'!Y5&gt;=6))),IF('Model inputs'!AJ52="","",'Model inputs'!AJ52),0))))))))</f>
        <v>8</v>
      </c>
    </row>
    <row r="12">
      <c r="A12" t="inlineStr" s="8">
        <is>
          <t xml:space="preserve">Haq CSR launches</t>
        </is>
      </c>
      <c r="B12" s="10">
        <f>MAX('Haq — Monthly P&amp;L and cash'!B11-'Model inputs'!C17,0)</f>
        <v>0</v>
      </c>
      <c r="C12" s="10">
        <f>MAX('Haq — Monthly P&amp;L and cash'!C11-'Haq — Monthly P&amp;L and cash'!B11,0)</f>
        <v>0</v>
      </c>
      <c r="D12" s="10">
        <f>MAX('Haq — Monthly P&amp;L and cash'!D11-'Haq — Monthly P&amp;L and cash'!C11,0)</f>
        <v>0</v>
      </c>
      <c r="E12" s="10">
        <f>MAX('Haq — Monthly P&amp;L and cash'!E11-'Haq — Monthly P&amp;L and cash'!D11,0)</f>
        <v>0</v>
      </c>
      <c r="F12" s="10">
        <f>MAX('Haq — Monthly P&amp;L and cash'!F11-'Haq — Monthly P&amp;L and cash'!E11,0)</f>
        <v>0</v>
      </c>
      <c r="G12" s="10">
        <f>MAX('Haq — Monthly P&amp;L and cash'!G11-'Haq — Monthly P&amp;L and cash'!F11,0)</f>
        <v>1</v>
      </c>
      <c r="H12" s="10">
        <f>MAX('Haq — Monthly P&amp;L and cash'!H11-'Haq — Monthly P&amp;L and cash'!G11,0)</f>
        <v>0</v>
      </c>
      <c r="I12" s="10">
        <f>MAX('Haq — Monthly P&amp;L and cash'!I11-'Haq — Monthly P&amp;L and cash'!H11,0)</f>
        <v>0</v>
      </c>
      <c r="J12" s="10">
        <f>MAX('Haq — Monthly P&amp;L and cash'!J11-'Haq — Monthly P&amp;L and cash'!I11,0)</f>
        <v>1</v>
      </c>
      <c r="K12" s="10">
        <f>MAX('Haq — Monthly P&amp;L and cash'!K11-'Haq — Monthly P&amp;L and cash'!J11,0)</f>
        <v>0</v>
      </c>
      <c r="L12" s="10">
        <f>MAX('Haq — Monthly P&amp;L and cash'!L11-'Haq — Monthly P&amp;L and cash'!K11,0)</f>
        <v>0</v>
      </c>
      <c r="M12" s="10">
        <f>MAX('Haq — Monthly P&amp;L and cash'!M11-'Haq — Monthly P&amp;L and cash'!L11,0)</f>
        <v>1</v>
      </c>
      <c r="N12" s="10">
        <f>MAX('Haq — Monthly P&amp;L and cash'!N11-'Haq — Monthly P&amp;L and cash'!M11,0)</f>
        <v>0</v>
      </c>
      <c r="O12" s="10">
        <f>MAX('Haq — Monthly P&amp;L and cash'!O11-'Haq — Monthly P&amp;L and cash'!N11,0)</f>
        <v>0</v>
      </c>
      <c r="P12" s="10">
        <f>MAX('Haq — Monthly P&amp;L and cash'!P11-'Haq — Monthly P&amp;L and cash'!O11,0)</f>
        <v>1</v>
      </c>
      <c r="Q12" s="10">
        <f>MAX('Haq — Monthly P&amp;L and cash'!Q11-'Haq — Monthly P&amp;L and cash'!P11,0)</f>
        <v>0</v>
      </c>
      <c r="R12" s="10">
        <f>MAX('Haq — Monthly P&amp;L and cash'!R11-'Haq — Monthly P&amp;L and cash'!Q11,0)</f>
        <v>0</v>
      </c>
      <c r="S12" s="10">
        <f>MAX('Haq — Monthly P&amp;L and cash'!S11-'Haq — Monthly P&amp;L and cash'!R11,0)</f>
        <v>1</v>
      </c>
      <c r="T12" s="10">
        <f>MAX('Haq — Monthly P&amp;L and cash'!T11-'Haq — Monthly P&amp;L and cash'!S11,0)</f>
        <v>0</v>
      </c>
      <c r="U12" s="10">
        <f>MAX('Haq — Monthly P&amp;L and cash'!U11-'Haq — Monthly P&amp;L and cash'!T11,0)</f>
        <v>0</v>
      </c>
      <c r="V12" s="10">
        <f>MAX('Haq — Monthly P&amp;L and cash'!V11-'Haq — Monthly P&amp;L and cash'!U11,0)</f>
        <v>1</v>
      </c>
      <c r="W12" s="10">
        <f>MAX('Haq — Monthly P&amp;L and cash'!W11-'Haq — Monthly P&amp;L and cash'!V11,0)</f>
        <v>0</v>
      </c>
      <c r="X12" s="10">
        <f>MAX('Haq — Monthly P&amp;L and cash'!X11-'Haq — Monthly P&amp;L and cash'!W11,0)</f>
        <v>1</v>
      </c>
      <c r="Y12" s="10">
        <f>MAX('Haq — Monthly P&amp;L and cash'!Y11-'Haq — Monthly P&amp;L and cash'!X11,0)</f>
        <v>1</v>
      </c>
    </row>
    <row r="13">
      <c r="A13" t="inlineStr" s="8">
        <is>
          <t xml:space="preserve">Haq CSR checks</t>
        </is>
      </c>
      <c r="B13" s="10">
        <f>'Haq — Monthly P&amp;L and cash'!B11*'Model inputs'!AJ45/12</f>
        <v>0</v>
      </c>
      <c r="C13" s="10">
        <f>'Haq — Monthly P&amp;L and cash'!C11*'Model inputs'!AJ45/12</f>
        <v>0</v>
      </c>
      <c r="D13" s="10">
        <f>'Haq — Monthly P&amp;L and cash'!D11*'Model inputs'!AJ45/12</f>
        <v>0</v>
      </c>
      <c r="E13" s="10">
        <f>'Haq — Monthly P&amp;L and cash'!E11*'Model inputs'!AJ45/12</f>
        <v>0</v>
      </c>
      <c r="F13" s="10">
        <f>'Haq — Monthly P&amp;L and cash'!F11*'Model inputs'!AJ45/12</f>
        <v>0</v>
      </c>
      <c r="G13" s="10">
        <f>'Haq — Monthly P&amp;L and cash'!G11*'Model inputs'!AJ45/12</f>
        <v>2083.333333333333</v>
      </c>
      <c r="H13" s="10">
        <f>'Haq — Monthly P&amp;L and cash'!H11*'Model inputs'!AJ45/12</f>
        <v>2083.333333333333</v>
      </c>
      <c r="I13" s="10">
        <f>'Haq — Monthly P&amp;L and cash'!I11*'Model inputs'!AJ45/12</f>
        <v>2083.333333333333</v>
      </c>
      <c r="J13" s="10">
        <f>'Haq — Monthly P&amp;L and cash'!J11*'Model inputs'!AJ45/12</f>
        <v>4166.666666666666</v>
      </c>
      <c r="K13" s="10">
        <f>'Haq — Monthly P&amp;L and cash'!K11*'Model inputs'!AJ45/12</f>
        <v>4166.666666666666</v>
      </c>
      <c r="L13" s="10">
        <f>'Haq — Monthly P&amp;L and cash'!L11*'Model inputs'!AJ45/12</f>
        <v>4166.666666666666</v>
      </c>
      <c r="M13" s="10">
        <f>'Haq — Monthly P&amp;L and cash'!M11*'Model inputs'!AJ45/12</f>
        <v>6250</v>
      </c>
      <c r="N13" s="10">
        <f>'Haq — Monthly P&amp;L and cash'!N11*'Model inputs'!AJ45/12</f>
        <v>6250</v>
      </c>
      <c r="O13" s="10">
        <f>'Haq — Monthly P&amp;L and cash'!O11*'Model inputs'!AJ45/12</f>
        <v>6250</v>
      </c>
      <c r="P13" s="10">
        <f>'Haq — Monthly P&amp;L and cash'!P11*'Model inputs'!AJ45/12</f>
        <v>8333.333333333332</v>
      </c>
      <c r="Q13" s="10">
        <f>'Haq — Monthly P&amp;L and cash'!Q11*'Model inputs'!AJ45/12</f>
        <v>8333.333333333332</v>
      </c>
      <c r="R13" s="10">
        <f>'Haq — Monthly P&amp;L and cash'!R11*'Model inputs'!AJ45/12</f>
        <v>8333.333333333332</v>
      </c>
      <c r="S13" s="10">
        <f>'Haq — Monthly P&amp;L and cash'!S11*'Model inputs'!AJ45/12</f>
        <v>10416.666666666666</v>
      </c>
      <c r="T13" s="10">
        <f>'Haq — Monthly P&amp;L and cash'!T11*'Model inputs'!AJ45/12</f>
        <v>10416.666666666666</v>
      </c>
      <c r="U13" s="10">
        <f>'Haq — Monthly P&amp;L and cash'!U11*'Model inputs'!AJ45/12</f>
        <v>10416.666666666666</v>
      </c>
      <c r="V13" s="10">
        <f>'Haq — Monthly P&amp;L and cash'!V11*'Model inputs'!AJ45/12</f>
        <v>12500</v>
      </c>
      <c r="W13" s="10">
        <f>'Haq — Monthly P&amp;L and cash'!W11*'Model inputs'!AJ45/12</f>
        <v>12500</v>
      </c>
      <c r="X13" s="10">
        <f>'Haq — Monthly P&amp;L and cash'!X11*'Model inputs'!AJ45/12</f>
        <v>14583.333333333332</v>
      </c>
      <c r="Y13" s="10">
        <f>'Haq — Monthly P&amp;L and cash'!Y11*'Model inputs'!AJ45/12</f>
        <v>16666.666666666664</v>
      </c>
    </row>
    <row r="14">
      <c r="A14" t="inlineStr" s="8">
        <is>
          <t xml:space="preserve">Haq CSR revenue</t>
        </is>
      </c>
      <c r="B14" s="9">
        <f>'Haq — Monthly P&amp;L and cash'!B11*'Model inputs'!AJ44/12</f>
        <v>0</v>
      </c>
      <c r="C14" s="9">
        <f>'Haq — Monthly P&amp;L and cash'!C11*'Model inputs'!AJ44/12</f>
        <v>0</v>
      </c>
      <c r="D14" s="9">
        <f>'Haq — Monthly P&amp;L and cash'!D11*'Model inputs'!AJ44/12</f>
        <v>0</v>
      </c>
      <c r="E14" s="9">
        <f>'Haq — Monthly P&amp;L and cash'!E11*'Model inputs'!AJ44/12</f>
        <v>0</v>
      </c>
      <c r="F14" s="9">
        <f>'Haq — Monthly P&amp;L and cash'!F11*'Model inputs'!AJ44/12</f>
        <v>0</v>
      </c>
      <c r="G14" s="9">
        <f>'Haq — Monthly P&amp;L and cash'!G11*'Model inputs'!AJ44/12</f>
        <v>41666.666666666664</v>
      </c>
      <c r="H14" s="9">
        <f>'Haq — Monthly P&amp;L and cash'!H11*'Model inputs'!AJ44/12</f>
        <v>41666.666666666664</v>
      </c>
      <c r="I14" s="9">
        <f>'Haq — Monthly P&amp;L and cash'!I11*'Model inputs'!AJ44/12</f>
        <v>41666.666666666664</v>
      </c>
      <c r="J14" s="9">
        <f>'Haq — Monthly P&amp;L and cash'!J11*'Model inputs'!AJ44/12</f>
        <v>83333.33333333333</v>
      </c>
      <c r="K14" s="9">
        <f>'Haq — Monthly P&amp;L and cash'!K11*'Model inputs'!AJ44/12</f>
        <v>83333.33333333333</v>
      </c>
      <c r="L14" s="9">
        <f>'Haq — Monthly P&amp;L and cash'!L11*'Model inputs'!AJ44/12</f>
        <v>83333.33333333333</v>
      </c>
      <c r="M14" s="9">
        <f>'Haq — Monthly P&amp;L and cash'!M11*'Model inputs'!AJ44/12</f>
        <v>125000</v>
      </c>
      <c r="N14" s="9">
        <f>'Haq — Monthly P&amp;L and cash'!N11*'Model inputs'!AJ44/12</f>
        <v>125000</v>
      </c>
      <c r="O14" s="9">
        <f>'Haq — Monthly P&amp;L and cash'!O11*'Model inputs'!AJ44/12</f>
        <v>125000</v>
      </c>
      <c r="P14" s="9">
        <f>'Haq — Monthly P&amp;L and cash'!P11*'Model inputs'!AJ44/12</f>
        <v>166666.66666666666</v>
      </c>
      <c r="Q14" s="9">
        <f>'Haq — Monthly P&amp;L and cash'!Q11*'Model inputs'!AJ44/12</f>
        <v>166666.66666666666</v>
      </c>
      <c r="R14" s="9">
        <f>'Haq — Monthly P&amp;L and cash'!R11*'Model inputs'!AJ44/12</f>
        <v>166666.66666666666</v>
      </c>
      <c r="S14" s="9">
        <f>'Haq — Monthly P&amp;L and cash'!S11*'Model inputs'!AJ44/12</f>
        <v>208333.3333333333</v>
      </c>
      <c r="T14" s="9">
        <f>'Haq — Monthly P&amp;L and cash'!T11*'Model inputs'!AJ44/12</f>
        <v>208333.3333333333</v>
      </c>
      <c r="U14" s="9">
        <f>'Haq — Monthly P&amp;L and cash'!U11*'Model inputs'!AJ44/12</f>
        <v>208333.3333333333</v>
      </c>
      <c r="V14" s="9">
        <f>'Haq — Monthly P&amp;L and cash'!V11*'Model inputs'!AJ44/12</f>
        <v>250000</v>
      </c>
      <c r="W14" s="9">
        <f>'Haq — Monthly P&amp;L and cash'!W11*'Model inputs'!AJ44/12</f>
        <v>250000</v>
      </c>
      <c r="X14" s="9">
        <f>'Haq — Monthly P&amp;L and cash'!X11*'Model inputs'!AJ44/12</f>
        <v>291666.6666666666</v>
      </c>
      <c r="Y14" s="9">
        <f>'Haq — Monthly P&amp;L and cash'!Y11*'Model inputs'!AJ44/12</f>
        <v>333333.3333333333</v>
      </c>
    </row>
    <row r="15">
      <c r="A15" t="inlineStr" s="8">
        <is>
          <t xml:space="preserve">Haq CSR receipts</t>
        </is>
      </c>
      <c r="B15" s="9">
        <f>'Haq — Monthly P&amp;L and cash'!B12*'Model inputs'!AJ44+0*'Model inputs'!AJ33</f>
        <v>0</v>
      </c>
      <c r="C15" s="9">
        <f>'Haq — Monthly P&amp;L and cash'!C12*'Model inputs'!AJ44+0*'Model inputs'!AJ33</f>
        <v>0</v>
      </c>
      <c r="D15" s="9">
        <f>'Haq — Monthly P&amp;L and cash'!D12*'Model inputs'!AJ44+'Model inputs'!AB19*'Model inputs'!AJ33</f>
        <v>0</v>
      </c>
      <c r="E15" s="9">
        <f>'Haq — Monthly P&amp;L and cash'!E12*'Model inputs'!AJ44+'Model inputs'!AC19*'Model inputs'!AJ33</f>
        <v>0</v>
      </c>
      <c r="F15" s="9">
        <f>'Haq — Monthly P&amp;L and cash'!F12*'Model inputs'!AJ44+'Model inputs'!AD19*'Model inputs'!AJ33</f>
        <v>0</v>
      </c>
      <c r="G15" s="9">
        <f>'Haq — Monthly P&amp;L and cash'!G12*'Model inputs'!AJ44+'Model inputs'!AE19*'Model inputs'!AJ33</f>
        <v>500000</v>
      </c>
      <c r="H15" s="9">
        <f>'Haq — Monthly P&amp;L and cash'!H12*'Model inputs'!AJ44+'Model inputs'!AF19*'Model inputs'!AJ33</f>
        <v>0</v>
      </c>
      <c r="I15" s="9">
        <f>'Haq — Monthly P&amp;L and cash'!I12*'Model inputs'!AJ44+'Model inputs'!AG19*'Model inputs'!AJ33</f>
        <v>0</v>
      </c>
      <c r="J15" s="9">
        <f>'Haq — Monthly P&amp;L and cash'!J12*'Model inputs'!AJ44+'Model inputs'!AH19*'Model inputs'!AJ33</f>
        <v>500000</v>
      </c>
      <c r="K15" s="9">
        <f>'Haq — Monthly P&amp;L and cash'!K12*'Model inputs'!AJ44+'Model inputs'!AI19*'Model inputs'!AJ33</f>
        <v>0</v>
      </c>
      <c r="L15" s="9">
        <f>'Haq — Monthly P&amp;L and cash'!L12*'Model inputs'!AJ44+'Model inputs'!B19*'Model inputs'!AJ33</f>
        <v>0</v>
      </c>
      <c r="M15" s="9">
        <f>'Haq — Monthly P&amp;L and cash'!M12*'Model inputs'!AJ44+'Model inputs'!C19*'Model inputs'!AJ33</f>
        <v>500000</v>
      </c>
      <c r="N15" s="9">
        <f>'Haq — Monthly P&amp;L and cash'!N12*'Model inputs'!AJ44+'Haq — Monthly P&amp;L and cash'!B15*'Model inputs'!AJ33</f>
        <v>0</v>
      </c>
      <c r="O15" s="9">
        <f>'Haq — Monthly P&amp;L and cash'!O12*'Model inputs'!AJ44+'Haq — Monthly P&amp;L and cash'!C15*'Model inputs'!AJ33</f>
        <v>0</v>
      </c>
      <c r="P15" s="9">
        <f>'Haq — Monthly P&amp;L and cash'!P12*'Model inputs'!AJ44+'Haq — Monthly P&amp;L and cash'!D15*'Model inputs'!AJ33</f>
        <v>500000</v>
      </c>
      <c r="Q15" s="9">
        <f>'Haq — Monthly P&amp;L and cash'!Q12*'Model inputs'!AJ44+'Haq — Monthly P&amp;L and cash'!E15*'Model inputs'!AJ33</f>
        <v>0</v>
      </c>
      <c r="R15" s="9">
        <f>'Haq — Monthly P&amp;L and cash'!R12*'Model inputs'!AJ44+'Haq — Monthly P&amp;L and cash'!F15*'Model inputs'!AJ33</f>
        <v>0</v>
      </c>
      <c r="S15" s="9">
        <f>'Haq — Monthly P&amp;L and cash'!S12*'Model inputs'!AJ44+'Haq — Monthly P&amp;L and cash'!G15*'Model inputs'!AJ33</f>
        <v>1000000</v>
      </c>
      <c r="T15" s="9">
        <f>'Haq — Monthly P&amp;L and cash'!T12*'Model inputs'!AJ44+'Haq — Monthly P&amp;L and cash'!H15*'Model inputs'!AJ33</f>
        <v>0</v>
      </c>
      <c r="U15" s="9">
        <f>'Haq — Monthly P&amp;L and cash'!U12*'Model inputs'!AJ44+'Haq — Monthly P&amp;L and cash'!I15*'Model inputs'!AJ33</f>
        <v>0</v>
      </c>
      <c r="V15" s="9">
        <f>'Haq — Monthly P&amp;L and cash'!V12*'Model inputs'!AJ44+'Haq — Monthly P&amp;L and cash'!J15*'Model inputs'!AJ33</f>
        <v>1000000</v>
      </c>
      <c r="W15" s="9">
        <f>'Haq — Monthly P&amp;L and cash'!W12*'Model inputs'!AJ44+'Haq — Monthly P&amp;L and cash'!K15*'Model inputs'!AJ33</f>
        <v>0</v>
      </c>
      <c r="X15" s="9">
        <f>'Haq — Monthly P&amp;L and cash'!X12*'Model inputs'!AJ44+'Haq — Monthly P&amp;L and cash'!L15*'Model inputs'!AJ33</f>
        <v>500000</v>
      </c>
      <c r="Y15" s="9">
        <f>'Haq — Monthly P&amp;L and cash'!Y12*'Model inputs'!AJ44+'Haq — Monthly P&amp;L and cash'!M15*'Model inputs'!AJ33</f>
        <v>1000000</v>
      </c>
    </row>
    <row r="16">
      <c r="A16" t="inlineStr" s="8">
        <is>
          <t xml:space="preserve">Haq Employer workers</t>
        </is>
      </c>
      <c r="B16" s="10">
        <f>IF(IF(IF(ISERROR('Haq — Monthly P&amp;L and cash'!B5&gt;=24),'Haq — Monthly P&amp;L and cash'!B5&gt;=24,IF('Haq — Monthly P&amp;L and cash'!B5="","",'Haq — Monthly P&amp;L and cash'!B5&gt;=24))="",FALSE,IF(ISERROR('Haq — Monthly P&amp;L and cash'!B5&gt;=24),'Haq — Monthly P&amp;L and cash'!B5&gt;=24,IF('Haq — Monthly P&amp;L and cash'!B5="","",'Haq — Monthly P&amp;L and cash'!B5&gt;=24))),IF('Model inputs'!AJ69="","",'Model inputs'!AJ69),IF(IF(IF(ISERROR('Haq — Monthly P&amp;L and cash'!B5&gt;=18),'Haq — Monthly P&amp;L and cash'!B5&gt;=18,IF('Haq — Monthly P&amp;L and cash'!B5="","",'Haq — Monthly P&amp;L and cash'!B5&gt;=18))="",FALSE,IF(ISERROR('Haq — Monthly P&amp;L and cash'!B5&gt;=18),'Haq — Monthly P&amp;L and cash'!B5&gt;=18,IF('Haq — Monthly P&amp;L and cash'!B5="","",'Haq — Monthly P&amp;L and cash'!B5&gt;=18))),IF('Model inputs'!AJ68="","",'Model inputs'!AJ68),IF(IF(IF(ISERROR('Haq — Monthly P&amp;L and cash'!B5&gt;=12),'Haq — Monthly P&amp;L and cash'!B5&gt;=12,IF('Haq — Monthly P&amp;L and cash'!B5="","",'Haq — Monthly P&amp;L and cash'!B5&gt;=12))="",FALSE,IF(ISERROR('Haq — Monthly P&amp;L and cash'!B5&gt;=12),'Haq — Monthly P&amp;L and cash'!B5&gt;=12,IF('Haq — Monthly P&amp;L and cash'!B5="","",'Haq — Monthly P&amp;L and cash'!B5&gt;=12))),IF('Model inputs'!AJ67="","",'Model inputs'!AJ67),IF(IF(IF(ISERROR('Haq — Monthly P&amp;L and cash'!B5&gt;=9),'Haq — Monthly P&amp;L and cash'!B5&gt;=9,IF('Haq — Monthly P&amp;L and cash'!B5="","",'Haq — Monthly P&amp;L and cash'!B5&gt;=9))="",FALSE,IF(ISERROR('Haq — Monthly P&amp;L and cash'!B5&gt;=9),'Haq — Monthly P&amp;L and cash'!B5&gt;=9,IF('Haq — Monthly P&amp;L and cash'!B5="","",'Haq — Monthly P&amp;L and cash'!B5&gt;=9))),IF('Model inputs'!AJ70="","",'Model inputs'!AJ70),0))))</f>
        <v>0</v>
      </c>
      <c r="C16" s="10">
        <f>IF(IF(IF(ISERROR('Haq — Monthly P&amp;L and cash'!C5&gt;=24),'Haq — Monthly P&amp;L and cash'!C5&gt;=24,IF('Haq — Monthly P&amp;L and cash'!C5="","",'Haq — Monthly P&amp;L and cash'!C5&gt;=24))="",FALSE,IF(ISERROR('Haq — Monthly P&amp;L and cash'!C5&gt;=24),'Haq — Monthly P&amp;L and cash'!C5&gt;=24,IF('Haq — Monthly P&amp;L and cash'!C5="","",'Haq — Monthly P&amp;L and cash'!C5&gt;=24))),IF('Model inputs'!AJ69="","",'Model inputs'!AJ69),IF(IF(IF(ISERROR('Haq — Monthly P&amp;L and cash'!C5&gt;=18),'Haq — Monthly P&amp;L and cash'!C5&gt;=18,IF('Haq — Monthly P&amp;L and cash'!C5="","",'Haq — Monthly P&amp;L and cash'!C5&gt;=18))="",FALSE,IF(ISERROR('Haq — Monthly P&amp;L and cash'!C5&gt;=18),'Haq — Monthly P&amp;L and cash'!C5&gt;=18,IF('Haq — Monthly P&amp;L and cash'!C5="","",'Haq — Monthly P&amp;L and cash'!C5&gt;=18))),IF('Model inputs'!AJ68="","",'Model inputs'!AJ68),IF(IF(IF(ISERROR('Haq — Monthly P&amp;L and cash'!C5&gt;=12),'Haq — Monthly P&amp;L and cash'!C5&gt;=12,IF('Haq — Monthly P&amp;L and cash'!C5="","",'Haq — Monthly P&amp;L and cash'!C5&gt;=12))="",FALSE,IF(ISERROR('Haq — Monthly P&amp;L and cash'!C5&gt;=12),'Haq — Monthly P&amp;L and cash'!C5&gt;=12,IF('Haq — Monthly P&amp;L and cash'!C5="","",'Haq — Monthly P&amp;L and cash'!C5&gt;=12))),IF('Model inputs'!AJ67="","",'Model inputs'!AJ67),IF(IF(IF(ISERROR('Haq — Monthly P&amp;L and cash'!C5&gt;=9),'Haq — Monthly P&amp;L and cash'!C5&gt;=9,IF('Haq — Monthly P&amp;L and cash'!C5="","",'Haq — Monthly P&amp;L and cash'!C5&gt;=9))="",FALSE,IF(ISERROR('Haq — Monthly P&amp;L and cash'!C5&gt;=9),'Haq — Monthly P&amp;L and cash'!C5&gt;=9,IF('Haq — Monthly P&amp;L and cash'!C5="","",'Haq — Monthly P&amp;L and cash'!C5&gt;=9))),IF('Model inputs'!AJ70="","",'Model inputs'!AJ70),0))))</f>
        <v>0</v>
      </c>
      <c r="D16" s="10">
        <f>IF(IF(IF(ISERROR('Haq — Monthly P&amp;L and cash'!D5&gt;=24),'Haq — Monthly P&amp;L and cash'!D5&gt;=24,IF('Haq — Monthly P&amp;L and cash'!D5="","",'Haq — Monthly P&amp;L and cash'!D5&gt;=24))="",FALSE,IF(ISERROR('Haq — Monthly P&amp;L and cash'!D5&gt;=24),'Haq — Monthly P&amp;L and cash'!D5&gt;=24,IF('Haq — Monthly P&amp;L and cash'!D5="","",'Haq — Monthly P&amp;L and cash'!D5&gt;=24))),IF('Model inputs'!AJ69="","",'Model inputs'!AJ69),IF(IF(IF(ISERROR('Haq — Monthly P&amp;L and cash'!D5&gt;=18),'Haq — Monthly P&amp;L and cash'!D5&gt;=18,IF('Haq — Monthly P&amp;L and cash'!D5="","",'Haq — Monthly P&amp;L and cash'!D5&gt;=18))="",FALSE,IF(ISERROR('Haq — Monthly P&amp;L and cash'!D5&gt;=18),'Haq — Monthly P&amp;L and cash'!D5&gt;=18,IF('Haq — Monthly P&amp;L and cash'!D5="","",'Haq — Monthly P&amp;L and cash'!D5&gt;=18))),IF('Model inputs'!AJ68="","",'Model inputs'!AJ68),IF(IF(IF(ISERROR('Haq — Monthly P&amp;L and cash'!D5&gt;=12),'Haq — Monthly P&amp;L and cash'!D5&gt;=12,IF('Haq — Monthly P&amp;L and cash'!D5="","",'Haq — Monthly P&amp;L and cash'!D5&gt;=12))="",FALSE,IF(ISERROR('Haq — Monthly P&amp;L and cash'!D5&gt;=12),'Haq — Monthly P&amp;L and cash'!D5&gt;=12,IF('Haq — Monthly P&amp;L and cash'!D5="","",'Haq — Monthly P&amp;L and cash'!D5&gt;=12))),IF('Model inputs'!AJ67="","",'Model inputs'!AJ67),IF(IF(IF(ISERROR('Haq — Monthly P&amp;L and cash'!D5&gt;=9),'Haq — Monthly P&amp;L and cash'!D5&gt;=9,IF('Haq — Monthly P&amp;L and cash'!D5="","",'Haq — Monthly P&amp;L and cash'!D5&gt;=9))="",FALSE,IF(ISERROR('Haq — Monthly P&amp;L and cash'!D5&gt;=9),'Haq — Monthly P&amp;L and cash'!D5&gt;=9,IF('Haq — Monthly P&amp;L and cash'!D5="","",'Haq — Monthly P&amp;L and cash'!D5&gt;=9))),IF('Model inputs'!AJ70="","",'Model inputs'!AJ70),0))))</f>
        <v>0</v>
      </c>
      <c r="E16" s="10">
        <f>IF(IF(IF(ISERROR('Haq — Monthly P&amp;L and cash'!E5&gt;=24),'Haq — Monthly P&amp;L and cash'!E5&gt;=24,IF('Haq — Monthly P&amp;L and cash'!E5="","",'Haq — Monthly P&amp;L and cash'!E5&gt;=24))="",FALSE,IF(ISERROR('Haq — Monthly P&amp;L and cash'!E5&gt;=24),'Haq — Monthly P&amp;L and cash'!E5&gt;=24,IF('Haq — Monthly P&amp;L and cash'!E5="","",'Haq — Monthly P&amp;L and cash'!E5&gt;=24))),IF('Model inputs'!AJ69="","",'Model inputs'!AJ69),IF(IF(IF(ISERROR('Haq — Monthly P&amp;L and cash'!E5&gt;=18),'Haq — Monthly P&amp;L and cash'!E5&gt;=18,IF('Haq — Monthly P&amp;L and cash'!E5="","",'Haq — Monthly P&amp;L and cash'!E5&gt;=18))="",FALSE,IF(ISERROR('Haq — Monthly P&amp;L and cash'!E5&gt;=18),'Haq — Monthly P&amp;L and cash'!E5&gt;=18,IF('Haq — Monthly P&amp;L and cash'!E5="","",'Haq — Monthly P&amp;L and cash'!E5&gt;=18))),IF('Model inputs'!AJ68="","",'Model inputs'!AJ68),IF(IF(IF(ISERROR('Haq — Monthly P&amp;L and cash'!E5&gt;=12),'Haq — Monthly P&amp;L and cash'!E5&gt;=12,IF('Haq — Monthly P&amp;L and cash'!E5="","",'Haq — Monthly P&amp;L and cash'!E5&gt;=12))="",FALSE,IF(ISERROR('Haq — Monthly P&amp;L and cash'!E5&gt;=12),'Haq — Monthly P&amp;L and cash'!E5&gt;=12,IF('Haq — Monthly P&amp;L and cash'!E5="","",'Haq — Monthly P&amp;L and cash'!E5&gt;=12))),IF('Model inputs'!AJ67="","",'Model inputs'!AJ67),IF(IF(IF(ISERROR('Haq — Monthly P&amp;L and cash'!E5&gt;=9),'Haq — Monthly P&amp;L and cash'!E5&gt;=9,IF('Haq — Monthly P&amp;L and cash'!E5="","",'Haq — Monthly P&amp;L and cash'!E5&gt;=9))="",FALSE,IF(ISERROR('Haq — Monthly P&amp;L and cash'!E5&gt;=9),'Haq — Monthly P&amp;L and cash'!E5&gt;=9,IF('Haq — Monthly P&amp;L and cash'!E5="","",'Haq — Monthly P&amp;L and cash'!E5&gt;=9))),IF('Model inputs'!AJ70="","",'Model inputs'!AJ70),0))))</f>
        <v>0</v>
      </c>
      <c r="F16" s="10">
        <f>IF(IF(IF(ISERROR('Haq — Monthly P&amp;L and cash'!F5&gt;=24),'Haq — Monthly P&amp;L and cash'!F5&gt;=24,IF('Haq — Monthly P&amp;L and cash'!F5="","",'Haq — Monthly P&amp;L and cash'!F5&gt;=24))="",FALSE,IF(ISERROR('Haq — Monthly P&amp;L and cash'!F5&gt;=24),'Haq — Monthly P&amp;L and cash'!F5&gt;=24,IF('Haq — Monthly P&amp;L and cash'!F5="","",'Haq — Monthly P&amp;L and cash'!F5&gt;=24))),IF('Model inputs'!AJ69="","",'Model inputs'!AJ69),IF(IF(IF(ISERROR('Haq — Monthly P&amp;L and cash'!F5&gt;=18),'Haq — Monthly P&amp;L and cash'!F5&gt;=18,IF('Haq — Monthly P&amp;L and cash'!F5="","",'Haq — Monthly P&amp;L and cash'!F5&gt;=18))="",FALSE,IF(ISERROR('Haq — Monthly P&amp;L and cash'!F5&gt;=18),'Haq — Monthly P&amp;L and cash'!F5&gt;=18,IF('Haq — Monthly P&amp;L and cash'!F5="","",'Haq — Monthly P&amp;L and cash'!F5&gt;=18))),IF('Model inputs'!AJ68="","",'Model inputs'!AJ68),IF(IF(IF(ISERROR('Haq — Monthly P&amp;L and cash'!F5&gt;=12),'Haq — Monthly P&amp;L and cash'!F5&gt;=12,IF('Haq — Monthly P&amp;L and cash'!F5="","",'Haq — Monthly P&amp;L and cash'!F5&gt;=12))="",FALSE,IF(ISERROR('Haq — Monthly P&amp;L and cash'!F5&gt;=12),'Haq — Monthly P&amp;L and cash'!F5&gt;=12,IF('Haq — Monthly P&amp;L and cash'!F5="","",'Haq — Monthly P&amp;L and cash'!F5&gt;=12))),IF('Model inputs'!AJ67="","",'Model inputs'!AJ67),IF(IF(IF(ISERROR('Haq — Monthly P&amp;L and cash'!F5&gt;=9),'Haq — Monthly P&amp;L and cash'!F5&gt;=9,IF('Haq — Monthly P&amp;L and cash'!F5="","",'Haq — Monthly P&amp;L and cash'!F5&gt;=9))="",FALSE,IF(ISERROR('Haq — Monthly P&amp;L and cash'!F5&gt;=9),'Haq — Monthly P&amp;L and cash'!F5&gt;=9,IF('Haq — Monthly P&amp;L and cash'!F5="","",'Haq — Monthly P&amp;L and cash'!F5&gt;=9))),IF('Model inputs'!AJ70="","",'Model inputs'!AJ70),0))))</f>
        <v>0</v>
      </c>
      <c r="G16" s="10">
        <f>IF(IF(IF(ISERROR('Haq — Monthly P&amp;L and cash'!G5&gt;=24),'Haq — Monthly P&amp;L and cash'!G5&gt;=24,IF('Haq — Monthly P&amp;L and cash'!G5="","",'Haq — Monthly P&amp;L and cash'!G5&gt;=24))="",FALSE,IF(ISERROR('Haq — Monthly P&amp;L and cash'!G5&gt;=24),'Haq — Monthly P&amp;L and cash'!G5&gt;=24,IF('Haq — Monthly P&amp;L and cash'!G5="","",'Haq — Monthly P&amp;L and cash'!G5&gt;=24))),IF('Model inputs'!AJ69="","",'Model inputs'!AJ69),IF(IF(IF(ISERROR('Haq — Monthly P&amp;L and cash'!G5&gt;=18),'Haq — Monthly P&amp;L and cash'!G5&gt;=18,IF('Haq — Monthly P&amp;L and cash'!G5="","",'Haq — Monthly P&amp;L and cash'!G5&gt;=18))="",FALSE,IF(ISERROR('Haq — Monthly P&amp;L and cash'!G5&gt;=18),'Haq — Monthly P&amp;L and cash'!G5&gt;=18,IF('Haq — Monthly P&amp;L and cash'!G5="","",'Haq — Monthly P&amp;L and cash'!G5&gt;=18))),IF('Model inputs'!AJ68="","",'Model inputs'!AJ68),IF(IF(IF(ISERROR('Haq — Monthly P&amp;L and cash'!G5&gt;=12),'Haq — Monthly P&amp;L and cash'!G5&gt;=12,IF('Haq — Monthly P&amp;L and cash'!G5="","",'Haq — Monthly P&amp;L and cash'!G5&gt;=12))="",FALSE,IF(ISERROR('Haq — Monthly P&amp;L and cash'!G5&gt;=12),'Haq — Monthly P&amp;L and cash'!G5&gt;=12,IF('Haq — Monthly P&amp;L and cash'!G5="","",'Haq — Monthly P&amp;L and cash'!G5&gt;=12))),IF('Model inputs'!AJ67="","",'Model inputs'!AJ67),IF(IF(IF(ISERROR('Haq — Monthly P&amp;L and cash'!G5&gt;=9),'Haq — Monthly P&amp;L and cash'!G5&gt;=9,IF('Haq — Monthly P&amp;L and cash'!G5="","",'Haq — Monthly P&amp;L and cash'!G5&gt;=9))="",FALSE,IF(ISERROR('Haq — Monthly P&amp;L and cash'!G5&gt;=9),'Haq — Monthly P&amp;L and cash'!G5&gt;=9,IF('Haq — Monthly P&amp;L and cash'!G5="","",'Haq — Monthly P&amp;L and cash'!G5&gt;=9))),IF('Model inputs'!AJ70="","",'Model inputs'!AJ70),0))))</f>
        <v>0</v>
      </c>
      <c r="H16" s="10">
        <f>IF(IF(IF(ISERROR('Haq — Monthly P&amp;L and cash'!H5&gt;=24),'Haq — Monthly P&amp;L and cash'!H5&gt;=24,IF('Haq — Monthly P&amp;L and cash'!H5="","",'Haq — Monthly P&amp;L and cash'!H5&gt;=24))="",FALSE,IF(ISERROR('Haq — Monthly P&amp;L and cash'!H5&gt;=24),'Haq — Monthly P&amp;L and cash'!H5&gt;=24,IF('Haq — Monthly P&amp;L and cash'!H5="","",'Haq — Monthly P&amp;L and cash'!H5&gt;=24))),IF('Model inputs'!AJ69="","",'Model inputs'!AJ69),IF(IF(IF(ISERROR('Haq — Monthly P&amp;L and cash'!H5&gt;=18),'Haq — Monthly P&amp;L and cash'!H5&gt;=18,IF('Haq — Monthly P&amp;L and cash'!H5="","",'Haq — Monthly P&amp;L and cash'!H5&gt;=18))="",FALSE,IF(ISERROR('Haq — Monthly P&amp;L and cash'!H5&gt;=18),'Haq — Monthly P&amp;L and cash'!H5&gt;=18,IF('Haq — Monthly P&amp;L and cash'!H5="","",'Haq — Monthly P&amp;L and cash'!H5&gt;=18))),IF('Model inputs'!AJ68="","",'Model inputs'!AJ68),IF(IF(IF(ISERROR('Haq — Monthly P&amp;L and cash'!H5&gt;=12),'Haq — Monthly P&amp;L and cash'!H5&gt;=12,IF('Haq — Monthly P&amp;L and cash'!H5="","",'Haq — Monthly P&amp;L and cash'!H5&gt;=12))="",FALSE,IF(ISERROR('Haq — Monthly P&amp;L and cash'!H5&gt;=12),'Haq — Monthly P&amp;L and cash'!H5&gt;=12,IF('Haq — Monthly P&amp;L and cash'!H5="","",'Haq — Monthly P&amp;L and cash'!H5&gt;=12))),IF('Model inputs'!AJ67="","",'Model inputs'!AJ67),IF(IF(IF(ISERROR('Haq — Monthly P&amp;L and cash'!H5&gt;=9),'Haq — Monthly P&amp;L and cash'!H5&gt;=9,IF('Haq — Monthly P&amp;L and cash'!H5="","",'Haq — Monthly P&amp;L and cash'!H5&gt;=9))="",FALSE,IF(ISERROR('Haq — Monthly P&amp;L and cash'!H5&gt;=9),'Haq — Monthly P&amp;L and cash'!H5&gt;=9,IF('Haq — Monthly P&amp;L and cash'!H5="","",'Haq — Monthly P&amp;L and cash'!H5&gt;=9))),IF('Model inputs'!AJ70="","",'Model inputs'!AJ70),0))))</f>
        <v>0</v>
      </c>
      <c r="I16" s="10">
        <f>IF(IF(IF(ISERROR('Haq — Monthly P&amp;L and cash'!I5&gt;=24),'Haq — Monthly P&amp;L and cash'!I5&gt;=24,IF('Haq — Monthly P&amp;L and cash'!I5="","",'Haq — Monthly P&amp;L and cash'!I5&gt;=24))="",FALSE,IF(ISERROR('Haq — Monthly P&amp;L and cash'!I5&gt;=24),'Haq — Monthly P&amp;L and cash'!I5&gt;=24,IF('Haq — Monthly P&amp;L and cash'!I5="","",'Haq — Monthly P&amp;L and cash'!I5&gt;=24))),IF('Model inputs'!AJ69="","",'Model inputs'!AJ69),IF(IF(IF(ISERROR('Haq — Monthly P&amp;L and cash'!I5&gt;=18),'Haq — Monthly P&amp;L and cash'!I5&gt;=18,IF('Haq — Monthly P&amp;L and cash'!I5="","",'Haq — Monthly P&amp;L and cash'!I5&gt;=18))="",FALSE,IF(ISERROR('Haq — Monthly P&amp;L and cash'!I5&gt;=18),'Haq — Monthly P&amp;L and cash'!I5&gt;=18,IF('Haq — Monthly P&amp;L and cash'!I5="","",'Haq — Monthly P&amp;L and cash'!I5&gt;=18))),IF('Model inputs'!AJ68="","",'Model inputs'!AJ68),IF(IF(IF(ISERROR('Haq — Monthly P&amp;L and cash'!I5&gt;=12),'Haq — Monthly P&amp;L and cash'!I5&gt;=12,IF('Haq — Monthly P&amp;L and cash'!I5="","",'Haq — Monthly P&amp;L and cash'!I5&gt;=12))="",FALSE,IF(ISERROR('Haq — Monthly P&amp;L and cash'!I5&gt;=12),'Haq — Monthly P&amp;L and cash'!I5&gt;=12,IF('Haq — Monthly P&amp;L and cash'!I5="","",'Haq — Monthly P&amp;L and cash'!I5&gt;=12))),IF('Model inputs'!AJ67="","",'Model inputs'!AJ67),IF(IF(IF(ISERROR('Haq — Monthly P&amp;L and cash'!I5&gt;=9),'Haq — Monthly P&amp;L and cash'!I5&gt;=9,IF('Haq — Monthly P&amp;L and cash'!I5="","",'Haq — Monthly P&amp;L and cash'!I5&gt;=9))="",FALSE,IF(ISERROR('Haq — Monthly P&amp;L and cash'!I5&gt;=9),'Haq — Monthly P&amp;L and cash'!I5&gt;=9,IF('Haq — Monthly P&amp;L and cash'!I5="","",'Haq — Monthly P&amp;L and cash'!I5&gt;=9))),IF('Model inputs'!AJ70="","",'Model inputs'!AJ70),0))))</f>
        <v>0</v>
      </c>
      <c r="J16" s="10">
        <f>IF(IF(IF(ISERROR('Haq — Monthly P&amp;L and cash'!J5&gt;=24),'Haq — Monthly P&amp;L and cash'!J5&gt;=24,IF('Haq — Monthly P&amp;L and cash'!J5="","",'Haq — Monthly P&amp;L and cash'!J5&gt;=24))="",FALSE,IF(ISERROR('Haq — Monthly P&amp;L and cash'!J5&gt;=24),'Haq — Monthly P&amp;L and cash'!J5&gt;=24,IF('Haq — Monthly P&amp;L and cash'!J5="","",'Haq — Monthly P&amp;L and cash'!J5&gt;=24))),IF('Model inputs'!AJ69="","",'Model inputs'!AJ69),IF(IF(IF(ISERROR('Haq — Monthly P&amp;L and cash'!J5&gt;=18),'Haq — Monthly P&amp;L and cash'!J5&gt;=18,IF('Haq — Monthly P&amp;L and cash'!J5="","",'Haq — Monthly P&amp;L and cash'!J5&gt;=18))="",FALSE,IF(ISERROR('Haq — Monthly P&amp;L and cash'!J5&gt;=18),'Haq — Monthly P&amp;L and cash'!J5&gt;=18,IF('Haq — Monthly P&amp;L and cash'!J5="","",'Haq — Monthly P&amp;L and cash'!J5&gt;=18))),IF('Model inputs'!AJ68="","",'Model inputs'!AJ68),IF(IF(IF(ISERROR('Haq — Monthly P&amp;L and cash'!J5&gt;=12),'Haq — Monthly P&amp;L and cash'!J5&gt;=12,IF('Haq — Monthly P&amp;L and cash'!J5="","",'Haq — Monthly P&amp;L and cash'!J5&gt;=12))="",FALSE,IF(ISERROR('Haq — Monthly P&amp;L and cash'!J5&gt;=12),'Haq — Monthly P&amp;L and cash'!J5&gt;=12,IF('Haq — Monthly P&amp;L and cash'!J5="","",'Haq — Monthly P&amp;L and cash'!J5&gt;=12))),IF('Model inputs'!AJ67="","",'Model inputs'!AJ67),IF(IF(IF(ISERROR('Haq — Monthly P&amp;L and cash'!J5&gt;=9),'Haq — Monthly P&amp;L and cash'!J5&gt;=9,IF('Haq — Monthly P&amp;L and cash'!J5="","",'Haq — Monthly P&amp;L and cash'!J5&gt;=9))="",FALSE,IF(ISERROR('Haq — Monthly P&amp;L and cash'!J5&gt;=9),'Haq — Monthly P&amp;L and cash'!J5&gt;=9,IF('Haq — Monthly P&amp;L and cash'!J5="","",'Haq — Monthly P&amp;L and cash'!J5&gt;=9))),IF('Model inputs'!AJ70="","",'Model inputs'!AJ70),0))))</f>
        <v>10000</v>
      </c>
      <c r="K16" s="10">
        <f>IF(IF(IF(ISERROR('Haq — Monthly P&amp;L and cash'!K5&gt;=24),'Haq — Monthly P&amp;L and cash'!K5&gt;=24,IF('Haq — Monthly P&amp;L and cash'!K5="","",'Haq — Monthly P&amp;L and cash'!K5&gt;=24))="",FALSE,IF(ISERROR('Haq — Monthly P&amp;L and cash'!K5&gt;=24),'Haq — Monthly P&amp;L and cash'!K5&gt;=24,IF('Haq — Monthly P&amp;L and cash'!K5="","",'Haq — Monthly P&amp;L and cash'!K5&gt;=24))),IF('Model inputs'!AJ69="","",'Model inputs'!AJ69),IF(IF(IF(ISERROR('Haq — Monthly P&amp;L and cash'!K5&gt;=18),'Haq — Monthly P&amp;L and cash'!K5&gt;=18,IF('Haq — Monthly P&amp;L and cash'!K5="","",'Haq — Monthly P&amp;L and cash'!K5&gt;=18))="",FALSE,IF(ISERROR('Haq — Monthly P&amp;L and cash'!K5&gt;=18),'Haq — Monthly P&amp;L and cash'!K5&gt;=18,IF('Haq — Monthly P&amp;L and cash'!K5="","",'Haq — Monthly P&amp;L and cash'!K5&gt;=18))),IF('Model inputs'!AJ68="","",'Model inputs'!AJ68),IF(IF(IF(ISERROR('Haq — Monthly P&amp;L and cash'!K5&gt;=12),'Haq — Monthly P&amp;L and cash'!K5&gt;=12,IF('Haq — Monthly P&amp;L and cash'!K5="","",'Haq — Monthly P&amp;L and cash'!K5&gt;=12))="",FALSE,IF(ISERROR('Haq — Monthly P&amp;L and cash'!K5&gt;=12),'Haq — Monthly P&amp;L and cash'!K5&gt;=12,IF('Haq — Monthly P&amp;L and cash'!K5="","",'Haq — Monthly P&amp;L and cash'!K5&gt;=12))),IF('Model inputs'!AJ67="","",'Model inputs'!AJ67),IF(IF(IF(ISERROR('Haq — Monthly P&amp;L and cash'!K5&gt;=9),'Haq — Monthly P&amp;L and cash'!K5&gt;=9,IF('Haq — Monthly P&amp;L and cash'!K5="","",'Haq — Monthly P&amp;L and cash'!K5&gt;=9))="",FALSE,IF(ISERROR('Haq — Monthly P&amp;L and cash'!K5&gt;=9),'Haq — Monthly P&amp;L and cash'!K5&gt;=9,IF('Haq — Monthly P&amp;L and cash'!K5="","",'Haq — Monthly P&amp;L and cash'!K5&gt;=9))),IF('Model inputs'!AJ70="","",'Model inputs'!AJ70),0))))</f>
        <v>10000</v>
      </c>
      <c r="L16" s="10">
        <f>IF(IF(IF(ISERROR('Haq — Monthly P&amp;L and cash'!L5&gt;=24),'Haq — Monthly P&amp;L and cash'!L5&gt;=24,IF('Haq — Monthly P&amp;L and cash'!L5="","",'Haq — Monthly P&amp;L and cash'!L5&gt;=24))="",FALSE,IF(ISERROR('Haq — Monthly P&amp;L and cash'!L5&gt;=24),'Haq — Monthly P&amp;L and cash'!L5&gt;=24,IF('Haq — Monthly P&amp;L and cash'!L5="","",'Haq — Monthly P&amp;L and cash'!L5&gt;=24))),IF('Model inputs'!AJ69="","",'Model inputs'!AJ69),IF(IF(IF(ISERROR('Haq — Monthly P&amp;L and cash'!L5&gt;=18),'Haq — Monthly P&amp;L and cash'!L5&gt;=18,IF('Haq — Monthly P&amp;L and cash'!L5="","",'Haq — Monthly P&amp;L and cash'!L5&gt;=18))="",FALSE,IF(ISERROR('Haq — Monthly P&amp;L and cash'!L5&gt;=18),'Haq — Monthly P&amp;L and cash'!L5&gt;=18,IF('Haq — Monthly P&amp;L and cash'!L5="","",'Haq — Monthly P&amp;L and cash'!L5&gt;=18))),IF('Model inputs'!AJ68="","",'Model inputs'!AJ68),IF(IF(IF(ISERROR('Haq — Monthly P&amp;L and cash'!L5&gt;=12),'Haq — Monthly P&amp;L and cash'!L5&gt;=12,IF('Haq — Monthly P&amp;L and cash'!L5="","",'Haq — Monthly P&amp;L and cash'!L5&gt;=12))="",FALSE,IF(ISERROR('Haq — Monthly P&amp;L and cash'!L5&gt;=12),'Haq — Monthly P&amp;L and cash'!L5&gt;=12,IF('Haq — Monthly P&amp;L and cash'!L5="","",'Haq — Monthly P&amp;L and cash'!L5&gt;=12))),IF('Model inputs'!AJ67="","",'Model inputs'!AJ67),IF(IF(IF(ISERROR('Haq — Monthly P&amp;L and cash'!L5&gt;=9),'Haq — Monthly P&amp;L and cash'!L5&gt;=9,IF('Haq — Monthly P&amp;L and cash'!L5="","",'Haq — Monthly P&amp;L and cash'!L5&gt;=9))="",FALSE,IF(ISERROR('Haq — Monthly P&amp;L and cash'!L5&gt;=9),'Haq — Monthly P&amp;L and cash'!L5&gt;=9,IF('Haq — Monthly P&amp;L and cash'!L5="","",'Haq — Monthly P&amp;L and cash'!L5&gt;=9))),IF('Model inputs'!AJ70="","",'Model inputs'!AJ70),0))))</f>
        <v>10000</v>
      </c>
      <c r="M16" s="10">
        <f>IF(IF(IF(ISERROR('Haq — Monthly P&amp;L and cash'!M5&gt;=24),'Haq — Monthly P&amp;L and cash'!M5&gt;=24,IF('Haq — Monthly P&amp;L and cash'!M5="","",'Haq — Monthly P&amp;L and cash'!M5&gt;=24))="",FALSE,IF(ISERROR('Haq — Monthly P&amp;L and cash'!M5&gt;=24),'Haq — Monthly P&amp;L and cash'!M5&gt;=24,IF('Haq — Monthly P&amp;L and cash'!M5="","",'Haq — Monthly P&amp;L and cash'!M5&gt;=24))),IF('Model inputs'!AJ69="","",'Model inputs'!AJ69),IF(IF(IF(ISERROR('Haq — Monthly P&amp;L and cash'!M5&gt;=18),'Haq — Monthly P&amp;L and cash'!M5&gt;=18,IF('Haq — Monthly P&amp;L and cash'!M5="","",'Haq — Monthly P&amp;L and cash'!M5&gt;=18))="",FALSE,IF(ISERROR('Haq — Monthly P&amp;L and cash'!M5&gt;=18),'Haq — Monthly P&amp;L and cash'!M5&gt;=18,IF('Haq — Monthly P&amp;L and cash'!M5="","",'Haq — Monthly P&amp;L and cash'!M5&gt;=18))),IF('Model inputs'!AJ68="","",'Model inputs'!AJ68),IF(IF(IF(ISERROR('Haq — Monthly P&amp;L and cash'!M5&gt;=12),'Haq — Monthly P&amp;L and cash'!M5&gt;=12,IF('Haq — Monthly P&amp;L and cash'!M5="","",'Haq — Monthly P&amp;L and cash'!M5&gt;=12))="",FALSE,IF(ISERROR('Haq — Monthly P&amp;L and cash'!M5&gt;=12),'Haq — Monthly P&amp;L and cash'!M5&gt;=12,IF('Haq — Monthly P&amp;L and cash'!M5="","",'Haq — Monthly P&amp;L and cash'!M5&gt;=12))),IF('Model inputs'!AJ67="","",'Model inputs'!AJ67),IF(IF(IF(ISERROR('Haq — Monthly P&amp;L and cash'!M5&gt;=9),'Haq — Monthly P&amp;L and cash'!M5&gt;=9,IF('Haq — Monthly P&amp;L and cash'!M5="","",'Haq — Monthly P&amp;L and cash'!M5&gt;=9))="",FALSE,IF(ISERROR('Haq — Monthly P&amp;L and cash'!M5&gt;=9),'Haq — Monthly P&amp;L and cash'!M5&gt;=9,IF('Haq — Monthly P&amp;L and cash'!M5="","",'Haq — Monthly P&amp;L and cash'!M5&gt;=9))),IF('Model inputs'!AJ70="","",'Model inputs'!AJ70),0))))</f>
        <v>20000</v>
      </c>
      <c r="N16" s="10">
        <f>IF(IF(IF(ISERROR('Haq — Monthly P&amp;L and cash'!N5&gt;=24),'Haq — Monthly P&amp;L and cash'!N5&gt;=24,IF('Haq — Monthly P&amp;L and cash'!N5="","",'Haq — Monthly P&amp;L and cash'!N5&gt;=24))="",FALSE,IF(ISERROR('Haq — Monthly P&amp;L and cash'!N5&gt;=24),'Haq — Monthly P&amp;L and cash'!N5&gt;=24,IF('Haq — Monthly P&amp;L and cash'!N5="","",'Haq — Monthly P&amp;L and cash'!N5&gt;=24))),IF('Model inputs'!AJ69="","",'Model inputs'!AJ69),IF(IF(IF(ISERROR('Haq — Monthly P&amp;L and cash'!N5&gt;=18),'Haq — Monthly P&amp;L and cash'!N5&gt;=18,IF('Haq — Monthly P&amp;L and cash'!N5="","",'Haq — Monthly P&amp;L and cash'!N5&gt;=18))="",FALSE,IF(ISERROR('Haq — Monthly P&amp;L and cash'!N5&gt;=18),'Haq — Monthly P&amp;L and cash'!N5&gt;=18,IF('Haq — Monthly P&amp;L and cash'!N5="","",'Haq — Monthly P&amp;L and cash'!N5&gt;=18))),IF('Model inputs'!AJ68="","",'Model inputs'!AJ68),IF(IF(IF(ISERROR('Haq — Monthly P&amp;L and cash'!N5&gt;=12),'Haq — Monthly P&amp;L and cash'!N5&gt;=12,IF('Haq — Monthly P&amp;L and cash'!N5="","",'Haq — Monthly P&amp;L and cash'!N5&gt;=12))="",FALSE,IF(ISERROR('Haq — Monthly P&amp;L and cash'!N5&gt;=12),'Haq — Monthly P&amp;L and cash'!N5&gt;=12,IF('Haq — Monthly P&amp;L and cash'!N5="","",'Haq — Monthly P&amp;L and cash'!N5&gt;=12))),IF('Model inputs'!AJ67="","",'Model inputs'!AJ67),IF(IF(IF(ISERROR('Haq — Monthly P&amp;L and cash'!N5&gt;=9),'Haq — Monthly P&amp;L and cash'!N5&gt;=9,IF('Haq — Monthly P&amp;L and cash'!N5="","",'Haq — Monthly P&amp;L and cash'!N5&gt;=9))="",FALSE,IF(ISERROR('Haq — Monthly P&amp;L and cash'!N5&gt;=9),'Haq — Monthly P&amp;L and cash'!N5&gt;=9,IF('Haq — Monthly P&amp;L and cash'!N5="","",'Haq — Monthly P&amp;L and cash'!N5&gt;=9))),IF('Model inputs'!AJ70="","",'Model inputs'!AJ70),0))))</f>
        <v>20000</v>
      </c>
      <c r="O16" s="10">
        <f>IF(IF(IF(ISERROR('Haq — Monthly P&amp;L and cash'!O5&gt;=24),'Haq — Monthly P&amp;L and cash'!O5&gt;=24,IF('Haq — Monthly P&amp;L and cash'!O5="","",'Haq — Monthly P&amp;L and cash'!O5&gt;=24))="",FALSE,IF(ISERROR('Haq — Monthly P&amp;L and cash'!O5&gt;=24),'Haq — Monthly P&amp;L and cash'!O5&gt;=24,IF('Haq — Monthly P&amp;L and cash'!O5="","",'Haq — Monthly P&amp;L and cash'!O5&gt;=24))),IF('Model inputs'!AJ69="","",'Model inputs'!AJ69),IF(IF(IF(ISERROR('Haq — Monthly P&amp;L and cash'!O5&gt;=18),'Haq — Monthly P&amp;L and cash'!O5&gt;=18,IF('Haq — Monthly P&amp;L and cash'!O5="","",'Haq — Monthly P&amp;L and cash'!O5&gt;=18))="",FALSE,IF(ISERROR('Haq — Monthly P&amp;L and cash'!O5&gt;=18),'Haq — Monthly P&amp;L and cash'!O5&gt;=18,IF('Haq — Monthly P&amp;L and cash'!O5="","",'Haq — Monthly P&amp;L and cash'!O5&gt;=18))),IF('Model inputs'!AJ68="","",'Model inputs'!AJ68),IF(IF(IF(ISERROR('Haq — Monthly P&amp;L and cash'!O5&gt;=12),'Haq — Monthly P&amp;L and cash'!O5&gt;=12,IF('Haq — Monthly P&amp;L and cash'!O5="","",'Haq — Monthly P&amp;L and cash'!O5&gt;=12))="",FALSE,IF(ISERROR('Haq — Monthly P&amp;L and cash'!O5&gt;=12),'Haq — Monthly P&amp;L and cash'!O5&gt;=12,IF('Haq — Monthly P&amp;L and cash'!O5="","",'Haq — Monthly P&amp;L and cash'!O5&gt;=12))),IF('Model inputs'!AJ67="","",'Model inputs'!AJ67),IF(IF(IF(ISERROR('Haq — Monthly P&amp;L and cash'!O5&gt;=9),'Haq — Monthly P&amp;L and cash'!O5&gt;=9,IF('Haq — Monthly P&amp;L and cash'!O5="","",'Haq — Monthly P&amp;L and cash'!O5&gt;=9))="",FALSE,IF(ISERROR('Haq — Monthly P&amp;L and cash'!O5&gt;=9),'Haq — Monthly P&amp;L and cash'!O5&gt;=9,IF('Haq — Monthly P&amp;L and cash'!O5="","",'Haq — Monthly P&amp;L and cash'!O5&gt;=9))),IF('Model inputs'!AJ70="","",'Model inputs'!AJ70),0))))</f>
        <v>20000</v>
      </c>
      <c r="P16" s="10">
        <f>IF(IF(IF(ISERROR('Haq — Monthly P&amp;L and cash'!P5&gt;=24),'Haq — Monthly P&amp;L and cash'!P5&gt;=24,IF('Haq — Monthly P&amp;L and cash'!P5="","",'Haq — Monthly P&amp;L and cash'!P5&gt;=24))="",FALSE,IF(ISERROR('Haq — Monthly P&amp;L and cash'!P5&gt;=24),'Haq — Monthly P&amp;L and cash'!P5&gt;=24,IF('Haq — Monthly P&amp;L and cash'!P5="","",'Haq — Monthly P&amp;L and cash'!P5&gt;=24))),IF('Model inputs'!AJ69="","",'Model inputs'!AJ69),IF(IF(IF(ISERROR('Haq — Monthly P&amp;L and cash'!P5&gt;=18),'Haq — Monthly P&amp;L and cash'!P5&gt;=18,IF('Haq — Monthly P&amp;L and cash'!P5="","",'Haq — Monthly P&amp;L and cash'!P5&gt;=18))="",FALSE,IF(ISERROR('Haq — Monthly P&amp;L and cash'!P5&gt;=18),'Haq — Monthly P&amp;L and cash'!P5&gt;=18,IF('Haq — Monthly P&amp;L and cash'!P5="","",'Haq — Monthly P&amp;L and cash'!P5&gt;=18))),IF('Model inputs'!AJ68="","",'Model inputs'!AJ68),IF(IF(IF(ISERROR('Haq — Monthly P&amp;L and cash'!P5&gt;=12),'Haq — Monthly P&amp;L and cash'!P5&gt;=12,IF('Haq — Monthly P&amp;L and cash'!P5="","",'Haq — Monthly P&amp;L and cash'!P5&gt;=12))="",FALSE,IF(ISERROR('Haq — Monthly P&amp;L and cash'!P5&gt;=12),'Haq — Monthly P&amp;L and cash'!P5&gt;=12,IF('Haq — Monthly P&amp;L and cash'!P5="","",'Haq — Monthly P&amp;L and cash'!P5&gt;=12))),IF('Model inputs'!AJ67="","",'Model inputs'!AJ67),IF(IF(IF(ISERROR('Haq — Monthly P&amp;L and cash'!P5&gt;=9),'Haq — Monthly P&amp;L and cash'!P5&gt;=9,IF('Haq — Monthly P&amp;L and cash'!P5="","",'Haq — Monthly P&amp;L and cash'!P5&gt;=9))="",FALSE,IF(ISERROR('Haq — Monthly P&amp;L and cash'!P5&gt;=9),'Haq — Monthly P&amp;L and cash'!P5&gt;=9,IF('Haq — Monthly P&amp;L and cash'!P5="","",'Haq — Monthly P&amp;L and cash'!P5&gt;=9))),IF('Model inputs'!AJ70="","",'Model inputs'!AJ70),0))))</f>
        <v>20000</v>
      </c>
      <c r="Q16" s="10">
        <f>IF(IF(IF(ISERROR('Haq — Monthly P&amp;L and cash'!Q5&gt;=24),'Haq — Monthly P&amp;L and cash'!Q5&gt;=24,IF('Haq — Monthly P&amp;L and cash'!Q5="","",'Haq — Monthly P&amp;L and cash'!Q5&gt;=24))="",FALSE,IF(ISERROR('Haq — Monthly P&amp;L and cash'!Q5&gt;=24),'Haq — Monthly P&amp;L and cash'!Q5&gt;=24,IF('Haq — Monthly P&amp;L and cash'!Q5="","",'Haq — Monthly P&amp;L and cash'!Q5&gt;=24))),IF('Model inputs'!AJ69="","",'Model inputs'!AJ69),IF(IF(IF(ISERROR('Haq — Monthly P&amp;L and cash'!Q5&gt;=18),'Haq — Monthly P&amp;L and cash'!Q5&gt;=18,IF('Haq — Monthly P&amp;L and cash'!Q5="","",'Haq — Monthly P&amp;L and cash'!Q5&gt;=18))="",FALSE,IF(ISERROR('Haq — Monthly P&amp;L and cash'!Q5&gt;=18),'Haq — Monthly P&amp;L and cash'!Q5&gt;=18,IF('Haq — Monthly P&amp;L and cash'!Q5="","",'Haq — Monthly P&amp;L and cash'!Q5&gt;=18))),IF('Model inputs'!AJ68="","",'Model inputs'!AJ68),IF(IF(IF(ISERROR('Haq — Monthly P&amp;L and cash'!Q5&gt;=12),'Haq — Monthly P&amp;L and cash'!Q5&gt;=12,IF('Haq — Monthly P&amp;L and cash'!Q5="","",'Haq — Monthly P&amp;L and cash'!Q5&gt;=12))="",FALSE,IF(ISERROR('Haq — Monthly P&amp;L and cash'!Q5&gt;=12),'Haq — Monthly P&amp;L and cash'!Q5&gt;=12,IF('Haq — Monthly P&amp;L and cash'!Q5="","",'Haq — Monthly P&amp;L and cash'!Q5&gt;=12))),IF('Model inputs'!AJ67="","",'Model inputs'!AJ67),IF(IF(IF(ISERROR('Haq — Monthly P&amp;L and cash'!Q5&gt;=9),'Haq — Monthly P&amp;L and cash'!Q5&gt;=9,IF('Haq — Monthly P&amp;L and cash'!Q5="","",'Haq — Monthly P&amp;L and cash'!Q5&gt;=9))="",FALSE,IF(ISERROR('Haq — Monthly P&amp;L and cash'!Q5&gt;=9),'Haq — Monthly P&amp;L and cash'!Q5&gt;=9,IF('Haq — Monthly P&amp;L and cash'!Q5="","",'Haq — Monthly P&amp;L and cash'!Q5&gt;=9))),IF('Model inputs'!AJ70="","",'Model inputs'!AJ70),0))))</f>
        <v>20000</v>
      </c>
      <c r="R16" s="10">
        <f>IF(IF(IF(ISERROR('Haq — Monthly P&amp;L and cash'!R5&gt;=24),'Haq — Monthly P&amp;L and cash'!R5&gt;=24,IF('Haq — Monthly P&amp;L and cash'!R5="","",'Haq — Monthly P&amp;L and cash'!R5&gt;=24))="",FALSE,IF(ISERROR('Haq — Monthly P&amp;L and cash'!R5&gt;=24),'Haq — Monthly P&amp;L and cash'!R5&gt;=24,IF('Haq — Monthly P&amp;L and cash'!R5="","",'Haq — Monthly P&amp;L and cash'!R5&gt;=24))),IF('Model inputs'!AJ69="","",'Model inputs'!AJ69),IF(IF(IF(ISERROR('Haq — Monthly P&amp;L and cash'!R5&gt;=18),'Haq — Monthly P&amp;L and cash'!R5&gt;=18,IF('Haq — Monthly P&amp;L and cash'!R5="","",'Haq — Monthly P&amp;L and cash'!R5&gt;=18))="",FALSE,IF(ISERROR('Haq — Monthly P&amp;L and cash'!R5&gt;=18),'Haq — Monthly P&amp;L and cash'!R5&gt;=18,IF('Haq — Monthly P&amp;L and cash'!R5="","",'Haq — Monthly P&amp;L and cash'!R5&gt;=18))),IF('Model inputs'!AJ68="","",'Model inputs'!AJ68),IF(IF(IF(ISERROR('Haq — Monthly P&amp;L and cash'!R5&gt;=12),'Haq — Monthly P&amp;L and cash'!R5&gt;=12,IF('Haq — Monthly P&amp;L and cash'!R5="","",'Haq — Monthly P&amp;L and cash'!R5&gt;=12))="",FALSE,IF(ISERROR('Haq — Monthly P&amp;L and cash'!R5&gt;=12),'Haq — Monthly P&amp;L and cash'!R5&gt;=12,IF('Haq — Monthly P&amp;L and cash'!R5="","",'Haq — Monthly P&amp;L and cash'!R5&gt;=12))),IF('Model inputs'!AJ67="","",'Model inputs'!AJ67),IF(IF(IF(ISERROR('Haq — Monthly P&amp;L and cash'!R5&gt;=9),'Haq — Monthly P&amp;L and cash'!R5&gt;=9,IF('Haq — Monthly P&amp;L and cash'!R5="","",'Haq — Monthly P&amp;L and cash'!R5&gt;=9))="",FALSE,IF(ISERROR('Haq — Monthly P&amp;L and cash'!R5&gt;=9),'Haq — Monthly P&amp;L and cash'!R5&gt;=9,IF('Haq — Monthly P&amp;L and cash'!R5="","",'Haq — Monthly P&amp;L and cash'!R5&gt;=9))),IF('Model inputs'!AJ70="","",'Model inputs'!AJ70),0))))</f>
        <v>20000</v>
      </c>
      <c r="S16" s="10">
        <f>IF(IF(IF(ISERROR('Haq — Monthly P&amp;L and cash'!S5&gt;=24),'Haq — Monthly P&amp;L and cash'!S5&gt;=24,IF('Haq — Monthly P&amp;L and cash'!S5="","",'Haq — Monthly P&amp;L and cash'!S5&gt;=24))="",FALSE,IF(ISERROR('Haq — Monthly P&amp;L and cash'!S5&gt;=24),'Haq — Monthly P&amp;L and cash'!S5&gt;=24,IF('Haq — Monthly P&amp;L and cash'!S5="","",'Haq — Monthly P&amp;L and cash'!S5&gt;=24))),IF('Model inputs'!AJ69="","",'Model inputs'!AJ69),IF(IF(IF(ISERROR('Haq — Monthly P&amp;L and cash'!S5&gt;=18),'Haq — Monthly P&amp;L and cash'!S5&gt;=18,IF('Haq — Monthly P&amp;L and cash'!S5="","",'Haq — Monthly P&amp;L and cash'!S5&gt;=18))="",FALSE,IF(ISERROR('Haq — Monthly P&amp;L and cash'!S5&gt;=18),'Haq — Monthly P&amp;L and cash'!S5&gt;=18,IF('Haq — Monthly P&amp;L and cash'!S5="","",'Haq — Monthly P&amp;L and cash'!S5&gt;=18))),IF('Model inputs'!AJ68="","",'Model inputs'!AJ68),IF(IF(IF(ISERROR('Haq — Monthly P&amp;L and cash'!S5&gt;=12),'Haq — Monthly P&amp;L and cash'!S5&gt;=12,IF('Haq — Monthly P&amp;L and cash'!S5="","",'Haq — Monthly P&amp;L and cash'!S5&gt;=12))="",FALSE,IF(ISERROR('Haq — Monthly P&amp;L and cash'!S5&gt;=12),'Haq — Monthly P&amp;L and cash'!S5&gt;=12,IF('Haq — Monthly P&amp;L and cash'!S5="","",'Haq — Monthly P&amp;L and cash'!S5&gt;=12))),IF('Model inputs'!AJ67="","",'Model inputs'!AJ67),IF(IF(IF(ISERROR('Haq — Monthly P&amp;L and cash'!S5&gt;=9),'Haq — Monthly P&amp;L and cash'!S5&gt;=9,IF('Haq — Monthly P&amp;L and cash'!S5="","",'Haq — Monthly P&amp;L and cash'!S5&gt;=9))="",FALSE,IF(ISERROR('Haq — Monthly P&amp;L and cash'!S5&gt;=9),'Haq — Monthly P&amp;L and cash'!S5&gt;=9,IF('Haq — Monthly P&amp;L and cash'!S5="","",'Haq — Monthly P&amp;L and cash'!S5&gt;=9))),IF('Model inputs'!AJ70="","",'Model inputs'!AJ70),0))))</f>
        <v>35000</v>
      </c>
      <c r="T16" s="10">
        <f>IF(IF(IF(ISERROR('Haq — Monthly P&amp;L and cash'!T5&gt;=24),'Haq — Monthly P&amp;L and cash'!T5&gt;=24,IF('Haq — Monthly P&amp;L and cash'!T5="","",'Haq — Monthly P&amp;L and cash'!T5&gt;=24))="",FALSE,IF(ISERROR('Haq — Monthly P&amp;L and cash'!T5&gt;=24),'Haq — Monthly P&amp;L and cash'!T5&gt;=24,IF('Haq — Monthly P&amp;L and cash'!T5="","",'Haq — Monthly P&amp;L and cash'!T5&gt;=24))),IF('Model inputs'!AJ69="","",'Model inputs'!AJ69),IF(IF(IF(ISERROR('Haq — Monthly P&amp;L and cash'!T5&gt;=18),'Haq — Monthly P&amp;L and cash'!T5&gt;=18,IF('Haq — Monthly P&amp;L and cash'!T5="","",'Haq — Monthly P&amp;L and cash'!T5&gt;=18))="",FALSE,IF(ISERROR('Haq — Monthly P&amp;L and cash'!T5&gt;=18),'Haq — Monthly P&amp;L and cash'!T5&gt;=18,IF('Haq — Monthly P&amp;L and cash'!T5="","",'Haq — Monthly P&amp;L and cash'!T5&gt;=18))),IF('Model inputs'!AJ68="","",'Model inputs'!AJ68),IF(IF(IF(ISERROR('Haq — Monthly P&amp;L and cash'!T5&gt;=12),'Haq — Monthly P&amp;L and cash'!T5&gt;=12,IF('Haq — Monthly P&amp;L and cash'!T5="","",'Haq — Monthly P&amp;L and cash'!T5&gt;=12))="",FALSE,IF(ISERROR('Haq — Monthly P&amp;L and cash'!T5&gt;=12),'Haq — Monthly P&amp;L and cash'!T5&gt;=12,IF('Haq — Monthly P&amp;L and cash'!T5="","",'Haq — Monthly P&amp;L and cash'!T5&gt;=12))),IF('Model inputs'!AJ67="","",'Model inputs'!AJ67),IF(IF(IF(ISERROR('Haq — Monthly P&amp;L and cash'!T5&gt;=9),'Haq — Monthly P&amp;L and cash'!T5&gt;=9,IF('Haq — Monthly P&amp;L and cash'!T5="","",'Haq — Monthly P&amp;L and cash'!T5&gt;=9))="",FALSE,IF(ISERROR('Haq — Monthly P&amp;L and cash'!T5&gt;=9),'Haq — Monthly P&amp;L and cash'!T5&gt;=9,IF('Haq — Monthly P&amp;L and cash'!T5="","",'Haq — Monthly P&amp;L and cash'!T5&gt;=9))),IF('Model inputs'!AJ70="","",'Model inputs'!AJ70),0))))</f>
        <v>35000</v>
      </c>
      <c r="U16" s="10">
        <f>IF(IF(IF(ISERROR('Haq — Monthly P&amp;L and cash'!U5&gt;=24),'Haq — Monthly P&amp;L and cash'!U5&gt;=24,IF('Haq — Monthly P&amp;L and cash'!U5="","",'Haq — Monthly P&amp;L and cash'!U5&gt;=24))="",FALSE,IF(ISERROR('Haq — Monthly P&amp;L and cash'!U5&gt;=24),'Haq — Monthly P&amp;L and cash'!U5&gt;=24,IF('Haq — Monthly P&amp;L and cash'!U5="","",'Haq — Monthly P&amp;L and cash'!U5&gt;=24))),IF('Model inputs'!AJ69="","",'Model inputs'!AJ69),IF(IF(IF(ISERROR('Haq — Monthly P&amp;L and cash'!U5&gt;=18),'Haq — Monthly P&amp;L and cash'!U5&gt;=18,IF('Haq — Monthly P&amp;L and cash'!U5="","",'Haq — Monthly P&amp;L and cash'!U5&gt;=18))="",FALSE,IF(ISERROR('Haq — Monthly P&amp;L and cash'!U5&gt;=18),'Haq — Monthly P&amp;L and cash'!U5&gt;=18,IF('Haq — Monthly P&amp;L and cash'!U5="","",'Haq — Monthly P&amp;L and cash'!U5&gt;=18))),IF('Model inputs'!AJ68="","",'Model inputs'!AJ68),IF(IF(IF(ISERROR('Haq — Monthly P&amp;L and cash'!U5&gt;=12),'Haq — Monthly P&amp;L and cash'!U5&gt;=12,IF('Haq — Monthly P&amp;L and cash'!U5="","",'Haq — Monthly P&amp;L and cash'!U5&gt;=12))="",FALSE,IF(ISERROR('Haq — Monthly P&amp;L and cash'!U5&gt;=12),'Haq — Monthly P&amp;L and cash'!U5&gt;=12,IF('Haq — Monthly P&amp;L and cash'!U5="","",'Haq — Monthly P&amp;L and cash'!U5&gt;=12))),IF('Model inputs'!AJ67="","",'Model inputs'!AJ67),IF(IF(IF(ISERROR('Haq — Monthly P&amp;L and cash'!U5&gt;=9),'Haq — Monthly P&amp;L and cash'!U5&gt;=9,IF('Haq — Monthly P&amp;L and cash'!U5="","",'Haq — Monthly P&amp;L and cash'!U5&gt;=9))="",FALSE,IF(ISERROR('Haq — Monthly P&amp;L and cash'!U5&gt;=9),'Haq — Monthly P&amp;L and cash'!U5&gt;=9,IF('Haq — Monthly P&amp;L and cash'!U5="","",'Haq — Monthly P&amp;L and cash'!U5&gt;=9))),IF('Model inputs'!AJ70="","",'Model inputs'!AJ70),0))))</f>
        <v>35000</v>
      </c>
      <c r="V16" s="10">
        <f>IF(IF(IF(ISERROR('Haq — Monthly P&amp;L and cash'!V5&gt;=24),'Haq — Monthly P&amp;L and cash'!V5&gt;=24,IF('Haq — Monthly P&amp;L and cash'!V5="","",'Haq — Monthly P&amp;L and cash'!V5&gt;=24))="",FALSE,IF(ISERROR('Haq — Monthly P&amp;L and cash'!V5&gt;=24),'Haq — Monthly P&amp;L and cash'!V5&gt;=24,IF('Haq — Monthly P&amp;L and cash'!V5="","",'Haq — Monthly P&amp;L and cash'!V5&gt;=24))),IF('Model inputs'!AJ69="","",'Model inputs'!AJ69),IF(IF(IF(ISERROR('Haq — Monthly P&amp;L and cash'!V5&gt;=18),'Haq — Monthly P&amp;L and cash'!V5&gt;=18,IF('Haq — Monthly P&amp;L and cash'!V5="","",'Haq — Monthly P&amp;L and cash'!V5&gt;=18))="",FALSE,IF(ISERROR('Haq — Monthly P&amp;L and cash'!V5&gt;=18),'Haq — Monthly P&amp;L and cash'!V5&gt;=18,IF('Haq — Monthly P&amp;L and cash'!V5="","",'Haq — Monthly P&amp;L and cash'!V5&gt;=18))),IF('Model inputs'!AJ68="","",'Model inputs'!AJ68),IF(IF(IF(ISERROR('Haq — Monthly P&amp;L and cash'!V5&gt;=12),'Haq — Monthly P&amp;L and cash'!V5&gt;=12,IF('Haq — Monthly P&amp;L and cash'!V5="","",'Haq — Monthly P&amp;L and cash'!V5&gt;=12))="",FALSE,IF(ISERROR('Haq — Monthly P&amp;L and cash'!V5&gt;=12),'Haq — Monthly P&amp;L and cash'!V5&gt;=12,IF('Haq — Monthly P&amp;L and cash'!V5="","",'Haq — Monthly P&amp;L and cash'!V5&gt;=12))),IF('Model inputs'!AJ67="","",'Model inputs'!AJ67),IF(IF(IF(ISERROR('Haq — Monthly P&amp;L and cash'!V5&gt;=9),'Haq — Monthly P&amp;L and cash'!V5&gt;=9,IF('Haq — Monthly P&amp;L and cash'!V5="","",'Haq — Monthly P&amp;L and cash'!V5&gt;=9))="",FALSE,IF(ISERROR('Haq — Monthly P&amp;L and cash'!V5&gt;=9),'Haq — Monthly P&amp;L and cash'!V5&gt;=9,IF('Haq — Monthly P&amp;L and cash'!V5="","",'Haq — Monthly P&amp;L and cash'!V5&gt;=9))),IF('Model inputs'!AJ70="","",'Model inputs'!AJ70),0))))</f>
        <v>35000</v>
      </c>
      <c r="W16" s="10">
        <f>IF(IF(IF(ISERROR('Haq — Monthly P&amp;L and cash'!W5&gt;=24),'Haq — Monthly P&amp;L and cash'!W5&gt;=24,IF('Haq — Monthly P&amp;L and cash'!W5="","",'Haq — Monthly P&amp;L and cash'!W5&gt;=24))="",FALSE,IF(ISERROR('Haq — Monthly P&amp;L and cash'!W5&gt;=24),'Haq — Monthly P&amp;L and cash'!W5&gt;=24,IF('Haq — Monthly P&amp;L and cash'!W5="","",'Haq — Monthly P&amp;L and cash'!W5&gt;=24))),IF('Model inputs'!AJ69="","",'Model inputs'!AJ69),IF(IF(IF(ISERROR('Haq — Monthly P&amp;L and cash'!W5&gt;=18),'Haq — Monthly P&amp;L and cash'!W5&gt;=18,IF('Haq — Monthly P&amp;L and cash'!W5="","",'Haq — Monthly P&amp;L and cash'!W5&gt;=18))="",FALSE,IF(ISERROR('Haq — Monthly P&amp;L and cash'!W5&gt;=18),'Haq — Monthly P&amp;L and cash'!W5&gt;=18,IF('Haq — Monthly P&amp;L and cash'!W5="","",'Haq — Monthly P&amp;L and cash'!W5&gt;=18))),IF('Model inputs'!AJ68="","",'Model inputs'!AJ68),IF(IF(IF(ISERROR('Haq — Monthly P&amp;L and cash'!W5&gt;=12),'Haq — Monthly P&amp;L and cash'!W5&gt;=12,IF('Haq — Monthly P&amp;L and cash'!W5="","",'Haq — Monthly P&amp;L and cash'!W5&gt;=12))="",FALSE,IF(ISERROR('Haq — Monthly P&amp;L and cash'!W5&gt;=12),'Haq — Monthly P&amp;L and cash'!W5&gt;=12,IF('Haq — Monthly P&amp;L and cash'!W5="","",'Haq — Monthly P&amp;L and cash'!W5&gt;=12))),IF('Model inputs'!AJ67="","",'Model inputs'!AJ67),IF(IF(IF(ISERROR('Haq — Monthly P&amp;L and cash'!W5&gt;=9),'Haq — Monthly P&amp;L and cash'!W5&gt;=9,IF('Haq — Monthly P&amp;L and cash'!W5="","",'Haq — Monthly P&amp;L and cash'!W5&gt;=9))="",FALSE,IF(ISERROR('Haq — Monthly P&amp;L and cash'!W5&gt;=9),'Haq — Monthly P&amp;L and cash'!W5&gt;=9,IF('Haq — Monthly P&amp;L and cash'!W5="","",'Haq — Monthly P&amp;L and cash'!W5&gt;=9))),IF('Model inputs'!AJ70="","",'Model inputs'!AJ70),0))))</f>
        <v>35000</v>
      </c>
      <c r="X16" s="10">
        <f>IF(IF(IF(ISERROR('Haq — Monthly P&amp;L and cash'!X5&gt;=24),'Haq — Monthly P&amp;L and cash'!X5&gt;=24,IF('Haq — Monthly P&amp;L and cash'!X5="","",'Haq — Monthly P&amp;L and cash'!X5&gt;=24))="",FALSE,IF(ISERROR('Haq — Monthly P&amp;L and cash'!X5&gt;=24),'Haq — Monthly P&amp;L and cash'!X5&gt;=24,IF('Haq — Monthly P&amp;L and cash'!X5="","",'Haq — Monthly P&amp;L and cash'!X5&gt;=24))),IF('Model inputs'!AJ69="","",'Model inputs'!AJ69),IF(IF(IF(ISERROR('Haq — Monthly P&amp;L and cash'!X5&gt;=18),'Haq — Monthly P&amp;L and cash'!X5&gt;=18,IF('Haq — Monthly P&amp;L and cash'!X5="","",'Haq — Monthly P&amp;L and cash'!X5&gt;=18))="",FALSE,IF(ISERROR('Haq — Monthly P&amp;L and cash'!X5&gt;=18),'Haq — Monthly P&amp;L and cash'!X5&gt;=18,IF('Haq — Monthly P&amp;L and cash'!X5="","",'Haq — Monthly P&amp;L and cash'!X5&gt;=18))),IF('Model inputs'!AJ68="","",'Model inputs'!AJ68),IF(IF(IF(ISERROR('Haq — Monthly P&amp;L and cash'!X5&gt;=12),'Haq — Monthly P&amp;L and cash'!X5&gt;=12,IF('Haq — Monthly P&amp;L and cash'!X5="","",'Haq — Monthly P&amp;L and cash'!X5&gt;=12))="",FALSE,IF(ISERROR('Haq — Monthly P&amp;L and cash'!X5&gt;=12),'Haq — Monthly P&amp;L and cash'!X5&gt;=12,IF('Haq — Monthly P&amp;L and cash'!X5="","",'Haq — Monthly P&amp;L and cash'!X5&gt;=12))),IF('Model inputs'!AJ67="","",'Model inputs'!AJ67),IF(IF(IF(ISERROR('Haq — Monthly P&amp;L and cash'!X5&gt;=9),'Haq — Monthly P&amp;L and cash'!X5&gt;=9,IF('Haq — Monthly P&amp;L and cash'!X5="","",'Haq — Monthly P&amp;L and cash'!X5&gt;=9))="",FALSE,IF(ISERROR('Haq — Monthly P&amp;L and cash'!X5&gt;=9),'Haq — Monthly P&amp;L and cash'!X5&gt;=9,IF('Haq — Monthly P&amp;L and cash'!X5="","",'Haq — Monthly P&amp;L and cash'!X5&gt;=9))),IF('Model inputs'!AJ70="","",'Model inputs'!AJ70),0))))</f>
        <v>35000</v>
      </c>
      <c r="Y16" s="10">
        <f>IF(IF(IF(ISERROR('Haq — Monthly P&amp;L and cash'!Y5&gt;=24),'Haq — Monthly P&amp;L and cash'!Y5&gt;=24,IF('Haq — Monthly P&amp;L and cash'!Y5="","",'Haq — Monthly P&amp;L and cash'!Y5&gt;=24))="",FALSE,IF(ISERROR('Haq — Monthly P&amp;L and cash'!Y5&gt;=24),'Haq — Monthly P&amp;L and cash'!Y5&gt;=24,IF('Haq — Monthly P&amp;L and cash'!Y5="","",'Haq — Monthly P&amp;L and cash'!Y5&gt;=24))),IF('Model inputs'!AJ69="","",'Model inputs'!AJ69),IF(IF(IF(ISERROR('Haq — Monthly P&amp;L and cash'!Y5&gt;=18),'Haq — Monthly P&amp;L and cash'!Y5&gt;=18,IF('Haq — Monthly P&amp;L and cash'!Y5="","",'Haq — Monthly P&amp;L and cash'!Y5&gt;=18))="",FALSE,IF(ISERROR('Haq — Monthly P&amp;L and cash'!Y5&gt;=18),'Haq — Monthly P&amp;L and cash'!Y5&gt;=18,IF('Haq — Monthly P&amp;L and cash'!Y5="","",'Haq — Monthly P&amp;L and cash'!Y5&gt;=18))),IF('Model inputs'!AJ68="","",'Model inputs'!AJ68),IF(IF(IF(ISERROR('Haq — Monthly P&amp;L and cash'!Y5&gt;=12),'Haq — Monthly P&amp;L and cash'!Y5&gt;=12,IF('Haq — Monthly P&amp;L and cash'!Y5="","",'Haq — Monthly P&amp;L and cash'!Y5&gt;=12))="",FALSE,IF(ISERROR('Haq — Monthly P&amp;L and cash'!Y5&gt;=12),'Haq — Monthly P&amp;L and cash'!Y5&gt;=12,IF('Haq — Monthly P&amp;L and cash'!Y5="","",'Haq — Monthly P&amp;L and cash'!Y5&gt;=12))),IF('Model inputs'!AJ67="","",'Model inputs'!AJ67),IF(IF(IF(ISERROR('Haq — Monthly P&amp;L and cash'!Y5&gt;=9),'Haq — Monthly P&amp;L and cash'!Y5&gt;=9,IF('Haq — Monthly P&amp;L and cash'!Y5="","",'Haq — Monthly P&amp;L and cash'!Y5&gt;=9))="",FALSE,IF(ISERROR('Haq — Monthly P&amp;L and cash'!Y5&gt;=9),'Haq — Monthly P&amp;L and cash'!Y5&gt;=9,IF('Haq — Monthly P&amp;L and cash'!Y5="","",'Haq — Monthly P&amp;L and cash'!Y5&gt;=9))),IF('Model inputs'!AJ70="","",'Model inputs'!AJ70),0))))</f>
        <v>50000</v>
      </c>
    </row>
    <row r="17">
      <c r="A17" t="inlineStr" s="8">
        <is>
          <t xml:space="preserve">Haq Employer new workers</t>
        </is>
      </c>
      <c r="B17" s="10">
        <f>MAX('Haq — Monthly P&amp;L and cash'!B16-'Model inputs'!C28,0)</f>
        <v>0</v>
      </c>
      <c r="C17" s="10">
        <f>MAX('Haq — Monthly P&amp;L and cash'!C16-'Haq — Monthly P&amp;L and cash'!B16,0)</f>
        <v>0</v>
      </c>
      <c r="D17" s="10">
        <f>MAX('Haq — Monthly P&amp;L and cash'!D16-'Haq — Monthly P&amp;L and cash'!C16,0)</f>
        <v>0</v>
      </c>
      <c r="E17" s="10">
        <f>MAX('Haq — Monthly P&amp;L and cash'!E16-'Haq — Monthly P&amp;L and cash'!D16,0)</f>
        <v>0</v>
      </c>
      <c r="F17" s="10">
        <f>MAX('Haq — Monthly P&amp;L and cash'!F16-'Haq — Monthly P&amp;L and cash'!E16,0)</f>
        <v>0</v>
      </c>
      <c r="G17" s="10">
        <f>MAX('Haq — Monthly P&amp;L and cash'!G16-'Haq — Monthly P&amp;L and cash'!F16,0)</f>
        <v>0</v>
      </c>
      <c r="H17" s="10">
        <f>MAX('Haq — Monthly P&amp;L and cash'!H16-'Haq — Monthly P&amp;L and cash'!G16,0)</f>
        <v>0</v>
      </c>
      <c r="I17" s="10">
        <f>MAX('Haq — Monthly P&amp;L and cash'!I16-'Haq — Monthly P&amp;L and cash'!H16,0)</f>
        <v>0</v>
      </c>
      <c r="J17" s="10">
        <f>MAX('Haq — Monthly P&amp;L and cash'!J16-'Haq — Monthly P&amp;L and cash'!I16,0)</f>
        <v>10000</v>
      </c>
      <c r="K17" s="10">
        <f>MAX('Haq — Monthly P&amp;L and cash'!K16-'Haq — Monthly P&amp;L and cash'!J16,0)</f>
        <v>0</v>
      </c>
      <c r="L17" s="10">
        <f>MAX('Haq — Monthly P&amp;L and cash'!L16-'Haq — Monthly P&amp;L and cash'!K16,0)</f>
        <v>0</v>
      </c>
      <c r="M17" s="10">
        <f>MAX('Haq — Monthly P&amp;L and cash'!M16-'Haq — Monthly P&amp;L and cash'!L16,0)</f>
        <v>10000</v>
      </c>
      <c r="N17" s="10">
        <f>MAX('Haq — Monthly P&amp;L and cash'!N16-'Haq — Monthly P&amp;L and cash'!M16,0)</f>
        <v>0</v>
      </c>
      <c r="O17" s="10">
        <f>MAX('Haq — Monthly P&amp;L and cash'!O16-'Haq — Monthly P&amp;L and cash'!N16,0)</f>
        <v>0</v>
      </c>
      <c r="P17" s="10">
        <f>MAX('Haq — Monthly P&amp;L and cash'!P16-'Haq — Monthly P&amp;L and cash'!O16,0)</f>
        <v>0</v>
      </c>
      <c r="Q17" s="10">
        <f>MAX('Haq — Monthly P&amp;L and cash'!Q16-'Haq — Monthly P&amp;L and cash'!P16,0)</f>
        <v>0</v>
      </c>
      <c r="R17" s="10">
        <f>MAX('Haq — Monthly P&amp;L and cash'!R16-'Haq — Monthly P&amp;L and cash'!Q16,0)</f>
        <v>0</v>
      </c>
      <c r="S17" s="10">
        <f>MAX('Haq — Monthly P&amp;L and cash'!S16-'Haq — Monthly P&amp;L and cash'!R16,0)</f>
        <v>15000</v>
      </c>
      <c r="T17" s="10">
        <f>MAX('Haq — Monthly P&amp;L and cash'!T16-'Haq — Monthly P&amp;L and cash'!S16,0)</f>
        <v>0</v>
      </c>
      <c r="U17" s="10">
        <f>MAX('Haq — Monthly P&amp;L and cash'!U16-'Haq — Monthly P&amp;L and cash'!T16,0)</f>
        <v>0</v>
      </c>
      <c r="V17" s="10">
        <f>MAX('Haq — Monthly P&amp;L and cash'!V16-'Haq — Monthly P&amp;L and cash'!U16,0)</f>
        <v>0</v>
      </c>
      <c r="W17" s="10">
        <f>MAX('Haq — Monthly P&amp;L and cash'!W16-'Haq — Monthly P&amp;L and cash'!V16,0)</f>
        <v>0</v>
      </c>
      <c r="X17" s="10">
        <f>MAX('Haq — Monthly P&amp;L and cash'!X16-'Haq — Monthly P&amp;L and cash'!W16,0)</f>
        <v>0</v>
      </c>
      <c r="Y17" s="10">
        <f>MAX('Haq — Monthly P&amp;L and cash'!Y16-'Haq — Monthly P&amp;L and cash'!X16,0)</f>
        <v>15000</v>
      </c>
    </row>
    <row r="18">
      <c r="A18" t="inlineStr" s="8">
        <is>
          <t xml:space="preserve">Haq Employer checks</t>
        </is>
      </c>
      <c r="B18" s="10">
        <f>'Haq — Monthly P&amp;L and cash'!B16*'Model inputs'!AJ66/12</f>
        <v>0</v>
      </c>
      <c r="C18" s="10">
        <f>'Haq — Monthly P&amp;L and cash'!C16*'Model inputs'!AJ66/12</f>
        <v>0</v>
      </c>
      <c r="D18" s="10">
        <f>'Haq — Monthly P&amp;L and cash'!D16*'Model inputs'!AJ66/12</f>
        <v>0</v>
      </c>
      <c r="E18" s="10">
        <f>'Haq — Monthly P&amp;L and cash'!E16*'Model inputs'!AJ66/12</f>
        <v>0</v>
      </c>
      <c r="F18" s="10">
        <f>'Haq — Monthly P&amp;L and cash'!F16*'Model inputs'!AJ66/12</f>
        <v>0</v>
      </c>
      <c r="G18" s="10">
        <f>'Haq — Monthly P&amp;L and cash'!G16*'Model inputs'!AJ66/12</f>
        <v>0</v>
      </c>
      <c r="H18" s="10">
        <f>'Haq — Monthly P&amp;L and cash'!H16*'Model inputs'!AJ66/12</f>
        <v>0</v>
      </c>
      <c r="I18" s="10">
        <f>'Haq — Monthly P&amp;L and cash'!I16*'Model inputs'!AJ66/12</f>
        <v>0</v>
      </c>
      <c r="J18" s="10">
        <f>'Haq — Monthly P&amp;L and cash'!J16*'Model inputs'!AJ66/12</f>
        <v>833.3333333333333</v>
      </c>
      <c r="K18" s="10">
        <f>'Haq — Monthly P&amp;L and cash'!K16*'Model inputs'!AJ66/12</f>
        <v>833.3333333333333</v>
      </c>
      <c r="L18" s="10">
        <f>'Haq — Monthly P&amp;L and cash'!L16*'Model inputs'!AJ66/12</f>
        <v>833.3333333333333</v>
      </c>
      <c r="M18" s="10">
        <f>'Haq — Monthly P&amp;L and cash'!M16*'Model inputs'!AJ66/12</f>
        <v>1666.6666666666665</v>
      </c>
      <c r="N18" s="10">
        <f>'Haq — Monthly P&amp;L and cash'!N16*'Model inputs'!AJ66/12</f>
        <v>1666.6666666666665</v>
      </c>
      <c r="O18" s="10">
        <f>'Haq — Monthly P&amp;L and cash'!O16*'Model inputs'!AJ66/12</f>
        <v>1666.6666666666665</v>
      </c>
      <c r="P18" s="10">
        <f>'Haq — Monthly P&amp;L and cash'!P16*'Model inputs'!AJ66/12</f>
        <v>1666.6666666666665</v>
      </c>
      <c r="Q18" s="10">
        <f>'Haq — Monthly P&amp;L and cash'!Q16*'Model inputs'!AJ66/12</f>
        <v>1666.6666666666665</v>
      </c>
      <c r="R18" s="10">
        <f>'Haq — Monthly P&amp;L and cash'!R16*'Model inputs'!AJ66/12</f>
        <v>1666.6666666666665</v>
      </c>
      <c r="S18" s="10">
        <f>'Haq — Monthly P&amp;L and cash'!S16*'Model inputs'!AJ66/12</f>
        <v>2916.6666666666665</v>
      </c>
      <c r="T18" s="10">
        <f>'Haq — Monthly P&amp;L and cash'!T16*'Model inputs'!AJ66/12</f>
        <v>2916.6666666666665</v>
      </c>
      <c r="U18" s="10">
        <f>'Haq — Monthly P&amp;L and cash'!U16*'Model inputs'!AJ66/12</f>
        <v>2916.6666666666665</v>
      </c>
      <c r="V18" s="10">
        <f>'Haq — Monthly P&amp;L and cash'!V16*'Model inputs'!AJ66/12</f>
        <v>2916.6666666666665</v>
      </c>
      <c r="W18" s="10">
        <f>'Haq — Monthly P&amp;L and cash'!W16*'Model inputs'!AJ66/12</f>
        <v>2916.6666666666665</v>
      </c>
      <c r="X18" s="10">
        <f>'Haq — Monthly P&amp;L and cash'!X16*'Model inputs'!AJ66/12</f>
        <v>2916.6666666666665</v>
      </c>
      <c r="Y18" s="10">
        <f>'Haq — Monthly P&amp;L and cash'!Y16*'Model inputs'!AJ66/12</f>
        <v>4166.666666666666</v>
      </c>
    </row>
    <row r="19">
      <c r="A19" t="inlineStr" s="8">
        <is>
          <t xml:space="preserve">Haq Employer revenue</t>
        </is>
      </c>
      <c r="B19" s="9">
        <f>'Haq — Monthly P&amp;L and cash'!B16*'Model inputs'!AJ65/12</f>
        <v>0</v>
      </c>
      <c r="C19" s="9">
        <f>'Haq — Monthly P&amp;L and cash'!C16*'Model inputs'!AJ65/12</f>
        <v>0</v>
      </c>
      <c r="D19" s="9">
        <f>'Haq — Monthly P&amp;L and cash'!D16*'Model inputs'!AJ65/12</f>
        <v>0</v>
      </c>
      <c r="E19" s="9">
        <f>'Haq — Monthly P&amp;L and cash'!E16*'Model inputs'!AJ65/12</f>
        <v>0</v>
      </c>
      <c r="F19" s="9">
        <f>'Haq — Monthly P&amp;L and cash'!F16*'Model inputs'!AJ65/12</f>
        <v>0</v>
      </c>
      <c r="G19" s="9">
        <f>'Haq — Monthly P&amp;L and cash'!G16*'Model inputs'!AJ65/12</f>
        <v>0</v>
      </c>
      <c r="H19" s="9">
        <f>'Haq — Monthly P&amp;L and cash'!H16*'Model inputs'!AJ65/12</f>
        <v>0</v>
      </c>
      <c r="I19" s="9">
        <f>'Haq — Monthly P&amp;L and cash'!I16*'Model inputs'!AJ65/12</f>
        <v>0</v>
      </c>
      <c r="J19" s="9">
        <f>'Haq — Monthly P&amp;L and cash'!J16*'Model inputs'!AJ65/12</f>
        <v>41666.666666666664</v>
      </c>
      <c r="K19" s="9">
        <f>'Haq — Monthly P&amp;L and cash'!K16*'Model inputs'!AJ65/12</f>
        <v>41666.666666666664</v>
      </c>
      <c r="L19" s="9">
        <f>'Haq — Monthly P&amp;L and cash'!L16*'Model inputs'!AJ65/12</f>
        <v>41666.666666666664</v>
      </c>
      <c r="M19" s="9">
        <f>'Haq — Monthly P&amp;L and cash'!M16*'Model inputs'!AJ65/12</f>
        <v>83333.33333333333</v>
      </c>
      <c r="N19" s="9">
        <f>'Haq — Monthly P&amp;L and cash'!N16*'Model inputs'!AJ65/12</f>
        <v>83333.33333333333</v>
      </c>
      <c r="O19" s="9">
        <f>'Haq — Monthly P&amp;L and cash'!O16*'Model inputs'!AJ65/12</f>
        <v>83333.33333333333</v>
      </c>
      <c r="P19" s="9">
        <f>'Haq — Monthly P&amp;L and cash'!P16*'Model inputs'!AJ65/12</f>
        <v>83333.33333333333</v>
      </c>
      <c r="Q19" s="9">
        <f>'Haq — Monthly P&amp;L and cash'!Q16*'Model inputs'!AJ65/12</f>
        <v>83333.33333333333</v>
      </c>
      <c r="R19" s="9">
        <f>'Haq — Monthly P&amp;L and cash'!R16*'Model inputs'!AJ65/12</f>
        <v>83333.33333333333</v>
      </c>
      <c r="S19" s="9">
        <f>'Haq — Monthly P&amp;L and cash'!S16*'Model inputs'!AJ65/12</f>
        <v>145833.3333333333</v>
      </c>
      <c r="T19" s="9">
        <f>'Haq — Monthly P&amp;L and cash'!T16*'Model inputs'!AJ65/12</f>
        <v>145833.3333333333</v>
      </c>
      <c r="U19" s="9">
        <f>'Haq — Monthly P&amp;L and cash'!U16*'Model inputs'!AJ65/12</f>
        <v>145833.3333333333</v>
      </c>
      <c r="V19" s="9">
        <f>'Haq — Monthly P&amp;L and cash'!V16*'Model inputs'!AJ65/12</f>
        <v>145833.3333333333</v>
      </c>
      <c r="W19" s="9">
        <f>'Haq — Monthly P&amp;L and cash'!W16*'Model inputs'!AJ65/12</f>
        <v>145833.3333333333</v>
      </c>
      <c r="X19" s="9">
        <f>'Haq — Monthly P&amp;L and cash'!X16*'Model inputs'!AJ65/12</f>
        <v>145833.3333333333</v>
      </c>
      <c r="Y19" s="9">
        <f>'Haq — Monthly P&amp;L and cash'!Y16*'Model inputs'!AJ65/12</f>
        <v>208333.3333333333</v>
      </c>
    </row>
    <row r="20">
      <c r="A20" t="inlineStr" s="8">
        <is>
          <t xml:space="preserve">Haq Employer receipts</t>
        </is>
      </c>
      <c r="B20" s="9">
        <f>'Haq — Monthly P&amp;L and cash'!B17*'Model inputs'!AJ65+0*'Model inputs'!AJ33</f>
        <v>0</v>
      </c>
      <c r="C20" s="9">
        <f>'Haq — Monthly P&amp;L and cash'!C17*'Model inputs'!AJ65+0*'Model inputs'!AJ33</f>
        <v>0</v>
      </c>
      <c r="D20" s="9">
        <f>'Haq — Monthly P&amp;L and cash'!D17*'Model inputs'!AJ65+'Model inputs'!AB26*'Model inputs'!AJ33</f>
        <v>0</v>
      </c>
      <c r="E20" s="9">
        <f>'Haq — Monthly P&amp;L and cash'!E17*'Model inputs'!AJ65+'Model inputs'!AC26*'Model inputs'!AJ33</f>
        <v>0</v>
      </c>
      <c r="F20" s="9">
        <f>'Haq — Monthly P&amp;L and cash'!F17*'Model inputs'!AJ65+'Model inputs'!AD26*'Model inputs'!AJ33</f>
        <v>0</v>
      </c>
      <c r="G20" s="9">
        <f>'Haq — Monthly P&amp;L and cash'!G17*'Model inputs'!AJ65+'Model inputs'!AE26*'Model inputs'!AJ33</f>
        <v>0</v>
      </c>
      <c r="H20" s="9">
        <f>'Haq — Monthly P&amp;L and cash'!H17*'Model inputs'!AJ65+'Model inputs'!AF26*'Model inputs'!AJ33</f>
        <v>0</v>
      </c>
      <c r="I20" s="9">
        <f>'Haq — Monthly P&amp;L and cash'!I17*'Model inputs'!AJ65+'Model inputs'!AG26*'Model inputs'!AJ33</f>
        <v>0</v>
      </c>
      <c r="J20" s="9">
        <f>'Haq — Monthly P&amp;L and cash'!J17*'Model inputs'!AJ65+'Model inputs'!AH26*'Model inputs'!AJ33</f>
        <v>500000</v>
      </c>
      <c r="K20" s="9">
        <f>'Haq — Monthly P&amp;L and cash'!K17*'Model inputs'!AJ65+'Model inputs'!AI26*'Model inputs'!AJ33</f>
        <v>0</v>
      </c>
      <c r="L20" s="9">
        <f>'Haq — Monthly P&amp;L and cash'!L17*'Model inputs'!AJ65+'Model inputs'!B26*'Model inputs'!AJ33</f>
        <v>0</v>
      </c>
      <c r="M20" s="9">
        <f>'Haq — Monthly P&amp;L and cash'!M17*'Model inputs'!AJ65+'Model inputs'!C26*'Model inputs'!AJ33</f>
        <v>500000</v>
      </c>
      <c r="N20" s="9">
        <f>'Haq — Monthly P&amp;L and cash'!N17*'Model inputs'!AJ65+'Haq — Monthly P&amp;L and cash'!B20*'Model inputs'!AJ33</f>
        <v>0</v>
      </c>
      <c r="O20" s="9">
        <f>'Haq — Monthly P&amp;L and cash'!O17*'Model inputs'!AJ65+'Haq — Monthly P&amp;L and cash'!C20*'Model inputs'!AJ33</f>
        <v>0</v>
      </c>
      <c r="P20" s="9">
        <f>'Haq — Monthly P&amp;L and cash'!P17*'Model inputs'!AJ65+'Haq — Monthly P&amp;L and cash'!D20*'Model inputs'!AJ33</f>
        <v>0</v>
      </c>
      <c r="Q20" s="9">
        <f>'Haq — Monthly P&amp;L and cash'!Q17*'Model inputs'!AJ65+'Haq — Monthly P&amp;L and cash'!E20*'Model inputs'!AJ33</f>
        <v>0</v>
      </c>
      <c r="R20" s="9">
        <f>'Haq — Monthly P&amp;L and cash'!R17*'Model inputs'!AJ65+'Haq — Monthly P&amp;L and cash'!F20*'Model inputs'!AJ33</f>
        <v>0</v>
      </c>
      <c r="S20" s="9">
        <f>'Haq — Monthly P&amp;L and cash'!S17*'Model inputs'!AJ65+'Haq — Monthly P&amp;L and cash'!G20*'Model inputs'!AJ33</f>
        <v>750000</v>
      </c>
      <c r="T20" s="9">
        <f>'Haq — Monthly P&amp;L and cash'!T17*'Model inputs'!AJ65+'Haq — Monthly P&amp;L and cash'!H20*'Model inputs'!AJ33</f>
        <v>0</v>
      </c>
      <c r="U20" s="9">
        <f>'Haq — Monthly P&amp;L and cash'!U17*'Model inputs'!AJ65+'Haq — Monthly P&amp;L and cash'!I20*'Model inputs'!AJ33</f>
        <v>0</v>
      </c>
      <c r="V20" s="9">
        <f>'Haq — Monthly P&amp;L and cash'!V17*'Model inputs'!AJ65+'Haq — Monthly P&amp;L and cash'!J20*'Model inputs'!AJ33</f>
        <v>500000</v>
      </c>
      <c r="W20" s="9">
        <f>'Haq — Monthly P&amp;L and cash'!W17*'Model inputs'!AJ65+'Haq — Monthly P&amp;L and cash'!K20*'Model inputs'!AJ33</f>
        <v>0</v>
      </c>
      <c r="X20" s="9">
        <f>'Haq — Monthly P&amp;L and cash'!X17*'Model inputs'!AJ65+'Haq — Monthly P&amp;L and cash'!L20*'Model inputs'!AJ33</f>
        <v>0</v>
      </c>
      <c r="Y20" s="9">
        <f>'Haq — Monthly P&amp;L and cash'!Y17*'Model inputs'!AJ65+'Haq — Monthly P&amp;L and cash'!M20*'Model inputs'!AJ33</f>
        <v>1250000</v>
      </c>
    </row>
    <row r="21">
      <c r="A21" t="inlineStr" s="8">
        <is>
          <t xml:space="preserve">Haq Total checks</t>
        </is>
      </c>
      <c r="B21" s="10">
        <f>'Haq — Monthly P&amp;L and cash'!B9+'Haq — Monthly P&amp;L and cash'!B13+'Haq — Monthly P&amp;L and cash'!B18</f>
        <v>0</v>
      </c>
      <c r="C21" s="10">
        <f>'Haq — Monthly P&amp;L and cash'!C9+'Haq — Monthly P&amp;L and cash'!C13+'Haq — Monthly P&amp;L and cash'!C18</f>
        <v>0</v>
      </c>
      <c r="D21" s="10">
        <f>'Haq — Monthly P&amp;L and cash'!D9+'Haq — Monthly P&amp;L and cash'!D13+'Haq — Monthly P&amp;L and cash'!D18</f>
        <v>0</v>
      </c>
      <c r="E21" s="10">
        <f>'Haq — Monthly P&amp;L and cash'!E9+'Haq — Monthly P&amp;L and cash'!E13+'Haq — Monthly P&amp;L and cash'!E18</f>
        <v>4000</v>
      </c>
      <c r="F21" s="10">
        <f>'Haq — Monthly P&amp;L and cash'!F9+'Haq — Monthly P&amp;L and cash'!F13+'Haq — Monthly P&amp;L and cash'!F18</f>
        <v>4599.999999999999</v>
      </c>
      <c r="G21" s="10">
        <f>'Haq — Monthly P&amp;L and cash'!G9+'Haq — Monthly P&amp;L and cash'!G13+'Haq — Monthly P&amp;L and cash'!G18</f>
        <v>7373.333333333332</v>
      </c>
      <c r="H21" s="10">
        <f>'Haq — Monthly P&amp;L and cash'!H9+'Haq — Monthly P&amp;L and cash'!H13+'Haq — Monthly P&amp;L and cash'!H18</f>
        <v>8166.833333333331</v>
      </c>
      <c r="I21" s="10">
        <f>'Haq — Monthly P&amp;L and cash'!I9+'Haq — Monthly P&amp;L and cash'!I13+'Haq — Monthly P&amp;L and cash'!I18</f>
        <v>9079.35833333333</v>
      </c>
      <c r="J21" s="10">
        <f>'Haq — Monthly P&amp;L and cash'!J9+'Haq — Monthly P&amp;L and cash'!J13+'Haq — Monthly P&amp;L and cash'!J18</f>
        <v>13045.428749999995</v>
      </c>
      <c r="K21" s="10">
        <f>'Haq — Monthly P&amp;L and cash'!K9+'Haq — Monthly P&amp;L and cash'!K13+'Haq — Monthly P&amp;L and cash'!K18</f>
        <v>14252.243062499994</v>
      </c>
      <c r="L21" s="10">
        <f>'Haq — Monthly P&amp;L and cash'!L9+'Haq — Monthly P&amp;L and cash'!L13+'Haq — Monthly P&amp;L and cash'!L18</f>
        <v>15640.079521874992</v>
      </c>
      <c r="M21" s="10">
        <f>'Haq — Monthly P&amp;L and cash'!M9+'Haq — Monthly P&amp;L and cash'!M13+'Haq — Monthly P&amp;L and cash'!M18</f>
        <v>20152.758116822908</v>
      </c>
      <c r="N21" s="10">
        <f>'Haq — Monthly P&amp;L and cash'!N9+'Haq — Monthly P&amp;L and cash'!N13+'Haq — Monthly P&amp;L and cash'!N18</f>
        <v>21988.171834346344</v>
      </c>
      <c r="O21" s="10">
        <f>'Haq — Monthly P&amp;L and cash'!O9+'Haq — Monthly P&amp;L and cash'!O13+'Haq — Monthly P&amp;L and cash'!O18</f>
        <v>24098.897609498294</v>
      </c>
      <c r="P21" s="10">
        <f>'Haq — Monthly P&amp;L and cash'!P9+'Haq — Monthly P&amp;L and cash'!P13+'Haq — Monthly P&amp;L and cash'!P18</f>
        <v>28609.565584256372</v>
      </c>
      <c r="Q21" s="10">
        <f>'Haq — Monthly P&amp;L and cash'!Q9+'Haq — Monthly P&amp;L and cash'!Q13+'Haq — Monthly P&amp;L and cash'!Q18</f>
        <v>31401.000421894823</v>
      </c>
      <c r="R21" s="10">
        <f>'Haq — Monthly P&amp;L and cash'!R9+'Haq — Monthly P&amp;L and cash'!R13+'Haq — Monthly P&amp;L and cash'!R18</f>
        <v>34611.150485179045</v>
      </c>
      <c r="S21" s="10">
        <f>'Haq — Monthly P&amp;L and cash'!S9+'Haq — Monthly P&amp;L and cash'!S13+'Haq — Monthly P&amp;L and cash'!S18</f>
        <v>41636.15639128923</v>
      </c>
      <c r="T21" s="10">
        <f>'Haq — Monthly P&amp;L and cash'!T9+'Haq — Monthly P&amp;L and cash'!T13+'Haq — Monthly P&amp;L and cash'!T18</f>
        <v>45881.57984998262</v>
      </c>
      <c r="U21" s="10">
        <f>'Haq — Monthly P&amp;L and cash'!U9+'Haq — Monthly P&amp;L and cash'!U13+'Haq — Monthly P&amp;L and cash'!U18</f>
        <v>50763.81682748001</v>
      </c>
      <c r="V21" s="10">
        <f>'Haq — Monthly P&amp;L and cash'!V9+'Haq — Monthly P&amp;L and cash'!V13+'Haq — Monthly P&amp;L and cash'!V18</f>
        <v>58461.72268493533</v>
      </c>
      <c r="W21" s="10">
        <f>'Haq — Monthly P&amp;L and cash'!W9+'Haq — Monthly P&amp;L and cash'!W13+'Haq — Monthly P&amp;L and cash'!W18</f>
        <v>64918.48108767563</v>
      </c>
      <c r="X21" s="10">
        <f>'Haq — Monthly P&amp;L and cash'!X9+'Haq — Monthly P&amp;L and cash'!X13+'Haq — Monthly P&amp;L and cash'!X18</f>
        <v>74427.08658416031</v>
      </c>
      <c r="Y21" s="10">
        <f>'Haq — Monthly P&amp;L and cash'!Y9+'Haq — Monthly P&amp;L and cash'!Y13+'Haq — Monthly P&amp;L and cash'!Y18</f>
        <v>86299.48290511768</v>
      </c>
    </row>
    <row r="22">
      <c r="A22" t="inlineStr" s="8">
        <is>
          <t xml:space="preserve">Haq Total revenue</t>
        </is>
      </c>
      <c r="B22" s="9">
        <f>'Haq — Monthly P&amp;L and cash'!B10+'Haq — Monthly P&amp;L and cash'!B14+'Haq — Monthly P&amp;L and cash'!B19</f>
        <v>0</v>
      </c>
      <c r="C22" s="9">
        <f>'Haq — Monthly P&amp;L and cash'!C10+'Haq — Monthly P&amp;L and cash'!C14+'Haq — Monthly P&amp;L and cash'!C19</f>
        <v>0</v>
      </c>
      <c r="D22" s="9">
        <f>'Haq — Monthly P&amp;L and cash'!D10+'Haq — Monthly P&amp;L and cash'!D14+'Haq — Monthly P&amp;L and cash'!D19</f>
        <v>0</v>
      </c>
      <c r="E22" s="9">
        <f>'Haq — Monthly P&amp;L and cash'!E10+'Haq — Monthly P&amp;L and cash'!E14+'Haq — Monthly P&amp;L and cash'!E19</f>
        <v>74950</v>
      </c>
      <c r="F22" s="9">
        <f>'Haq — Monthly P&amp;L and cash'!F10+'Haq — Monthly P&amp;L and cash'!F14+'Haq — Monthly P&amp;L and cash'!F19</f>
        <v>86192.49999999999</v>
      </c>
      <c r="G22" s="9">
        <f>'Haq — Monthly P&amp;L and cash'!G10+'Haq — Monthly P&amp;L and cash'!G14+'Haq — Monthly P&amp;L and cash'!G19</f>
        <v>140788.04166666666</v>
      </c>
      <c r="H22" s="9">
        <f>'Haq — Monthly P&amp;L and cash'!H10+'Haq — Monthly P&amp;L and cash'!H14+'Haq — Monthly P&amp;L and cash'!H19</f>
        <v>155656.24791666662</v>
      </c>
      <c r="I22" s="9">
        <f>'Haq — Monthly P&amp;L and cash'!I10+'Haq — Monthly P&amp;L and cash'!I14+'Haq — Monthly P&amp;L and cash'!I19</f>
        <v>172754.6851041666</v>
      </c>
      <c r="J22" s="9">
        <f>'Haq — Monthly P&amp;L and cash'!J10+'Haq — Monthly P&amp;L and cash'!J14+'Haq — Monthly P&amp;L and cash'!J19</f>
        <v>275751.22120312497</v>
      </c>
      <c r="K22" s="9">
        <f>'Haq — Monthly P&amp;L and cash'!K10+'Haq — Monthly P&amp;L and cash'!K14+'Haq — Monthly P&amp;L and cash'!K19</f>
        <v>298363.90438359365</v>
      </c>
      <c r="L22" s="9">
        <f>'Haq — Monthly P&amp;L and cash'!L10+'Haq — Monthly P&amp;L and cash'!L14+'Haq — Monthly P&amp;L and cash'!L19</f>
        <v>324368.49004113267</v>
      </c>
      <c r="M22" s="9">
        <f>'Haq — Monthly P&amp;L and cash'!M10+'Haq — Monthly P&amp;L and cash'!M14+'Haq — Monthly P&amp;L and cash'!M19</f>
        <v>437607.0968806359</v>
      </c>
      <c r="N22" s="9">
        <f>'Haq — Monthly P&amp;L and cash'!N10+'Haq — Monthly P&amp;L and cash'!N14+'Haq — Monthly P&amp;L and cash'!N19</f>
        <v>471998.1614127313</v>
      </c>
      <c r="O22" s="9">
        <f>'Haq — Monthly P&amp;L and cash'!O10+'Haq — Monthly P&amp;L and cash'!O14+'Haq — Monthly P&amp;L and cash'!O19</f>
        <v>511547.8856246409</v>
      </c>
      <c r="P22" s="9">
        <f>'Haq — Monthly P&amp;L and cash'!P10+'Haq — Monthly P&amp;L and cash'!P14+'Haq — Monthly P&amp;L and cash'!P19</f>
        <v>598696.7351350037</v>
      </c>
      <c r="Q22" s="9">
        <f>'Haq — Monthly P&amp;L and cash'!Q10+'Haq — Monthly P&amp;L and cash'!Q14+'Haq — Monthly P&amp;L and cash'!Q19</f>
        <v>651001.2454052542</v>
      </c>
      <c r="R22" s="9">
        <f>'Haq — Monthly P&amp;L and cash'!R10+'Haq — Monthly P&amp;L and cash'!R14+'Haq — Monthly P&amp;L and cash'!R19</f>
        <v>711151.4322160424</v>
      </c>
      <c r="S22" s="9">
        <f>'Haq — Monthly P&amp;L and cash'!S10+'Haq — Monthly P&amp;L and cash'!S14+'Haq — Monthly P&amp;L and cash'!S19</f>
        <v>884490.8137151153</v>
      </c>
      <c r="T22" s="9">
        <f>'Haq — Monthly P&amp;L and cash'!T10+'Haq — Monthly P&amp;L and cash'!T14+'Haq — Monthly P&amp;L and cash'!T19</f>
        <v>964039.4357723825</v>
      </c>
      <c r="U22" s="9">
        <f>'Haq — Monthly P&amp;L and cash'!U10+'Haq — Monthly P&amp;L and cash'!U14+'Haq — Monthly P&amp;L and cash'!U19</f>
        <v>1055520.35113824</v>
      </c>
      <c r="V22" s="9">
        <f>'Haq — Monthly P&amp;L and cash'!V10+'Haq — Monthly P&amp;L and cash'!V14+'Haq — Monthly P&amp;L and cash'!V19</f>
        <v>1202390.0704756426</v>
      </c>
      <c r="W22" s="9">
        <f>'Haq — Monthly P&amp;L and cash'!W10+'Haq — Monthly P&amp;L and cash'!W14+'Haq — Monthly P&amp;L and cash'!W19</f>
        <v>1323373.5810469887</v>
      </c>
      <c r="X22" s="9">
        <f>'Haq — Monthly P&amp;L and cash'!X10+'Haq — Monthly P&amp;L and cash'!X14+'Haq — Monthly P&amp;L and cash'!X19</f>
        <v>1504171.2848707037</v>
      </c>
      <c r="Y22" s="9">
        <f>'Haq — Monthly P&amp;L and cash'!Y10+'Haq — Monthly P&amp;L and cash'!Y14+'Haq — Monthly P&amp;L and cash'!Y19</f>
        <v>1768338.6442679758</v>
      </c>
    </row>
    <row r="23">
      <c r="A23" t="inlineStr" s="8">
        <is>
          <t xml:space="preserve">Haq AI cost</t>
        </is>
      </c>
      <c r="B23" s="9">
        <f>'Haq — Monthly P&amp;L and cash'!B21*'Haq — Monthly P&amp;L and cash'!B6</f>
        <v>0</v>
      </c>
      <c r="C23" s="9">
        <f>'Haq — Monthly P&amp;L and cash'!C21*'Haq — Monthly P&amp;L and cash'!C6</f>
        <v>0</v>
      </c>
      <c r="D23" s="9">
        <f>'Haq — Monthly P&amp;L and cash'!D21*'Haq — Monthly P&amp;L and cash'!D6</f>
        <v>0</v>
      </c>
      <c r="E23" s="9">
        <f>'Haq — Monthly P&amp;L and cash'!E21*'Haq — Monthly P&amp;L and cash'!E6</f>
        <v>40000</v>
      </c>
      <c r="F23" s="9">
        <f>'Haq — Monthly P&amp;L and cash'!F21*'Haq — Monthly P&amp;L and cash'!F6</f>
        <v>45999.99999999999</v>
      </c>
      <c r="G23" s="9">
        <f>'Haq — Monthly P&amp;L and cash'!G21*'Haq — Monthly P&amp;L and cash'!G6</f>
        <v>73733.33333333331</v>
      </c>
      <c r="H23" s="9">
        <f>'Haq — Monthly P&amp;L and cash'!H21*'Haq — Monthly P&amp;L and cash'!H6</f>
        <v>81668.33333333331</v>
      </c>
      <c r="I23" s="9">
        <f>'Haq — Monthly P&amp;L and cash'!I21*'Haq — Monthly P&amp;L and cash'!I6</f>
        <v>90793.5833333333</v>
      </c>
      <c r="J23" s="9">
        <f>'Haq — Monthly P&amp;L and cash'!J21*'Haq — Monthly P&amp;L and cash'!J6</f>
        <v>130454.28749999995</v>
      </c>
      <c r="K23" s="9">
        <f>'Haq — Monthly P&amp;L and cash'!K21*'Haq — Monthly P&amp;L and cash'!K6</f>
        <v>57008.97224999998</v>
      </c>
      <c r="L23" s="9">
        <f>'Haq — Monthly P&amp;L and cash'!L21*'Haq — Monthly P&amp;L and cash'!L6</f>
        <v>62560.31808749997</v>
      </c>
      <c r="M23" s="9">
        <f>'Haq — Monthly P&amp;L and cash'!M21*'Haq — Monthly P&amp;L and cash'!M6</f>
        <v>80611.03246729163</v>
      </c>
      <c r="N23" s="9">
        <f>'Haq — Monthly P&amp;L and cash'!N21*'Haq — Monthly P&amp;L and cash'!N6</f>
        <v>87952.68733738537</v>
      </c>
      <c r="O23" s="9">
        <f>'Haq — Monthly P&amp;L and cash'!O21*'Haq — Monthly P&amp;L and cash'!O6</f>
        <v>96395.59043799317</v>
      </c>
      <c r="P23" s="9">
        <f>'Haq — Monthly P&amp;L and cash'!P21*'Haq — Monthly P&amp;L and cash'!P6</f>
        <v>114438.26233702549</v>
      </c>
      <c r="Q23" s="9">
        <f>'Haq — Monthly P&amp;L and cash'!Q21*'Haq — Monthly P&amp;L and cash'!Q6</f>
        <v>125604.0016875793</v>
      </c>
      <c r="R23" s="9">
        <f>'Haq — Monthly P&amp;L and cash'!R21*'Haq — Monthly P&amp;L and cash'!R6</f>
        <v>138444.60194071618</v>
      </c>
      <c r="S23" s="9">
        <f>'Haq — Monthly P&amp;L and cash'!S21*'Haq — Monthly P&amp;L and cash'!S6</f>
        <v>166544.62556515692</v>
      </c>
      <c r="T23" s="9">
        <f>'Haq — Monthly P&amp;L and cash'!T21*'Haq — Monthly P&amp;L and cash'!T6</f>
        <v>183526.31939993048</v>
      </c>
      <c r="U23" s="9">
        <f>'Haq — Monthly P&amp;L and cash'!U21*'Haq — Monthly P&amp;L and cash'!U6</f>
        <v>203055.26730992005</v>
      </c>
      <c r="V23" s="9">
        <f>'Haq — Monthly P&amp;L and cash'!V21*'Haq — Monthly P&amp;L and cash'!V6</f>
        <v>233846.89073974133</v>
      </c>
      <c r="W23" s="9">
        <f>'Haq — Monthly P&amp;L and cash'!W21*'Haq — Monthly P&amp;L and cash'!W6</f>
        <v>259673.92435070252</v>
      </c>
      <c r="X23" s="9">
        <f>'Haq — Monthly P&amp;L and cash'!X21*'Haq — Monthly P&amp;L and cash'!X6</f>
        <v>297708.34633664123</v>
      </c>
      <c r="Y23" s="9">
        <f>'Haq — Monthly P&amp;L and cash'!Y21*'Haq — Monthly P&amp;L and cash'!Y6</f>
        <v>345197.9316204707</v>
      </c>
    </row>
    <row r="24">
      <c r="A24" t="inlineStr" s="8">
        <is>
          <t xml:space="preserve">Haq Collection cost P&amp;L</t>
        </is>
      </c>
      <c r="B24" s="9">
        <f>'Haq — Monthly P&amp;L and cash'!B22*'Model inputs'!AJ60</f>
        <v>0</v>
      </c>
      <c r="C24" s="9">
        <f>'Haq — Monthly P&amp;L and cash'!C22*'Model inputs'!AJ60</f>
        <v>0</v>
      </c>
      <c r="D24" s="9">
        <f>'Haq — Monthly P&amp;L and cash'!D22*'Model inputs'!AJ60</f>
        <v>0</v>
      </c>
      <c r="E24" s="9">
        <f>'Haq — Monthly P&amp;L and cash'!E22*'Model inputs'!AJ60</f>
        <v>1499</v>
      </c>
      <c r="F24" s="9">
        <f>'Haq — Monthly P&amp;L and cash'!F22*'Model inputs'!AJ60</f>
        <v>1723.8499999999997</v>
      </c>
      <c r="G24" s="9">
        <f>'Haq — Monthly P&amp;L and cash'!G22*'Model inputs'!AJ60</f>
        <v>2815.7608333333333</v>
      </c>
      <c r="H24" s="9">
        <f>'Haq — Monthly P&amp;L and cash'!H22*'Model inputs'!AJ60</f>
        <v>3113.1249583333324</v>
      </c>
      <c r="I24" s="9">
        <f>'Haq — Monthly P&amp;L and cash'!I22*'Model inputs'!AJ60</f>
        <v>3455.093702083332</v>
      </c>
      <c r="J24" s="9">
        <f>'Haq — Monthly P&amp;L and cash'!J22*'Model inputs'!AJ60</f>
        <v>5515.0244240625</v>
      </c>
      <c r="K24" s="9">
        <f>'Haq — Monthly P&amp;L and cash'!K22*'Model inputs'!AJ60</f>
        <v>5967.278087671873</v>
      </c>
      <c r="L24" s="9">
        <f>'Haq — Monthly P&amp;L and cash'!L22*'Model inputs'!AJ60</f>
        <v>6487.369800822654</v>
      </c>
      <c r="M24" s="9">
        <f>'Haq — Monthly P&amp;L and cash'!M22*'Model inputs'!AJ60</f>
        <v>8752.141937612718</v>
      </c>
      <c r="N24" s="9">
        <f>'Haq — Monthly P&amp;L and cash'!N22*'Model inputs'!AJ60</f>
        <v>9439.963228254626</v>
      </c>
      <c r="O24" s="9">
        <f>'Haq — Monthly P&amp;L and cash'!O22*'Model inputs'!AJ60</f>
        <v>10230.957712492818</v>
      </c>
      <c r="P24" s="9">
        <f>'Haq — Monthly P&amp;L and cash'!P22*'Model inputs'!AJ60</f>
        <v>11973.934702700075</v>
      </c>
      <c r="Q24" s="9">
        <f>'Haq — Monthly P&amp;L and cash'!Q22*'Model inputs'!AJ60</f>
        <v>13020.024908105084</v>
      </c>
      <c r="R24" s="9">
        <f>'Haq — Monthly P&amp;L and cash'!R22*'Model inputs'!AJ60</f>
        <v>14223.028644320848</v>
      </c>
      <c r="S24" s="9">
        <f>'Haq — Monthly P&amp;L and cash'!S22*'Model inputs'!AJ60</f>
        <v>17689.816274302306</v>
      </c>
      <c r="T24" s="9">
        <f>'Haq — Monthly P&amp;L and cash'!T22*'Model inputs'!AJ60</f>
        <v>19280.788715447652</v>
      </c>
      <c r="U24" s="9">
        <f>'Haq — Monthly P&amp;L and cash'!U22*'Model inputs'!AJ60</f>
        <v>21110.4070227648</v>
      </c>
      <c r="V24" s="9">
        <f>'Haq — Monthly P&amp;L and cash'!V22*'Model inputs'!AJ60</f>
        <v>24047.801409512853</v>
      </c>
      <c r="W24" s="9">
        <f>'Haq — Monthly P&amp;L and cash'!W22*'Model inputs'!AJ60</f>
        <v>26467.471620939774</v>
      </c>
      <c r="X24" s="9">
        <f>'Haq — Monthly P&amp;L and cash'!X22*'Model inputs'!AJ60</f>
        <v>30083.425697414074</v>
      </c>
      <c r="Y24" s="9">
        <f>'Haq — Monthly P&amp;L and cash'!Y22*'Model inputs'!AJ60</f>
        <v>35366.77288535952</v>
      </c>
    </row>
    <row r="25">
      <c r="A25" t="inlineStr" s="8">
        <is>
          <t xml:space="preserve">Haq Gross profit</t>
        </is>
      </c>
      <c r="B25" s="9">
        <f>'Haq — Monthly P&amp;L and cash'!B22-'Haq — Monthly P&amp;L and cash'!B23-'Haq — Monthly P&amp;L and cash'!B24</f>
        <v>0</v>
      </c>
      <c r="C25" s="9">
        <f>'Haq — Monthly P&amp;L and cash'!C22-'Haq — Monthly P&amp;L and cash'!C23-'Haq — Monthly P&amp;L and cash'!C24</f>
        <v>0</v>
      </c>
      <c r="D25" s="9">
        <f>'Haq — Monthly P&amp;L and cash'!D22-'Haq — Monthly P&amp;L and cash'!D23-'Haq — Monthly P&amp;L and cash'!D24</f>
        <v>0</v>
      </c>
      <c r="E25" s="9">
        <f>'Haq — Monthly P&amp;L and cash'!E22-'Haq — Monthly P&amp;L and cash'!E23-'Haq — Monthly P&amp;L and cash'!E24</f>
        <v>33451</v>
      </c>
      <c r="F25" s="9">
        <f>'Haq — Monthly P&amp;L and cash'!F22-'Haq — Monthly P&amp;L and cash'!F23-'Haq — Monthly P&amp;L and cash'!F24</f>
        <v>38468.649999999994</v>
      </c>
      <c r="G25" s="9">
        <f>'Haq — Monthly P&amp;L and cash'!G22-'Haq — Monthly P&amp;L and cash'!G23-'Haq — Monthly P&amp;L and cash'!G24</f>
        <v>64238.94750000001</v>
      </c>
      <c r="H25" s="9">
        <f>'Haq — Monthly P&amp;L and cash'!H22-'Haq — Monthly P&amp;L and cash'!H23-'Haq — Monthly P&amp;L and cash'!H24</f>
        <v>70874.78962499998</v>
      </c>
      <c r="I25" s="9">
        <f>'Haq — Monthly P&amp;L and cash'!I22-'Haq — Monthly P&amp;L and cash'!I23-'Haq — Monthly P&amp;L and cash'!I24</f>
        <v>78506.00806874996</v>
      </c>
      <c r="J25" s="9">
        <f>'Haq — Monthly P&amp;L and cash'!J22-'Haq — Monthly P&amp;L and cash'!J23-'Haq — Monthly P&amp;L and cash'!J24</f>
        <v>139781.90927906253</v>
      </c>
      <c r="K25" s="9">
        <f>'Haq — Monthly P&amp;L and cash'!K22-'Haq — Monthly P&amp;L and cash'!K23-'Haq — Monthly P&amp;L and cash'!K24</f>
        <v>235387.65404592178</v>
      </c>
      <c r="L25" s="9">
        <f>'Haq — Monthly P&amp;L and cash'!L22-'Haq — Monthly P&amp;L and cash'!L23-'Haq — Monthly P&amp;L and cash'!L24</f>
        <v>255320.80215281004</v>
      </c>
      <c r="M25" s="9">
        <f>'Haq — Monthly P&amp;L and cash'!M22-'Haq — Monthly P&amp;L and cash'!M23-'Haq — Monthly P&amp;L and cash'!M24</f>
        <v>348243.9224757315</v>
      </c>
      <c r="N25" s="9">
        <f>'Haq — Monthly P&amp;L and cash'!N22-'Haq — Monthly P&amp;L and cash'!N23-'Haq — Monthly P&amp;L and cash'!N24</f>
        <v>374605.51084709127</v>
      </c>
      <c r="O25" s="9">
        <f>'Haq — Monthly P&amp;L and cash'!O22-'Haq — Monthly P&amp;L and cash'!O23-'Haq — Monthly P&amp;L and cash'!O24</f>
        <v>404921.3374741549</v>
      </c>
      <c r="P25" s="9">
        <f>'Haq — Monthly P&amp;L and cash'!P22-'Haq — Monthly P&amp;L and cash'!P23-'Haq — Monthly P&amp;L and cash'!P24</f>
        <v>472284.53809527814</v>
      </c>
      <c r="Q25" s="9">
        <f>'Haq — Monthly P&amp;L and cash'!Q22-'Haq — Monthly P&amp;L and cash'!Q23-'Haq — Monthly P&amp;L and cash'!Q24</f>
        <v>512377.2188095698</v>
      </c>
      <c r="R25" s="9">
        <f>'Haq — Monthly P&amp;L and cash'!R22-'Haq — Monthly P&amp;L and cash'!R23-'Haq — Monthly P&amp;L and cash'!R24</f>
        <v>558483.8016310054</v>
      </c>
      <c r="S25" s="9">
        <f>'Haq — Monthly P&amp;L and cash'!S22-'Haq — Monthly P&amp;L and cash'!S23-'Haq — Monthly P&amp;L and cash'!S24</f>
        <v>700256.3718756561</v>
      </c>
      <c r="T25" s="9">
        <f>'Haq — Monthly P&amp;L and cash'!T22-'Haq — Monthly P&amp;L and cash'!T23-'Haq — Monthly P&amp;L and cash'!T24</f>
        <v>761232.3276570045</v>
      </c>
      <c r="U25" s="9">
        <f>'Haq — Monthly P&amp;L and cash'!U22-'Haq — Monthly P&amp;L and cash'!U23-'Haq — Monthly P&amp;L and cash'!U24</f>
        <v>831354.6768055551</v>
      </c>
      <c r="V25" s="9">
        <f>'Haq — Monthly P&amp;L and cash'!V22-'Haq — Monthly P&amp;L and cash'!V23-'Haq — Monthly P&amp;L and cash'!V24</f>
        <v>944495.3783263884</v>
      </c>
      <c r="W25" s="9">
        <f>'Haq — Monthly P&amp;L and cash'!W22-'Haq — Monthly P&amp;L and cash'!W23-'Haq — Monthly P&amp;L and cash'!W24</f>
        <v>1037232.1850753465</v>
      </c>
      <c r="X25" s="9">
        <f>'Haq — Monthly P&amp;L and cash'!X22-'Haq — Monthly P&amp;L and cash'!X23-'Haq — Monthly P&amp;L and cash'!X24</f>
        <v>1176379.5128366484</v>
      </c>
      <c r="Y25" s="9">
        <f>'Haq — Monthly P&amp;L and cash'!Y22-'Haq — Monthly P&amp;L and cash'!Y23-'Haq — Monthly P&amp;L and cash'!Y24</f>
        <v>1387773.9397621455</v>
      </c>
    </row>
    <row r="26">
      <c r="A26" t="inlineStr" s="8">
        <is>
          <t xml:space="preserve">Haq Gross margin</t>
        </is>
      </c>
      <c r="B26" t="str" s="11">
        <f>IFERROR('Haq — Monthly P&amp;L and cash'!B25/'Haq — Monthly P&amp;L and cash'!B22,"")</f>
        <v/>
      </c>
      <c r="C26" t="str" s="11">
        <f>IFERROR('Haq — Monthly P&amp;L and cash'!C25/'Haq — Monthly P&amp;L and cash'!C22,"")</f>
        <v/>
      </c>
      <c r="D26" t="str" s="11">
        <f>IFERROR('Haq — Monthly P&amp;L and cash'!D25/'Haq — Monthly P&amp;L and cash'!D22,"")</f>
        <v/>
      </c>
      <c r="E26" s="11">
        <f>IFERROR('Haq — Monthly P&amp;L and cash'!E25/'Haq — Monthly P&amp;L and cash'!E22,"")</f>
        <v>0.446310873915944</v>
      </c>
      <c r="F26" s="11">
        <f>IFERROR('Haq — Monthly P&amp;L and cash'!F25/'Haq — Monthly P&amp;L and cash'!F22,"")</f>
        <v>0.446310873915944</v>
      </c>
      <c r="G26" s="11">
        <f>IFERROR('Haq — Monthly P&amp;L and cash'!G25/'Haq — Monthly P&amp;L and cash'!G22,"")</f>
        <v>0.4562812774404077</v>
      </c>
      <c r="H26" s="11">
        <f>IFERROR('Haq — Monthly P&amp;L and cash'!H25/'Haq — Monthly P&amp;L and cash'!H22,"")</f>
        <v>0.4553289095272557</v>
      </c>
      <c r="I26" s="11">
        <f>IFERROR('Haq — Monthly P&amp;L and cash'!I25/'Haq — Monthly P&amp;L and cash'!I22,"")</f>
        <v>0.45443634724819687</v>
      </c>
      <c r="J26" s="11">
        <f>IFERROR('Haq — Monthly P&amp;L and cash'!J25/'Haq — Monthly P&amp;L and cash'!J22,"")</f>
        <v>0.5069131105537183</v>
      </c>
      <c r="K26" s="11">
        <f>IFERROR('Haq — Monthly P&amp;L and cash'!K25/'Haq — Monthly P&amp;L and cash'!K22,"")</f>
        <v>0.7889280525813672</v>
      </c>
      <c r="L26" s="11">
        <f>IFERROR('Haq — Monthly P&amp;L and cash'!L25/'Haq — Monthly P&amp;L and cash'!L22,"")</f>
        <v>0.787131950210186</v>
      </c>
      <c r="M26" s="11">
        <f>IFERROR('Haq — Monthly P&amp;L and cash'!M25/'Haq — Monthly P&amp;L and cash'!M22,"")</f>
        <v>0.7957913044785936</v>
      </c>
      <c r="N26" s="11">
        <f>IFERROR('Haq — Monthly P&amp;L and cash'!N25/'Haq — Monthly P&amp;L and cash'!N22,"")</f>
        <v>0.7936588348688999</v>
      </c>
      <c r="O26" s="11">
        <f>IFERROR('Haq — Monthly P&amp;L and cash'!O25/'Haq — Monthly P&amp;L and cash'!O22,"")</f>
        <v>0.7915609639940424</v>
      </c>
      <c r="P26" s="11">
        <f>IFERROR('Haq — Monthly P&amp;L and cash'!P25/'Haq — Monthly P&amp;L and cash'!P22,"")</f>
        <v>0.7888543738070993</v>
      </c>
      <c r="Q26" s="11">
        <f>IFERROR('Haq — Monthly P&amp;L and cash'!Q25/'Haq — Monthly P&amp;L and cash'!Q22,"")</f>
        <v>0.7870602743480318</v>
      </c>
      <c r="R26" s="11">
        <f>IFERROR('Haq — Monthly P&amp;L and cash'!R25/'Haq — Monthly P&amp;L and cash'!R22,"")</f>
        <v>0.785323316991285</v>
      </c>
      <c r="S26" s="11">
        <f>IFERROR('Haq — Monthly P&amp;L and cash'!S25/'Haq — Monthly P&amp;L and cash'!S22,"")</f>
        <v>0.791705646929648</v>
      </c>
      <c r="T26" s="11">
        <f>IFERROR('Haq — Monthly P&amp;L and cash'!T25/'Haq — Monthly P&amp;L and cash'!T22,"")</f>
        <v>0.7896277884598255</v>
      </c>
      <c r="U26" s="11">
        <f>IFERROR('Haq — Monthly P&amp;L and cash'!U25/'Haq — Monthly P&amp;L and cash'!U22,"")</f>
        <v>0.7876254360316676</v>
      </c>
      <c r="V26" s="11">
        <f>IFERROR('Haq — Monthly P&amp;L and cash'!V25/'Haq — Monthly P&amp;L and cash'!V22,"")</f>
        <v>0.7855149518598105</v>
      </c>
      <c r="W26" s="11">
        <f>IFERROR('Haq — Monthly P&amp;L and cash'!W25/'Haq — Monthly P&amp;L and cash'!W22,"")</f>
        <v>0.7837788209847282</v>
      </c>
      <c r="X26" s="11">
        <f>IFERROR('Haq — Monthly P&amp;L and cash'!X25/'Haq — Monthly P&amp;L and cash'!X22,"")</f>
        <v>0.7820781613563167</v>
      </c>
      <c r="Y26" s="11">
        <f>IFERROR('Haq — Monthly P&amp;L and cash'!Y25/'Haq — Monthly P&amp;L and cash'!Y22,"")</f>
        <v>0.7847896918729786</v>
      </c>
    </row>
    <row r="27">
      <c r="A27" t="inlineStr" s="8">
        <is>
          <t xml:space="preserve">Haq Founder payroll</t>
        </is>
      </c>
      <c r="B27" s="9">
        <f>IF(IF(IF(ISERROR('Haq — Monthly P&amp;L and cash'!B5&gt;='Model inputs'!AJ76),'Haq — Monthly P&amp;L and cash'!B5&gt;='Model inputs'!AJ76,IF(OR('Haq — Monthly P&amp;L and cash'!B5="",'Model inputs'!AJ76=""),"",'Haq — Monthly P&amp;L and cash'!B5&gt;='Model inputs'!AJ76))="",FALSE,IF(ISERROR('Haq — Monthly P&amp;L and cash'!B5&gt;='Model inputs'!AJ76),'Haq — Monthly P&amp;L and cash'!B5&gt;='Model inputs'!AJ76,IF(OR('Haq — Monthly P&amp;L and cash'!B5="",'Model inputs'!AJ76=""),"",'Haq — Monthly P&amp;L and cash'!B5&gt;='Model inputs'!AJ76))),'Model inputs'!AJ75*'Model inputs'!AJ74,0)</f>
        <v>0</v>
      </c>
      <c r="C27" s="9">
        <f>IF(IF(IF(ISERROR('Haq — Monthly P&amp;L and cash'!C5&gt;='Model inputs'!AJ76),'Haq — Monthly P&amp;L and cash'!C5&gt;='Model inputs'!AJ76,IF(OR('Haq — Monthly P&amp;L and cash'!C5="",'Model inputs'!AJ76=""),"",'Haq — Monthly P&amp;L and cash'!C5&gt;='Model inputs'!AJ76))="",FALSE,IF(ISERROR('Haq — Monthly P&amp;L and cash'!C5&gt;='Model inputs'!AJ76),'Haq — Monthly P&amp;L and cash'!C5&gt;='Model inputs'!AJ76,IF(OR('Haq — Monthly P&amp;L and cash'!C5="",'Model inputs'!AJ76=""),"",'Haq — Monthly P&amp;L and cash'!C5&gt;='Model inputs'!AJ76))),'Model inputs'!AJ75*'Model inputs'!AJ74,0)</f>
        <v>0</v>
      </c>
      <c r="D27" s="9">
        <f>IF(IF(IF(ISERROR('Haq — Monthly P&amp;L and cash'!D5&gt;='Model inputs'!AJ76),'Haq — Monthly P&amp;L and cash'!D5&gt;='Model inputs'!AJ76,IF(OR('Haq — Monthly P&amp;L and cash'!D5="",'Model inputs'!AJ76=""),"",'Haq — Monthly P&amp;L and cash'!D5&gt;='Model inputs'!AJ76))="",FALSE,IF(ISERROR('Haq — Monthly P&amp;L and cash'!D5&gt;='Model inputs'!AJ76),'Haq — Monthly P&amp;L and cash'!D5&gt;='Model inputs'!AJ76,IF(OR('Haq — Monthly P&amp;L and cash'!D5="",'Model inputs'!AJ76=""),"",'Haq — Monthly P&amp;L and cash'!D5&gt;='Model inputs'!AJ76))),'Model inputs'!AJ75*'Model inputs'!AJ74,0)</f>
        <v>0</v>
      </c>
      <c r="E27" s="9">
        <f>IF(IF(IF(ISERROR('Haq — Monthly P&amp;L and cash'!E5&gt;='Model inputs'!AJ76),'Haq — Monthly P&amp;L and cash'!E5&gt;='Model inputs'!AJ76,IF(OR('Haq — Monthly P&amp;L and cash'!E5="",'Model inputs'!AJ76=""),"",'Haq — Monthly P&amp;L and cash'!E5&gt;='Model inputs'!AJ76))="",FALSE,IF(ISERROR('Haq — Monthly P&amp;L and cash'!E5&gt;='Model inputs'!AJ76),'Haq — Monthly P&amp;L and cash'!E5&gt;='Model inputs'!AJ76,IF(OR('Haq — Monthly P&amp;L and cash'!E5="",'Model inputs'!AJ76=""),"",'Haq — Monthly P&amp;L and cash'!E5&gt;='Model inputs'!AJ76))),'Model inputs'!AJ75*'Model inputs'!AJ74,0)</f>
        <v>0</v>
      </c>
      <c r="F27" s="9">
        <f>IF(IF(IF(ISERROR('Haq — Monthly P&amp;L and cash'!F5&gt;='Model inputs'!AJ76),'Haq — Monthly P&amp;L and cash'!F5&gt;='Model inputs'!AJ76,IF(OR('Haq — Monthly P&amp;L and cash'!F5="",'Model inputs'!AJ76=""),"",'Haq — Monthly P&amp;L and cash'!F5&gt;='Model inputs'!AJ76))="",FALSE,IF(ISERROR('Haq — Monthly P&amp;L and cash'!F5&gt;='Model inputs'!AJ76),'Haq — Monthly P&amp;L and cash'!F5&gt;='Model inputs'!AJ76,IF(OR('Haq — Monthly P&amp;L and cash'!F5="",'Model inputs'!AJ76=""),"",'Haq — Monthly P&amp;L and cash'!F5&gt;='Model inputs'!AJ76))),'Model inputs'!AJ75*'Model inputs'!AJ74,0)</f>
        <v>0</v>
      </c>
      <c r="G27" s="9">
        <f>IF(IF(IF(ISERROR('Haq — Monthly P&amp;L and cash'!G5&gt;='Model inputs'!AJ76),'Haq — Monthly P&amp;L and cash'!G5&gt;='Model inputs'!AJ76,IF(OR('Haq — Monthly P&amp;L and cash'!G5="",'Model inputs'!AJ76=""),"",'Haq — Monthly P&amp;L and cash'!G5&gt;='Model inputs'!AJ76))="",FALSE,IF(ISERROR('Haq — Monthly P&amp;L and cash'!G5&gt;='Model inputs'!AJ76),'Haq — Monthly P&amp;L and cash'!G5&gt;='Model inputs'!AJ76,IF(OR('Haq — Monthly P&amp;L and cash'!G5="",'Model inputs'!AJ76=""),"",'Haq — Monthly P&amp;L and cash'!G5&gt;='Model inputs'!AJ76))),'Model inputs'!AJ75*'Model inputs'!AJ74,0)</f>
        <v>0</v>
      </c>
      <c r="H27" s="9">
        <f>IF(IF(IF(ISERROR('Haq — Monthly P&amp;L and cash'!H5&gt;='Model inputs'!AJ76),'Haq — Monthly P&amp;L and cash'!H5&gt;='Model inputs'!AJ76,IF(OR('Haq — Monthly P&amp;L and cash'!H5="",'Model inputs'!AJ76=""),"",'Haq — Monthly P&amp;L and cash'!H5&gt;='Model inputs'!AJ76))="",FALSE,IF(ISERROR('Haq — Monthly P&amp;L and cash'!H5&gt;='Model inputs'!AJ76),'Haq — Monthly P&amp;L and cash'!H5&gt;='Model inputs'!AJ76,IF(OR('Haq — Monthly P&amp;L and cash'!H5="",'Model inputs'!AJ76=""),"",'Haq — Monthly P&amp;L and cash'!H5&gt;='Model inputs'!AJ76))),'Model inputs'!AJ75*'Model inputs'!AJ74,0)</f>
        <v>100000</v>
      </c>
      <c r="I27" s="9">
        <f>IF(IF(IF(ISERROR('Haq — Monthly P&amp;L and cash'!I5&gt;='Model inputs'!AJ76),'Haq — Monthly P&amp;L and cash'!I5&gt;='Model inputs'!AJ76,IF(OR('Haq — Monthly P&amp;L and cash'!I5="",'Model inputs'!AJ76=""),"",'Haq — Monthly P&amp;L and cash'!I5&gt;='Model inputs'!AJ76))="",FALSE,IF(ISERROR('Haq — Monthly P&amp;L and cash'!I5&gt;='Model inputs'!AJ76),'Haq — Monthly P&amp;L and cash'!I5&gt;='Model inputs'!AJ76,IF(OR('Haq — Monthly P&amp;L and cash'!I5="",'Model inputs'!AJ76=""),"",'Haq — Monthly P&amp;L and cash'!I5&gt;='Model inputs'!AJ76))),'Model inputs'!AJ75*'Model inputs'!AJ74,0)</f>
        <v>100000</v>
      </c>
      <c r="J27" s="9">
        <f>IF(IF(IF(ISERROR('Haq — Monthly P&amp;L and cash'!J5&gt;='Model inputs'!AJ76),'Haq — Monthly P&amp;L and cash'!J5&gt;='Model inputs'!AJ76,IF(OR('Haq — Monthly P&amp;L and cash'!J5="",'Model inputs'!AJ76=""),"",'Haq — Monthly P&amp;L and cash'!J5&gt;='Model inputs'!AJ76))="",FALSE,IF(ISERROR('Haq — Monthly P&amp;L and cash'!J5&gt;='Model inputs'!AJ76),'Haq — Monthly P&amp;L and cash'!J5&gt;='Model inputs'!AJ76,IF(OR('Haq — Monthly P&amp;L and cash'!J5="",'Model inputs'!AJ76=""),"",'Haq — Monthly P&amp;L and cash'!J5&gt;='Model inputs'!AJ76))),'Model inputs'!AJ75*'Model inputs'!AJ74,0)</f>
        <v>100000</v>
      </c>
      <c r="K27" s="9">
        <f>IF(IF(IF(ISERROR('Haq — Monthly P&amp;L and cash'!K5&gt;='Model inputs'!AJ76),'Haq — Monthly P&amp;L and cash'!K5&gt;='Model inputs'!AJ76,IF(OR('Haq — Monthly P&amp;L and cash'!K5="",'Model inputs'!AJ76=""),"",'Haq — Monthly P&amp;L and cash'!K5&gt;='Model inputs'!AJ76))="",FALSE,IF(ISERROR('Haq — Monthly P&amp;L and cash'!K5&gt;='Model inputs'!AJ76),'Haq — Monthly P&amp;L and cash'!K5&gt;='Model inputs'!AJ76,IF(OR('Haq — Monthly P&amp;L and cash'!K5="",'Model inputs'!AJ76=""),"",'Haq — Monthly P&amp;L and cash'!K5&gt;='Model inputs'!AJ76))),'Model inputs'!AJ75*'Model inputs'!AJ74,0)</f>
        <v>100000</v>
      </c>
      <c r="L27" s="9">
        <f>IF(IF(IF(ISERROR('Haq — Monthly P&amp;L and cash'!L5&gt;='Model inputs'!AJ76),'Haq — Monthly P&amp;L and cash'!L5&gt;='Model inputs'!AJ76,IF(OR('Haq — Monthly P&amp;L and cash'!L5="",'Model inputs'!AJ76=""),"",'Haq — Monthly P&amp;L and cash'!L5&gt;='Model inputs'!AJ76))="",FALSE,IF(ISERROR('Haq — Monthly P&amp;L and cash'!L5&gt;='Model inputs'!AJ76),'Haq — Monthly P&amp;L and cash'!L5&gt;='Model inputs'!AJ76,IF(OR('Haq — Monthly P&amp;L and cash'!L5="",'Model inputs'!AJ76=""),"",'Haq — Monthly P&amp;L and cash'!L5&gt;='Model inputs'!AJ76))),'Model inputs'!AJ75*'Model inputs'!AJ74,0)</f>
        <v>100000</v>
      </c>
      <c r="M27" s="9">
        <f>IF(IF(IF(ISERROR('Haq — Monthly P&amp;L and cash'!M5&gt;='Model inputs'!AJ76),'Haq — Monthly P&amp;L and cash'!M5&gt;='Model inputs'!AJ76,IF(OR('Haq — Monthly P&amp;L and cash'!M5="",'Model inputs'!AJ76=""),"",'Haq — Monthly P&amp;L and cash'!M5&gt;='Model inputs'!AJ76))="",FALSE,IF(ISERROR('Haq — Monthly P&amp;L and cash'!M5&gt;='Model inputs'!AJ76),'Haq — Monthly P&amp;L and cash'!M5&gt;='Model inputs'!AJ76,IF(OR('Haq — Monthly P&amp;L and cash'!M5="",'Model inputs'!AJ76=""),"",'Haq — Monthly P&amp;L and cash'!M5&gt;='Model inputs'!AJ76))),'Model inputs'!AJ75*'Model inputs'!AJ74,0)</f>
        <v>100000</v>
      </c>
      <c r="N27" s="9">
        <f>IF(IF(IF(ISERROR('Haq — Monthly P&amp;L and cash'!N5&gt;='Model inputs'!AJ76),'Haq — Monthly P&amp;L and cash'!N5&gt;='Model inputs'!AJ76,IF(OR('Haq — Monthly P&amp;L and cash'!N5="",'Model inputs'!AJ76=""),"",'Haq — Monthly P&amp;L and cash'!N5&gt;='Model inputs'!AJ76))="",FALSE,IF(ISERROR('Haq — Monthly P&amp;L and cash'!N5&gt;='Model inputs'!AJ76),'Haq — Monthly P&amp;L and cash'!N5&gt;='Model inputs'!AJ76,IF(OR('Haq — Monthly P&amp;L and cash'!N5="",'Model inputs'!AJ76=""),"",'Haq — Monthly P&amp;L and cash'!N5&gt;='Model inputs'!AJ76))),'Model inputs'!AJ75*'Model inputs'!AJ74,0)</f>
        <v>100000</v>
      </c>
      <c r="O27" s="9">
        <f>IF(IF(IF(ISERROR('Haq — Monthly P&amp;L and cash'!O5&gt;='Model inputs'!AJ76),'Haq — Monthly P&amp;L and cash'!O5&gt;='Model inputs'!AJ76,IF(OR('Haq — Monthly P&amp;L and cash'!O5="",'Model inputs'!AJ76=""),"",'Haq — Monthly P&amp;L and cash'!O5&gt;='Model inputs'!AJ76))="",FALSE,IF(ISERROR('Haq — Monthly P&amp;L and cash'!O5&gt;='Model inputs'!AJ76),'Haq — Monthly P&amp;L and cash'!O5&gt;='Model inputs'!AJ76,IF(OR('Haq — Monthly P&amp;L and cash'!O5="",'Model inputs'!AJ76=""),"",'Haq — Monthly P&amp;L and cash'!O5&gt;='Model inputs'!AJ76))),'Model inputs'!AJ75*'Model inputs'!AJ74,0)</f>
        <v>100000</v>
      </c>
      <c r="P27" s="9">
        <f>IF(IF(IF(ISERROR('Haq — Monthly P&amp;L and cash'!P5&gt;='Model inputs'!AJ76),'Haq — Monthly P&amp;L and cash'!P5&gt;='Model inputs'!AJ76,IF(OR('Haq — Monthly P&amp;L and cash'!P5="",'Model inputs'!AJ76=""),"",'Haq — Monthly P&amp;L and cash'!P5&gt;='Model inputs'!AJ76))="",FALSE,IF(ISERROR('Haq — Monthly P&amp;L and cash'!P5&gt;='Model inputs'!AJ76),'Haq — Monthly P&amp;L and cash'!P5&gt;='Model inputs'!AJ76,IF(OR('Haq — Monthly P&amp;L and cash'!P5="",'Model inputs'!AJ76=""),"",'Haq — Monthly P&amp;L and cash'!P5&gt;='Model inputs'!AJ76))),'Model inputs'!AJ75*'Model inputs'!AJ74,0)</f>
        <v>100000</v>
      </c>
      <c r="Q27" s="9">
        <f>IF(IF(IF(ISERROR('Haq — Monthly P&amp;L and cash'!Q5&gt;='Model inputs'!AJ76),'Haq — Monthly P&amp;L and cash'!Q5&gt;='Model inputs'!AJ76,IF(OR('Haq — Monthly P&amp;L and cash'!Q5="",'Model inputs'!AJ76=""),"",'Haq — Monthly P&amp;L and cash'!Q5&gt;='Model inputs'!AJ76))="",FALSE,IF(ISERROR('Haq — Monthly P&amp;L and cash'!Q5&gt;='Model inputs'!AJ76),'Haq — Monthly P&amp;L and cash'!Q5&gt;='Model inputs'!AJ76,IF(OR('Haq — Monthly P&amp;L and cash'!Q5="",'Model inputs'!AJ76=""),"",'Haq — Monthly P&amp;L and cash'!Q5&gt;='Model inputs'!AJ76))),'Model inputs'!AJ75*'Model inputs'!AJ74,0)</f>
        <v>100000</v>
      </c>
      <c r="R27" s="9">
        <f>IF(IF(IF(ISERROR('Haq — Monthly P&amp;L and cash'!R5&gt;='Model inputs'!AJ76),'Haq — Monthly P&amp;L and cash'!R5&gt;='Model inputs'!AJ76,IF(OR('Haq — Monthly P&amp;L and cash'!R5="",'Model inputs'!AJ76=""),"",'Haq — Monthly P&amp;L and cash'!R5&gt;='Model inputs'!AJ76))="",FALSE,IF(ISERROR('Haq — Monthly P&amp;L and cash'!R5&gt;='Model inputs'!AJ76),'Haq — Monthly P&amp;L and cash'!R5&gt;='Model inputs'!AJ76,IF(OR('Haq — Monthly P&amp;L and cash'!R5="",'Model inputs'!AJ76=""),"",'Haq — Monthly P&amp;L and cash'!R5&gt;='Model inputs'!AJ76))),'Model inputs'!AJ75*'Model inputs'!AJ74,0)</f>
        <v>100000</v>
      </c>
      <c r="S27" s="9">
        <f>IF(IF(IF(ISERROR('Haq — Monthly P&amp;L and cash'!S5&gt;='Model inputs'!AJ76),'Haq — Monthly P&amp;L and cash'!S5&gt;='Model inputs'!AJ76,IF(OR('Haq — Monthly P&amp;L and cash'!S5="",'Model inputs'!AJ76=""),"",'Haq — Monthly P&amp;L and cash'!S5&gt;='Model inputs'!AJ76))="",FALSE,IF(ISERROR('Haq — Monthly P&amp;L and cash'!S5&gt;='Model inputs'!AJ76),'Haq — Monthly P&amp;L and cash'!S5&gt;='Model inputs'!AJ76,IF(OR('Haq — Monthly P&amp;L and cash'!S5="",'Model inputs'!AJ76=""),"",'Haq — Monthly P&amp;L and cash'!S5&gt;='Model inputs'!AJ76))),'Model inputs'!AJ75*'Model inputs'!AJ74,0)</f>
        <v>100000</v>
      </c>
      <c r="T27" s="9">
        <f>IF(IF(IF(ISERROR('Haq — Monthly P&amp;L and cash'!T5&gt;='Model inputs'!AJ76),'Haq — Monthly P&amp;L and cash'!T5&gt;='Model inputs'!AJ76,IF(OR('Haq — Monthly P&amp;L and cash'!T5="",'Model inputs'!AJ76=""),"",'Haq — Monthly P&amp;L and cash'!T5&gt;='Model inputs'!AJ76))="",FALSE,IF(ISERROR('Haq — Monthly P&amp;L and cash'!T5&gt;='Model inputs'!AJ76),'Haq — Monthly P&amp;L and cash'!T5&gt;='Model inputs'!AJ76,IF(OR('Haq — Monthly P&amp;L and cash'!T5="",'Model inputs'!AJ76=""),"",'Haq — Monthly P&amp;L and cash'!T5&gt;='Model inputs'!AJ76))),'Model inputs'!AJ75*'Model inputs'!AJ74,0)</f>
        <v>100000</v>
      </c>
      <c r="U27" s="9">
        <f>IF(IF(IF(ISERROR('Haq — Monthly P&amp;L and cash'!U5&gt;='Model inputs'!AJ76),'Haq — Monthly P&amp;L and cash'!U5&gt;='Model inputs'!AJ76,IF(OR('Haq — Monthly P&amp;L and cash'!U5="",'Model inputs'!AJ76=""),"",'Haq — Monthly P&amp;L and cash'!U5&gt;='Model inputs'!AJ76))="",FALSE,IF(ISERROR('Haq — Monthly P&amp;L and cash'!U5&gt;='Model inputs'!AJ76),'Haq — Monthly P&amp;L and cash'!U5&gt;='Model inputs'!AJ76,IF(OR('Haq — Monthly P&amp;L and cash'!U5="",'Model inputs'!AJ76=""),"",'Haq — Monthly P&amp;L and cash'!U5&gt;='Model inputs'!AJ76))),'Model inputs'!AJ75*'Model inputs'!AJ74,0)</f>
        <v>100000</v>
      </c>
      <c r="V27" s="9">
        <f>IF(IF(IF(ISERROR('Haq — Monthly P&amp;L and cash'!V5&gt;='Model inputs'!AJ76),'Haq — Monthly P&amp;L and cash'!V5&gt;='Model inputs'!AJ76,IF(OR('Haq — Monthly P&amp;L and cash'!V5="",'Model inputs'!AJ76=""),"",'Haq — Monthly P&amp;L and cash'!V5&gt;='Model inputs'!AJ76))="",FALSE,IF(ISERROR('Haq — Monthly P&amp;L and cash'!V5&gt;='Model inputs'!AJ76),'Haq — Monthly P&amp;L and cash'!V5&gt;='Model inputs'!AJ76,IF(OR('Haq — Monthly P&amp;L and cash'!V5="",'Model inputs'!AJ76=""),"",'Haq — Monthly P&amp;L and cash'!V5&gt;='Model inputs'!AJ76))),'Model inputs'!AJ75*'Model inputs'!AJ74,0)</f>
        <v>100000</v>
      </c>
      <c r="W27" s="9">
        <f>IF(IF(IF(ISERROR('Haq — Monthly P&amp;L and cash'!W5&gt;='Model inputs'!AJ76),'Haq — Monthly P&amp;L and cash'!W5&gt;='Model inputs'!AJ76,IF(OR('Haq — Monthly P&amp;L and cash'!W5="",'Model inputs'!AJ76=""),"",'Haq — Monthly P&amp;L and cash'!W5&gt;='Model inputs'!AJ76))="",FALSE,IF(ISERROR('Haq — Monthly P&amp;L and cash'!W5&gt;='Model inputs'!AJ76),'Haq — Monthly P&amp;L and cash'!W5&gt;='Model inputs'!AJ76,IF(OR('Haq — Monthly P&amp;L and cash'!W5="",'Model inputs'!AJ76=""),"",'Haq — Monthly P&amp;L and cash'!W5&gt;='Model inputs'!AJ76))),'Model inputs'!AJ75*'Model inputs'!AJ74,0)</f>
        <v>100000</v>
      </c>
      <c r="X27" s="9">
        <f>IF(IF(IF(ISERROR('Haq — Monthly P&amp;L and cash'!X5&gt;='Model inputs'!AJ76),'Haq — Monthly P&amp;L and cash'!X5&gt;='Model inputs'!AJ76,IF(OR('Haq — Monthly P&amp;L and cash'!X5="",'Model inputs'!AJ76=""),"",'Haq — Monthly P&amp;L and cash'!X5&gt;='Model inputs'!AJ76))="",FALSE,IF(ISERROR('Haq — Monthly P&amp;L and cash'!X5&gt;='Model inputs'!AJ76),'Haq — Monthly P&amp;L and cash'!X5&gt;='Model inputs'!AJ76,IF(OR('Haq — Monthly P&amp;L and cash'!X5="",'Model inputs'!AJ76=""),"",'Haq — Monthly P&amp;L and cash'!X5&gt;='Model inputs'!AJ76))),'Model inputs'!AJ75*'Model inputs'!AJ74,0)</f>
        <v>100000</v>
      </c>
      <c r="Y27" s="9">
        <f>IF(IF(IF(ISERROR('Haq — Monthly P&amp;L and cash'!Y5&gt;='Model inputs'!AJ76),'Haq — Monthly P&amp;L and cash'!Y5&gt;='Model inputs'!AJ76,IF(OR('Haq — Monthly P&amp;L and cash'!Y5="",'Model inputs'!AJ76=""),"",'Haq — Monthly P&amp;L and cash'!Y5&gt;='Model inputs'!AJ76))="",FALSE,IF(ISERROR('Haq — Monthly P&amp;L and cash'!Y5&gt;='Model inputs'!AJ76),'Haq — Monthly P&amp;L and cash'!Y5&gt;='Model inputs'!AJ76,IF(OR('Haq — Monthly P&amp;L and cash'!Y5="",'Model inputs'!AJ76=""),"",'Haq — Monthly P&amp;L and cash'!Y5&gt;='Model inputs'!AJ76))),'Model inputs'!AJ75*'Model inputs'!AJ74,0)</f>
        <v>100000</v>
      </c>
    </row>
    <row r="28">
      <c r="A28" t="inlineStr" s="8">
        <is>
          <t xml:space="preserve">Haq Developer payroll</t>
        </is>
      </c>
      <c r="B28" s="9">
        <f>IF(IF(IF(ISERROR('Haq — Monthly P&amp;L and cash'!B5&gt;='Model inputs'!AJ63),'Haq — Monthly P&amp;L and cash'!B5&gt;='Model inputs'!AJ63,IF(OR('Haq — Monthly P&amp;L and cash'!B5="",'Model inputs'!AJ63=""),"",'Haq — Monthly P&amp;L and cash'!B5&gt;='Model inputs'!AJ63))="",FALSE,IF(ISERROR('Haq — Monthly P&amp;L and cash'!B5&gt;='Model inputs'!AJ63),'Haq — Monthly P&amp;L and cash'!B5&gt;='Model inputs'!AJ63,IF(OR('Haq — Monthly P&amp;L and cash'!B5="",'Model inputs'!AJ63=""),"",'Haq — Monthly P&amp;L and cash'!B5&gt;='Model inputs'!AJ63))),'Model inputs'!AJ62*'Model inputs'!AJ61,0)</f>
        <v>150000</v>
      </c>
      <c r="C28" s="9">
        <f>IF(IF(IF(ISERROR('Haq — Monthly P&amp;L and cash'!C5&gt;='Model inputs'!AJ63),'Haq — Monthly P&amp;L and cash'!C5&gt;='Model inputs'!AJ63,IF(OR('Haq — Monthly P&amp;L and cash'!C5="",'Model inputs'!AJ63=""),"",'Haq — Monthly P&amp;L and cash'!C5&gt;='Model inputs'!AJ63))="",FALSE,IF(ISERROR('Haq — Monthly P&amp;L and cash'!C5&gt;='Model inputs'!AJ63),'Haq — Monthly P&amp;L and cash'!C5&gt;='Model inputs'!AJ63,IF(OR('Haq — Monthly P&amp;L and cash'!C5="",'Model inputs'!AJ63=""),"",'Haq — Monthly P&amp;L and cash'!C5&gt;='Model inputs'!AJ63))),'Model inputs'!AJ62*'Model inputs'!AJ61,0)</f>
        <v>150000</v>
      </c>
      <c r="D28" s="9">
        <f>IF(IF(IF(ISERROR('Haq — Monthly P&amp;L and cash'!D5&gt;='Model inputs'!AJ63),'Haq — Monthly P&amp;L and cash'!D5&gt;='Model inputs'!AJ63,IF(OR('Haq — Monthly P&amp;L and cash'!D5="",'Model inputs'!AJ63=""),"",'Haq — Monthly P&amp;L and cash'!D5&gt;='Model inputs'!AJ63))="",FALSE,IF(ISERROR('Haq — Monthly P&amp;L and cash'!D5&gt;='Model inputs'!AJ63),'Haq — Monthly P&amp;L and cash'!D5&gt;='Model inputs'!AJ63,IF(OR('Haq — Monthly P&amp;L and cash'!D5="",'Model inputs'!AJ63=""),"",'Haq — Monthly P&amp;L and cash'!D5&gt;='Model inputs'!AJ63))),'Model inputs'!AJ62*'Model inputs'!AJ61,0)</f>
        <v>150000</v>
      </c>
      <c r="E28" s="9">
        <f>IF(IF(IF(ISERROR('Haq — Monthly P&amp;L and cash'!E5&gt;='Model inputs'!AJ63),'Haq — Monthly P&amp;L and cash'!E5&gt;='Model inputs'!AJ63,IF(OR('Haq — Monthly P&amp;L and cash'!E5="",'Model inputs'!AJ63=""),"",'Haq — Monthly P&amp;L and cash'!E5&gt;='Model inputs'!AJ63))="",FALSE,IF(ISERROR('Haq — Monthly P&amp;L and cash'!E5&gt;='Model inputs'!AJ63),'Haq — Monthly P&amp;L and cash'!E5&gt;='Model inputs'!AJ63,IF(OR('Haq — Monthly P&amp;L and cash'!E5="",'Model inputs'!AJ63=""),"",'Haq — Monthly P&amp;L and cash'!E5&gt;='Model inputs'!AJ63))),'Model inputs'!AJ62*'Model inputs'!AJ61,0)</f>
        <v>150000</v>
      </c>
      <c r="F28" s="9">
        <f>IF(IF(IF(ISERROR('Haq — Monthly P&amp;L and cash'!F5&gt;='Model inputs'!AJ63),'Haq — Monthly P&amp;L and cash'!F5&gt;='Model inputs'!AJ63,IF(OR('Haq — Monthly P&amp;L and cash'!F5="",'Model inputs'!AJ63=""),"",'Haq — Monthly P&amp;L and cash'!F5&gt;='Model inputs'!AJ63))="",FALSE,IF(ISERROR('Haq — Monthly P&amp;L and cash'!F5&gt;='Model inputs'!AJ63),'Haq — Monthly P&amp;L and cash'!F5&gt;='Model inputs'!AJ63,IF(OR('Haq — Monthly P&amp;L and cash'!F5="",'Model inputs'!AJ63=""),"",'Haq — Monthly P&amp;L and cash'!F5&gt;='Model inputs'!AJ63))),'Model inputs'!AJ62*'Model inputs'!AJ61,0)</f>
        <v>150000</v>
      </c>
      <c r="G28" s="9">
        <f>IF(IF(IF(ISERROR('Haq — Monthly P&amp;L and cash'!G5&gt;='Model inputs'!AJ63),'Haq — Monthly P&amp;L and cash'!G5&gt;='Model inputs'!AJ63,IF(OR('Haq — Monthly P&amp;L and cash'!G5="",'Model inputs'!AJ63=""),"",'Haq — Monthly P&amp;L and cash'!G5&gt;='Model inputs'!AJ63))="",FALSE,IF(ISERROR('Haq — Monthly P&amp;L and cash'!G5&gt;='Model inputs'!AJ63),'Haq — Monthly P&amp;L and cash'!G5&gt;='Model inputs'!AJ63,IF(OR('Haq — Monthly P&amp;L and cash'!G5="",'Model inputs'!AJ63=""),"",'Haq — Monthly P&amp;L and cash'!G5&gt;='Model inputs'!AJ63))),'Model inputs'!AJ62*'Model inputs'!AJ61,0)</f>
        <v>150000</v>
      </c>
      <c r="H28" s="9">
        <f>IF(IF(IF(ISERROR('Haq — Monthly P&amp;L and cash'!H5&gt;='Model inputs'!AJ63),'Haq — Monthly P&amp;L and cash'!H5&gt;='Model inputs'!AJ63,IF(OR('Haq — Monthly P&amp;L and cash'!H5="",'Model inputs'!AJ63=""),"",'Haq — Monthly P&amp;L and cash'!H5&gt;='Model inputs'!AJ63))="",FALSE,IF(ISERROR('Haq — Monthly P&amp;L and cash'!H5&gt;='Model inputs'!AJ63),'Haq — Monthly P&amp;L and cash'!H5&gt;='Model inputs'!AJ63,IF(OR('Haq — Monthly P&amp;L and cash'!H5="",'Model inputs'!AJ63=""),"",'Haq — Monthly P&amp;L and cash'!H5&gt;='Model inputs'!AJ63))),'Model inputs'!AJ62*'Model inputs'!AJ61,0)</f>
        <v>150000</v>
      </c>
      <c r="I28" s="9">
        <f>IF(IF(IF(ISERROR('Haq — Monthly P&amp;L and cash'!I5&gt;='Model inputs'!AJ63),'Haq — Monthly P&amp;L and cash'!I5&gt;='Model inputs'!AJ63,IF(OR('Haq — Monthly P&amp;L and cash'!I5="",'Model inputs'!AJ63=""),"",'Haq — Monthly P&amp;L and cash'!I5&gt;='Model inputs'!AJ63))="",FALSE,IF(ISERROR('Haq — Monthly P&amp;L and cash'!I5&gt;='Model inputs'!AJ63),'Haq — Monthly P&amp;L and cash'!I5&gt;='Model inputs'!AJ63,IF(OR('Haq — Monthly P&amp;L and cash'!I5="",'Model inputs'!AJ63=""),"",'Haq — Monthly P&amp;L and cash'!I5&gt;='Model inputs'!AJ63))),'Model inputs'!AJ62*'Model inputs'!AJ61,0)</f>
        <v>150000</v>
      </c>
      <c r="J28" s="9">
        <f>IF(IF(IF(ISERROR('Haq — Monthly P&amp;L and cash'!J5&gt;='Model inputs'!AJ63),'Haq — Monthly P&amp;L and cash'!J5&gt;='Model inputs'!AJ63,IF(OR('Haq — Monthly P&amp;L and cash'!J5="",'Model inputs'!AJ63=""),"",'Haq — Monthly P&amp;L and cash'!J5&gt;='Model inputs'!AJ63))="",FALSE,IF(ISERROR('Haq — Monthly P&amp;L and cash'!J5&gt;='Model inputs'!AJ63),'Haq — Monthly P&amp;L and cash'!J5&gt;='Model inputs'!AJ63,IF(OR('Haq — Monthly P&amp;L and cash'!J5="",'Model inputs'!AJ63=""),"",'Haq — Monthly P&amp;L and cash'!J5&gt;='Model inputs'!AJ63))),'Model inputs'!AJ62*'Model inputs'!AJ61,0)</f>
        <v>150000</v>
      </c>
      <c r="K28" s="9">
        <f>IF(IF(IF(ISERROR('Haq — Monthly P&amp;L and cash'!K5&gt;='Model inputs'!AJ63),'Haq — Monthly P&amp;L and cash'!K5&gt;='Model inputs'!AJ63,IF(OR('Haq — Monthly P&amp;L and cash'!K5="",'Model inputs'!AJ63=""),"",'Haq — Monthly P&amp;L and cash'!K5&gt;='Model inputs'!AJ63))="",FALSE,IF(ISERROR('Haq — Monthly P&amp;L and cash'!K5&gt;='Model inputs'!AJ63),'Haq — Monthly P&amp;L and cash'!K5&gt;='Model inputs'!AJ63,IF(OR('Haq — Monthly P&amp;L and cash'!K5="",'Model inputs'!AJ63=""),"",'Haq — Monthly P&amp;L and cash'!K5&gt;='Model inputs'!AJ63))),'Model inputs'!AJ62*'Model inputs'!AJ61,0)</f>
        <v>150000</v>
      </c>
      <c r="L28" s="9">
        <f>IF(IF(IF(ISERROR('Haq — Monthly P&amp;L and cash'!L5&gt;='Model inputs'!AJ63),'Haq — Monthly P&amp;L and cash'!L5&gt;='Model inputs'!AJ63,IF(OR('Haq — Monthly P&amp;L and cash'!L5="",'Model inputs'!AJ63=""),"",'Haq — Monthly P&amp;L and cash'!L5&gt;='Model inputs'!AJ63))="",FALSE,IF(ISERROR('Haq — Monthly P&amp;L and cash'!L5&gt;='Model inputs'!AJ63),'Haq — Monthly P&amp;L and cash'!L5&gt;='Model inputs'!AJ63,IF(OR('Haq — Monthly P&amp;L and cash'!L5="",'Model inputs'!AJ63=""),"",'Haq — Monthly P&amp;L and cash'!L5&gt;='Model inputs'!AJ63))),'Model inputs'!AJ62*'Model inputs'!AJ61,0)</f>
        <v>150000</v>
      </c>
      <c r="M28" s="9">
        <f>IF(IF(IF(ISERROR('Haq — Monthly P&amp;L and cash'!M5&gt;='Model inputs'!AJ63),'Haq — Monthly P&amp;L and cash'!M5&gt;='Model inputs'!AJ63,IF(OR('Haq — Monthly P&amp;L and cash'!M5="",'Model inputs'!AJ63=""),"",'Haq — Monthly P&amp;L and cash'!M5&gt;='Model inputs'!AJ63))="",FALSE,IF(ISERROR('Haq — Monthly P&amp;L and cash'!M5&gt;='Model inputs'!AJ63),'Haq — Monthly P&amp;L and cash'!M5&gt;='Model inputs'!AJ63,IF(OR('Haq — Monthly P&amp;L and cash'!M5="",'Model inputs'!AJ63=""),"",'Haq — Monthly P&amp;L and cash'!M5&gt;='Model inputs'!AJ63))),'Model inputs'!AJ62*'Model inputs'!AJ61,0)</f>
        <v>150000</v>
      </c>
      <c r="N28" s="9">
        <f>IF(IF(IF(ISERROR('Haq — Monthly P&amp;L and cash'!N5&gt;='Model inputs'!AJ63),'Haq — Monthly P&amp;L and cash'!N5&gt;='Model inputs'!AJ63,IF(OR('Haq — Monthly P&amp;L and cash'!N5="",'Model inputs'!AJ63=""),"",'Haq — Monthly P&amp;L and cash'!N5&gt;='Model inputs'!AJ63))="",FALSE,IF(ISERROR('Haq — Monthly P&amp;L and cash'!N5&gt;='Model inputs'!AJ63),'Haq — Monthly P&amp;L and cash'!N5&gt;='Model inputs'!AJ63,IF(OR('Haq — Monthly P&amp;L and cash'!N5="",'Model inputs'!AJ63=""),"",'Haq — Monthly P&amp;L and cash'!N5&gt;='Model inputs'!AJ63))),'Model inputs'!AJ62*'Model inputs'!AJ61,0)</f>
        <v>150000</v>
      </c>
      <c r="O28" s="9">
        <f>IF(IF(IF(ISERROR('Haq — Monthly P&amp;L and cash'!O5&gt;='Model inputs'!AJ63),'Haq — Monthly P&amp;L and cash'!O5&gt;='Model inputs'!AJ63,IF(OR('Haq — Monthly P&amp;L and cash'!O5="",'Model inputs'!AJ63=""),"",'Haq — Monthly P&amp;L and cash'!O5&gt;='Model inputs'!AJ63))="",FALSE,IF(ISERROR('Haq — Monthly P&amp;L and cash'!O5&gt;='Model inputs'!AJ63),'Haq — Monthly P&amp;L and cash'!O5&gt;='Model inputs'!AJ63,IF(OR('Haq — Monthly P&amp;L and cash'!O5="",'Model inputs'!AJ63=""),"",'Haq — Monthly P&amp;L and cash'!O5&gt;='Model inputs'!AJ63))),'Model inputs'!AJ62*'Model inputs'!AJ61,0)</f>
        <v>150000</v>
      </c>
      <c r="P28" s="9">
        <f>IF(IF(IF(ISERROR('Haq — Monthly P&amp;L and cash'!P5&gt;='Model inputs'!AJ63),'Haq — Monthly P&amp;L and cash'!P5&gt;='Model inputs'!AJ63,IF(OR('Haq — Monthly P&amp;L and cash'!P5="",'Model inputs'!AJ63=""),"",'Haq — Monthly P&amp;L and cash'!P5&gt;='Model inputs'!AJ63))="",FALSE,IF(ISERROR('Haq — Monthly P&amp;L and cash'!P5&gt;='Model inputs'!AJ63),'Haq — Monthly P&amp;L and cash'!P5&gt;='Model inputs'!AJ63,IF(OR('Haq — Monthly P&amp;L and cash'!P5="",'Model inputs'!AJ63=""),"",'Haq — Monthly P&amp;L and cash'!P5&gt;='Model inputs'!AJ63))),'Model inputs'!AJ62*'Model inputs'!AJ61,0)</f>
        <v>150000</v>
      </c>
      <c r="Q28" s="9">
        <f>IF(IF(IF(ISERROR('Haq — Monthly P&amp;L and cash'!Q5&gt;='Model inputs'!AJ63),'Haq — Monthly P&amp;L and cash'!Q5&gt;='Model inputs'!AJ63,IF(OR('Haq — Monthly P&amp;L and cash'!Q5="",'Model inputs'!AJ63=""),"",'Haq — Monthly P&amp;L and cash'!Q5&gt;='Model inputs'!AJ63))="",FALSE,IF(ISERROR('Haq — Monthly P&amp;L and cash'!Q5&gt;='Model inputs'!AJ63),'Haq — Monthly P&amp;L and cash'!Q5&gt;='Model inputs'!AJ63,IF(OR('Haq — Monthly P&amp;L and cash'!Q5="",'Model inputs'!AJ63=""),"",'Haq — Monthly P&amp;L and cash'!Q5&gt;='Model inputs'!AJ63))),'Model inputs'!AJ62*'Model inputs'!AJ61,0)</f>
        <v>150000</v>
      </c>
      <c r="R28" s="9">
        <f>IF(IF(IF(ISERROR('Haq — Monthly P&amp;L and cash'!R5&gt;='Model inputs'!AJ63),'Haq — Monthly P&amp;L and cash'!R5&gt;='Model inputs'!AJ63,IF(OR('Haq — Monthly P&amp;L and cash'!R5="",'Model inputs'!AJ63=""),"",'Haq — Monthly P&amp;L and cash'!R5&gt;='Model inputs'!AJ63))="",FALSE,IF(ISERROR('Haq — Monthly P&amp;L and cash'!R5&gt;='Model inputs'!AJ63),'Haq — Monthly P&amp;L and cash'!R5&gt;='Model inputs'!AJ63,IF(OR('Haq — Monthly P&amp;L and cash'!R5="",'Model inputs'!AJ63=""),"",'Haq — Monthly P&amp;L and cash'!R5&gt;='Model inputs'!AJ63))),'Model inputs'!AJ62*'Model inputs'!AJ61,0)</f>
        <v>150000</v>
      </c>
      <c r="S28" s="9">
        <f>IF(IF(IF(ISERROR('Haq — Monthly P&amp;L and cash'!S5&gt;='Model inputs'!AJ63),'Haq — Monthly P&amp;L and cash'!S5&gt;='Model inputs'!AJ63,IF(OR('Haq — Monthly P&amp;L and cash'!S5="",'Model inputs'!AJ63=""),"",'Haq — Monthly P&amp;L and cash'!S5&gt;='Model inputs'!AJ63))="",FALSE,IF(ISERROR('Haq — Monthly P&amp;L and cash'!S5&gt;='Model inputs'!AJ63),'Haq — Monthly P&amp;L and cash'!S5&gt;='Model inputs'!AJ63,IF(OR('Haq — Monthly P&amp;L and cash'!S5="",'Model inputs'!AJ63=""),"",'Haq — Monthly P&amp;L and cash'!S5&gt;='Model inputs'!AJ63))),'Model inputs'!AJ62*'Model inputs'!AJ61,0)</f>
        <v>150000</v>
      </c>
      <c r="T28" s="9">
        <f>IF(IF(IF(ISERROR('Haq — Monthly P&amp;L and cash'!T5&gt;='Model inputs'!AJ63),'Haq — Monthly P&amp;L and cash'!T5&gt;='Model inputs'!AJ63,IF(OR('Haq — Monthly P&amp;L and cash'!T5="",'Model inputs'!AJ63=""),"",'Haq — Monthly P&amp;L and cash'!T5&gt;='Model inputs'!AJ63))="",FALSE,IF(ISERROR('Haq — Monthly P&amp;L and cash'!T5&gt;='Model inputs'!AJ63),'Haq — Monthly P&amp;L and cash'!T5&gt;='Model inputs'!AJ63,IF(OR('Haq — Monthly P&amp;L and cash'!T5="",'Model inputs'!AJ63=""),"",'Haq — Monthly P&amp;L and cash'!T5&gt;='Model inputs'!AJ63))),'Model inputs'!AJ62*'Model inputs'!AJ61,0)</f>
        <v>150000</v>
      </c>
      <c r="U28" s="9">
        <f>IF(IF(IF(ISERROR('Haq — Monthly P&amp;L and cash'!U5&gt;='Model inputs'!AJ63),'Haq — Monthly P&amp;L and cash'!U5&gt;='Model inputs'!AJ63,IF(OR('Haq — Monthly P&amp;L and cash'!U5="",'Model inputs'!AJ63=""),"",'Haq — Monthly P&amp;L and cash'!U5&gt;='Model inputs'!AJ63))="",FALSE,IF(ISERROR('Haq — Monthly P&amp;L and cash'!U5&gt;='Model inputs'!AJ63),'Haq — Monthly P&amp;L and cash'!U5&gt;='Model inputs'!AJ63,IF(OR('Haq — Monthly P&amp;L and cash'!U5="",'Model inputs'!AJ63=""),"",'Haq — Monthly P&amp;L and cash'!U5&gt;='Model inputs'!AJ63))),'Model inputs'!AJ62*'Model inputs'!AJ61,0)</f>
        <v>150000</v>
      </c>
      <c r="V28" s="9">
        <f>IF(IF(IF(ISERROR('Haq — Monthly P&amp;L and cash'!V5&gt;='Model inputs'!AJ63),'Haq — Monthly P&amp;L and cash'!V5&gt;='Model inputs'!AJ63,IF(OR('Haq — Monthly P&amp;L and cash'!V5="",'Model inputs'!AJ63=""),"",'Haq — Monthly P&amp;L and cash'!V5&gt;='Model inputs'!AJ63))="",FALSE,IF(ISERROR('Haq — Monthly P&amp;L and cash'!V5&gt;='Model inputs'!AJ63),'Haq — Monthly P&amp;L and cash'!V5&gt;='Model inputs'!AJ63,IF(OR('Haq — Monthly P&amp;L and cash'!V5="",'Model inputs'!AJ63=""),"",'Haq — Monthly P&amp;L and cash'!V5&gt;='Model inputs'!AJ63))),'Model inputs'!AJ62*'Model inputs'!AJ61,0)</f>
        <v>150000</v>
      </c>
      <c r="W28" s="9">
        <f>IF(IF(IF(ISERROR('Haq — Monthly P&amp;L and cash'!W5&gt;='Model inputs'!AJ63),'Haq — Monthly P&amp;L and cash'!W5&gt;='Model inputs'!AJ63,IF(OR('Haq — Monthly P&amp;L and cash'!W5="",'Model inputs'!AJ63=""),"",'Haq — Monthly P&amp;L and cash'!W5&gt;='Model inputs'!AJ63))="",FALSE,IF(ISERROR('Haq — Monthly P&amp;L and cash'!W5&gt;='Model inputs'!AJ63),'Haq — Monthly P&amp;L and cash'!W5&gt;='Model inputs'!AJ63,IF(OR('Haq — Monthly P&amp;L and cash'!W5="",'Model inputs'!AJ63=""),"",'Haq — Monthly P&amp;L and cash'!W5&gt;='Model inputs'!AJ63))),'Model inputs'!AJ62*'Model inputs'!AJ61,0)</f>
        <v>150000</v>
      </c>
      <c r="X28" s="9">
        <f>IF(IF(IF(ISERROR('Haq — Monthly P&amp;L and cash'!X5&gt;='Model inputs'!AJ63),'Haq — Monthly P&amp;L and cash'!X5&gt;='Model inputs'!AJ63,IF(OR('Haq — Monthly P&amp;L and cash'!X5="",'Model inputs'!AJ63=""),"",'Haq — Monthly P&amp;L and cash'!X5&gt;='Model inputs'!AJ63))="",FALSE,IF(ISERROR('Haq — Monthly P&amp;L and cash'!X5&gt;='Model inputs'!AJ63),'Haq — Monthly P&amp;L and cash'!X5&gt;='Model inputs'!AJ63,IF(OR('Haq — Monthly P&amp;L and cash'!X5="",'Model inputs'!AJ63=""),"",'Haq — Monthly P&amp;L and cash'!X5&gt;='Model inputs'!AJ63))),'Model inputs'!AJ62*'Model inputs'!AJ61,0)</f>
        <v>150000</v>
      </c>
      <c r="Y28" s="9">
        <f>IF(IF(IF(ISERROR('Haq — Monthly P&amp;L and cash'!Y5&gt;='Model inputs'!AJ63),'Haq — Monthly P&amp;L and cash'!Y5&gt;='Model inputs'!AJ63,IF(OR('Haq — Monthly P&amp;L and cash'!Y5="",'Model inputs'!AJ63=""),"",'Haq — Monthly P&amp;L and cash'!Y5&gt;='Model inputs'!AJ63))="",FALSE,IF(ISERROR('Haq — Monthly P&amp;L and cash'!Y5&gt;='Model inputs'!AJ63),'Haq — Monthly P&amp;L and cash'!Y5&gt;='Model inputs'!AJ63,IF(OR('Haq — Monthly P&amp;L and cash'!Y5="",'Model inputs'!AJ63=""),"",'Haq — Monthly P&amp;L and cash'!Y5&gt;='Model inputs'!AJ63))),'Model inputs'!AJ62*'Model inputs'!AJ61,0)</f>
        <v>150000</v>
      </c>
    </row>
    <row r="29">
      <c r="A29" t="inlineStr" s="8">
        <is>
          <t xml:space="preserve">Haq Field lead payroll</t>
        </is>
      </c>
      <c r="B29" s="9">
        <f>IF(IF(IF(ISERROR('Haq — Monthly P&amp;L and cash'!B5&gt;='Model inputs'!AJ73),'Haq — Monthly P&amp;L and cash'!B5&gt;='Model inputs'!AJ73,IF(OR('Haq — Monthly P&amp;L and cash'!B5="",'Model inputs'!AJ73=""),"",'Haq — Monthly P&amp;L and cash'!B5&gt;='Model inputs'!AJ73))="",FALSE,IF(ISERROR('Haq — Monthly P&amp;L and cash'!B5&gt;='Model inputs'!AJ73),'Haq — Monthly P&amp;L and cash'!B5&gt;='Model inputs'!AJ73,IF(OR('Haq — Monthly P&amp;L and cash'!B5="",'Model inputs'!AJ73=""),"",'Haq — Monthly P&amp;L and cash'!B5&gt;='Model inputs'!AJ73))),'Model inputs'!AJ72*'Model inputs'!AJ71,0)</f>
        <v>0</v>
      </c>
      <c r="C29" s="9">
        <f>IF(IF(IF(ISERROR('Haq — Monthly P&amp;L and cash'!C5&gt;='Model inputs'!AJ73),'Haq — Monthly P&amp;L and cash'!C5&gt;='Model inputs'!AJ73,IF(OR('Haq — Monthly P&amp;L and cash'!C5="",'Model inputs'!AJ73=""),"",'Haq — Monthly P&amp;L and cash'!C5&gt;='Model inputs'!AJ73))="",FALSE,IF(ISERROR('Haq — Monthly P&amp;L and cash'!C5&gt;='Model inputs'!AJ73),'Haq — Monthly P&amp;L and cash'!C5&gt;='Model inputs'!AJ73,IF(OR('Haq — Monthly P&amp;L and cash'!C5="",'Model inputs'!AJ73=""),"",'Haq — Monthly P&amp;L and cash'!C5&gt;='Model inputs'!AJ73))),'Model inputs'!AJ72*'Model inputs'!AJ71,0)</f>
        <v>0</v>
      </c>
      <c r="D29" s="9">
        <f>IF(IF(IF(ISERROR('Haq — Monthly P&amp;L and cash'!D5&gt;='Model inputs'!AJ73),'Haq — Monthly P&amp;L and cash'!D5&gt;='Model inputs'!AJ73,IF(OR('Haq — Monthly P&amp;L and cash'!D5="",'Model inputs'!AJ73=""),"",'Haq — Monthly P&amp;L and cash'!D5&gt;='Model inputs'!AJ73))="",FALSE,IF(ISERROR('Haq — Monthly P&amp;L and cash'!D5&gt;='Model inputs'!AJ73),'Haq — Monthly P&amp;L and cash'!D5&gt;='Model inputs'!AJ73,IF(OR('Haq — Monthly P&amp;L and cash'!D5="",'Model inputs'!AJ73=""),"",'Haq — Monthly P&amp;L and cash'!D5&gt;='Model inputs'!AJ73))),'Model inputs'!AJ72*'Model inputs'!AJ71,0)</f>
        <v>0</v>
      </c>
      <c r="E29" s="9">
        <f>IF(IF(IF(ISERROR('Haq — Monthly P&amp;L and cash'!E5&gt;='Model inputs'!AJ73),'Haq — Monthly P&amp;L and cash'!E5&gt;='Model inputs'!AJ73,IF(OR('Haq — Monthly P&amp;L and cash'!E5="",'Model inputs'!AJ73=""),"",'Haq — Monthly P&amp;L and cash'!E5&gt;='Model inputs'!AJ73))="",FALSE,IF(ISERROR('Haq — Monthly P&amp;L and cash'!E5&gt;='Model inputs'!AJ73),'Haq — Monthly P&amp;L and cash'!E5&gt;='Model inputs'!AJ73,IF(OR('Haq — Monthly P&amp;L and cash'!E5="",'Model inputs'!AJ73=""),"",'Haq — Monthly P&amp;L and cash'!E5&gt;='Model inputs'!AJ73))),'Model inputs'!AJ72*'Model inputs'!AJ71,0)</f>
        <v>0</v>
      </c>
      <c r="F29" s="9">
        <f>IF(IF(IF(ISERROR('Haq — Monthly P&amp;L and cash'!F5&gt;='Model inputs'!AJ73),'Haq — Monthly P&amp;L and cash'!F5&gt;='Model inputs'!AJ73,IF(OR('Haq — Monthly P&amp;L and cash'!F5="",'Model inputs'!AJ73=""),"",'Haq — Monthly P&amp;L and cash'!F5&gt;='Model inputs'!AJ73))="",FALSE,IF(ISERROR('Haq — Monthly P&amp;L and cash'!F5&gt;='Model inputs'!AJ73),'Haq — Monthly P&amp;L and cash'!F5&gt;='Model inputs'!AJ73,IF(OR('Haq — Monthly P&amp;L and cash'!F5="",'Model inputs'!AJ73=""),"",'Haq — Monthly P&amp;L and cash'!F5&gt;='Model inputs'!AJ73))),'Model inputs'!AJ72*'Model inputs'!AJ71,0)</f>
        <v>0</v>
      </c>
      <c r="G29" s="9">
        <f>IF(IF(IF(ISERROR('Haq — Monthly P&amp;L and cash'!G5&gt;='Model inputs'!AJ73),'Haq — Monthly P&amp;L and cash'!G5&gt;='Model inputs'!AJ73,IF(OR('Haq — Monthly P&amp;L and cash'!G5="",'Model inputs'!AJ73=""),"",'Haq — Monthly P&amp;L and cash'!G5&gt;='Model inputs'!AJ73))="",FALSE,IF(ISERROR('Haq — Monthly P&amp;L and cash'!G5&gt;='Model inputs'!AJ73),'Haq — Monthly P&amp;L and cash'!G5&gt;='Model inputs'!AJ73,IF(OR('Haq — Monthly P&amp;L and cash'!G5="",'Model inputs'!AJ73=""),"",'Haq — Monthly P&amp;L and cash'!G5&gt;='Model inputs'!AJ73))),'Model inputs'!AJ72*'Model inputs'!AJ71,0)</f>
        <v>60000</v>
      </c>
      <c r="H29" s="9">
        <f>IF(IF(IF(ISERROR('Haq — Monthly P&amp;L and cash'!H5&gt;='Model inputs'!AJ73),'Haq — Monthly P&amp;L and cash'!H5&gt;='Model inputs'!AJ73,IF(OR('Haq — Monthly P&amp;L and cash'!H5="",'Model inputs'!AJ73=""),"",'Haq — Monthly P&amp;L and cash'!H5&gt;='Model inputs'!AJ73))="",FALSE,IF(ISERROR('Haq — Monthly P&amp;L and cash'!H5&gt;='Model inputs'!AJ73),'Haq — Monthly P&amp;L and cash'!H5&gt;='Model inputs'!AJ73,IF(OR('Haq — Monthly P&amp;L and cash'!H5="",'Model inputs'!AJ73=""),"",'Haq — Monthly P&amp;L and cash'!H5&gt;='Model inputs'!AJ73))),'Model inputs'!AJ72*'Model inputs'!AJ71,0)</f>
        <v>60000</v>
      </c>
      <c r="I29" s="9">
        <f>IF(IF(IF(ISERROR('Haq — Monthly P&amp;L and cash'!I5&gt;='Model inputs'!AJ73),'Haq — Monthly P&amp;L and cash'!I5&gt;='Model inputs'!AJ73,IF(OR('Haq — Monthly P&amp;L and cash'!I5="",'Model inputs'!AJ73=""),"",'Haq — Monthly P&amp;L and cash'!I5&gt;='Model inputs'!AJ73))="",FALSE,IF(ISERROR('Haq — Monthly P&amp;L and cash'!I5&gt;='Model inputs'!AJ73),'Haq — Monthly P&amp;L and cash'!I5&gt;='Model inputs'!AJ73,IF(OR('Haq — Monthly P&amp;L and cash'!I5="",'Model inputs'!AJ73=""),"",'Haq — Monthly P&amp;L and cash'!I5&gt;='Model inputs'!AJ73))),'Model inputs'!AJ72*'Model inputs'!AJ71,0)</f>
        <v>60000</v>
      </c>
      <c r="J29" s="9">
        <f>IF(IF(IF(ISERROR('Haq — Monthly P&amp;L and cash'!J5&gt;='Model inputs'!AJ73),'Haq — Monthly P&amp;L and cash'!J5&gt;='Model inputs'!AJ73,IF(OR('Haq — Monthly P&amp;L and cash'!J5="",'Model inputs'!AJ73=""),"",'Haq — Monthly P&amp;L and cash'!J5&gt;='Model inputs'!AJ73))="",FALSE,IF(ISERROR('Haq — Monthly P&amp;L and cash'!J5&gt;='Model inputs'!AJ73),'Haq — Monthly P&amp;L and cash'!J5&gt;='Model inputs'!AJ73,IF(OR('Haq — Monthly P&amp;L and cash'!J5="",'Model inputs'!AJ73=""),"",'Haq — Monthly P&amp;L and cash'!J5&gt;='Model inputs'!AJ73))),'Model inputs'!AJ72*'Model inputs'!AJ71,0)</f>
        <v>60000</v>
      </c>
      <c r="K29" s="9">
        <f>IF(IF(IF(ISERROR('Haq — Monthly P&amp;L and cash'!K5&gt;='Model inputs'!AJ73),'Haq — Monthly P&amp;L and cash'!K5&gt;='Model inputs'!AJ73,IF(OR('Haq — Monthly P&amp;L and cash'!K5="",'Model inputs'!AJ73=""),"",'Haq — Monthly P&amp;L and cash'!K5&gt;='Model inputs'!AJ73))="",FALSE,IF(ISERROR('Haq — Monthly P&amp;L and cash'!K5&gt;='Model inputs'!AJ73),'Haq — Monthly P&amp;L and cash'!K5&gt;='Model inputs'!AJ73,IF(OR('Haq — Monthly P&amp;L and cash'!K5="",'Model inputs'!AJ73=""),"",'Haq — Monthly P&amp;L and cash'!K5&gt;='Model inputs'!AJ73))),'Model inputs'!AJ72*'Model inputs'!AJ71,0)</f>
        <v>60000</v>
      </c>
      <c r="L29" s="9">
        <f>IF(IF(IF(ISERROR('Haq — Monthly P&amp;L and cash'!L5&gt;='Model inputs'!AJ73),'Haq — Monthly P&amp;L and cash'!L5&gt;='Model inputs'!AJ73,IF(OR('Haq — Monthly P&amp;L and cash'!L5="",'Model inputs'!AJ73=""),"",'Haq — Monthly P&amp;L and cash'!L5&gt;='Model inputs'!AJ73))="",FALSE,IF(ISERROR('Haq — Monthly P&amp;L and cash'!L5&gt;='Model inputs'!AJ73),'Haq — Monthly P&amp;L and cash'!L5&gt;='Model inputs'!AJ73,IF(OR('Haq — Monthly P&amp;L and cash'!L5="",'Model inputs'!AJ73=""),"",'Haq — Monthly P&amp;L and cash'!L5&gt;='Model inputs'!AJ73))),'Model inputs'!AJ72*'Model inputs'!AJ71,0)</f>
        <v>60000</v>
      </c>
      <c r="M29" s="9">
        <f>IF(IF(IF(ISERROR('Haq — Monthly P&amp;L and cash'!M5&gt;='Model inputs'!AJ73),'Haq — Monthly P&amp;L and cash'!M5&gt;='Model inputs'!AJ73,IF(OR('Haq — Monthly P&amp;L and cash'!M5="",'Model inputs'!AJ73=""),"",'Haq — Monthly P&amp;L and cash'!M5&gt;='Model inputs'!AJ73))="",FALSE,IF(ISERROR('Haq — Monthly P&amp;L and cash'!M5&gt;='Model inputs'!AJ73),'Haq — Monthly P&amp;L and cash'!M5&gt;='Model inputs'!AJ73,IF(OR('Haq — Monthly P&amp;L and cash'!M5="",'Model inputs'!AJ73=""),"",'Haq — Monthly P&amp;L and cash'!M5&gt;='Model inputs'!AJ73))),'Model inputs'!AJ72*'Model inputs'!AJ71,0)</f>
        <v>60000</v>
      </c>
      <c r="N29" s="9">
        <f>IF(IF(IF(ISERROR('Haq — Monthly P&amp;L and cash'!N5&gt;='Model inputs'!AJ73),'Haq — Monthly P&amp;L and cash'!N5&gt;='Model inputs'!AJ73,IF(OR('Haq — Monthly P&amp;L and cash'!N5="",'Model inputs'!AJ73=""),"",'Haq — Monthly P&amp;L and cash'!N5&gt;='Model inputs'!AJ73))="",FALSE,IF(ISERROR('Haq — Monthly P&amp;L and cash'!N5&gt;='Model inputs'!AJ73),'Haq — Monthly P&amp;L and cash'!N5&gt;='Model inputs'!AJ73,IF(OR('Haq — Monthly P&amp;L and cash'!N5="",'Model inputs'!AJ73=""),"",'Haq — Monthly P&amp;L and cash'!N5&gt;='Model inputs'!AJ73))),'Model inputs'!AJ72*'Model inputs'!AJ71,0)</f>
        <v>60000</v>
      </c>
      <c r="O29" s="9">
        <f>IF(IF(IF(ISERROR('Haq — Monthly P&amp;L and cash'!O5&gt;='Model inputs'!AJ73),'Haq — Monthly P&amp;L and cash'!O5&gt;='Model inputs'!AJ73,IF(OR('Haq — Monthly P&amp;L and cash'!O5="",'Model inputs'!AJ73=""),"",'Haq — Monthly P&amp;L and cash'!O5&gt;='Model inputs'!AJ73))="",FALSE,IF(ISERROR('Haq — Monthly P&amp;L and cash'!O5&gt;='Model inputs'!AJ73),'Haq — Monthly P&amp;L and cash'!O5&gt;='Model inputs'!AJ73,IF(OR('Haq — Monthly P&amp;L and cash'!O5="",'Model inputs'!AJ73=""),"",'Haq — Monthly P&amp;L and cash'!O5&gt;='Model inputs'!AJ73))),'Model inputs'!AJ72*'Model inputs'!AJ71,0)</f>
        <v>60000</v>
      </c>
      <c r="P29" s="9">
        <f>IF(IF(IF(ISERROR('Haq — Monthly P&amp;L and cash'!P5&gt;='Model inputs'!AJ73),'Haq — Monthly P&amp;L and cash'!P5&gt;='Model inputs'!AJ73,IF(OR('Haq — Monthly P&amp;L and cash'!P5="",'Model inputs'!AJ73=""),"",'Haq — Monthly P&amp;L and cash'!P5&gt;='Model inputs'!AJ73))="",FALSE,IF(ISERROR('Haq — Monthly P&amp;L and cash'!P5&gt;='Model inputs'!AJ73),'Haq — Monthly P&amp;L and cash'!P5&gt;='Model inputs'!AJ73,IF(OR('Haq — Monthly P&amp;L and cash'!P5="",'Model inputs'!AJ73=""),"",'Haq — Monthly P&amp;L and cash'!P5&gt;='Model inputs'!AJ73))),'Model inputs'!AJ72*'Model inputs'!AJ71,0)</f>
        <v>60000</v>
      </c>
      <c r="Q29" s="9">
        <f>IF(IF(IF(ISERROR('Haq — Monthly P&amp;L and cash'!Q5&gt;='Model inputs'!AJ73),'Haq — Monthly P&amp;L and cash'!Q5&gt;='Model inputs'!AJ73,IF(OR('Haq — Monthly P&amp;L and cash'!Q5="",'Model inputs'!AJ73=""),"",'Haq — Monthly P&amp;L and cash'!Q5&gt;='Model inputs'!AJ73))="",FALSE,IF(ISERROR('Haq — Monthly P&amp;L and cash'!Q5&gt;='Model inputs'!AJ73),'Haq — Monthly P&amp;L and cash'!Q5&gt;='Model inputs'!AJ73,IF(OR('Haq — Monthly P&amp;L and cash'!Q5="",'Model inputs'!AJ73=""),"",'Haq — Monthly P&amp;L and cash'!Q5&gt;='Model inputs'!AJ73))),'Model inputs'!AJ72*'Model inputs'!AJ71,0)</f>
        <v>60000</v>
      </c>
      <c r="R29" s="9">
        <f>IF(IF(IF(ISERROR('Haq — Monthly P&amp;L and cash'!R5&gt;='Model inputs'!AJ73),'Haq — Monthly P&amp;L and cash'!R5&gt;='Model inputs'!AJ73,IF(OR('Haq — Monthly P&amp;L and cash'!R5="",'Model inputs'!AJ73=""),"",'Haq — Monthly P&amp;L and cash'!R5&gt;='Model inputs'!AJ73))="",FALSE,IF(ISERROR('Haq — Monthly P&amp;L and cash'!R5&gt;='Model inputs'!AJ73),'Haq — Monthly P&amp;L and cash'!R5&gt;='Model inputs'!AJ73,IF(OR('Haq — Monthly P&amp;L and cash'!R5="",'Model inputs'!AJ73=""),"",'Haq — Monthly P&amp;L and cash'!R5&gt;='Model inputs'!AJ73))),'Model inputs'!AJ72*'Model inputs'!AJ71,0)</f>
        <v>60000</v>
      </c>
      <c r="S29" s="9">
        <f>IF(IF(IF(ISERROR('Haq — Monthly P&amp;L and cash'!S5&gt;='Model inputs'!AJ73),'Haq — Monthly P&amp;L and cash'!S5&gt;='Model inputs'!AJ73,IF(OR('Haq — Monthly P&amp;L and cash'!S5="",'Model inputs'!AJ73=""),"",'Haq — Monthly P&amp;L and cash'!S5&gt;='Model inputs'!AJ73))="",FALSE,IF(ISERROR('Haq — Monthly P&amp;L and cash'!S5&gt;='Model inputs'!AJ73),'Haq — Monthly P&amp;L and cash'!S5&gt;='Model inputs'!AJ73,IF(OR('Haq — Monthly P&amp;L and cash'!S5="",'Model inputs'!AJ73=""),"",'Haq — Monthly P&amp;L and cash'!S5&gt;='Model inputs'!AJ73))),'Model inputs'!AJ72*'Model inputs'!AJ71,0)</f>
        <v>60000</v>
      </c>
      <c r="T29" s="9">
        <f>IF(IF(IF(ISERROR('Haq — Monthly P&amp;L and cash'!T5&gt;='Model inputs'!AJ73),'Haq — Monthly P&amp;L and cash'!T5&gt;='Model inputs'!AJ73,IF(OR('Haq — Monthly P&amp;L and cash'!T5="",'Model inputs'!AJ73=""),"",'Haq — Monthly P&amp;L and cash'!T5&gt;='Model inputs'!AJ73))="",FALSE,IF(ISERROR('Haq — Monthly P&amp;L and cash'!T5&gt;='Model inputs'!AJ73),'Haq — Monthly P&amp;L and cash'!T5&gt;='Model inputs'!AJ73,IF(OR('Haq — Monthly P&amp;L and cash'!T5="",'Model inputs'!AJ73=""),"",'Haq — Monthly P&amp;L and cash'!T5&gt;='Model inputs'!AJ73))),'Model inputs'!AJ72*'Model inputs'!AJ71,0)</f>
        <v>60000</v>
      </c>
      <c r="U29" s="9">
        <f>IF(IF(IF(ISERROR('Haq — Monthly P&amp;L and cash'!U5&gt;='Model inputs'!AJ73),'Haq — Monthly P&amp;L and cash'!U5&gt;='Model inputs'!AJ73,IF(OR('Haq — Monthly P&amp;L and cash'!U5="",'Model inputs'!AJ73=""),"",'Haq — Monthly P&amp;L and cash'!U5&gt;='Model inputs'!AJ73))="",FALSE,IF(ISERROR('Haq — Monthly P&amp;L and cash'!U5&gt;='Model inputs'!AJ73),'Haq — Monthly P&amp;L and cash'!U5&gt;='Model inputs'!AJ73,IF(OR('Haq — Monthly P&amp;L and cash'!U5="",'Model inputs'!AJ73=""),"",'Haq — Monthly P&amp;L and cash'!U5&gt;='Model inputs'!AJ73))),'Model inputs'!AJ72*'Model inputs'!AJ71,0)</f>
        <v>60000</v>
      </c>
      <c r="V29" s="9">
        <f>IF(IF(IF(ISERROR('Haq — Monthly P&amp;L and cash'!V5&gt;='Model inputs'!AJ73),'Haq — Monthly P&amp;L and cash'!V5&gt;='Model inputs'!AJ73,IF(OR('Haq — Monthly P&amp;L and cash'!V5="",'Model inputs'!AJ73=""),"",'Haq — Monthly P&amp;L and cash'!V5&gt;='Model inputs'!AJ73))="",FALSE,IF(ISERROR('Haq — Monthly P&amp;L and cash'!V5&gt;='Model inputs'!AJ73),'Haq — Monthly P&amp;L and cash'!V5&gt;='Model inputs'!AJ73,IF(OR('Haq — Monthly P&amp;L and cash'!V5="",'Model inputs'!AJ73=""),"",'Haq — Monthly P&amp;L and cash'!V5&gt;='Model inputs'!AJ73))),'Model inputs'!AJ72*'Model inputs'!AJ71,0)</f>
        <v>60000</v>
      </c>
      <c r="W29" s="9">
        <f>IF(IF(IF(ISERROR('Haq — Monthly P&amp;L and cash'!W5&gt;='Model inputs'!AJ73),'Haq — Monthly P&amp;L and cash'!W5&gt;='Model inputs'!AJ73,IF(OR('Haq — Monthly P&amp;L and cash'!W5="",'Model inputs'!AJ73=""),"",'Haq — Monthly P&amp;L and cash'!W5&gt;='Model inputs'!AJ73))="",FALSE,IF(ISERROR('Haq — Monthly P&amp;L and cash'!W5&gt;='Model inputs'!AJ73),'Haq — Monthly P&amp;L and cash'!W5&gt;='Model inputs'!AJ73,IF(OR('Haq — Monthly P&amp;L and cash'!W5="",'Model inputs'!AJ73=""),"",'Haq — Monthly P&amp;L and cash'!W5&gt;='Model inputs'!AJ73))),'Model inputs'!AJ72*'Model inputs'!AJ71,0)</f>
        <v>60000</v>
      </c>
      <c r="X29" s="9">
        <f>IF(IF(IF(ISERROR('Haq — Monthly P&amp;L and cash'!X5&gt;='Model inputs'!AJ73),'Haq — Monthly P&amp;L and cash'!X5&gt;='Model inputs'!AJ73,IF(OR('Haq — Monthly P&amp;L and cash'!X5="",'Model inputs'!AJ73=""),"",'Haq — Monthly P&amp;L and cash'!X5&gt;='Model inputs'!AJ73))="",FALSE,IF(ISERROR('Haq — Monthly P&amp;L and cash'!X5&gt;='Model inputs'!AJ73),'Haq — Monthly P&amp;L and cash'!X5&gt;='Model inputs'!AJ73,IF(OR('Haq — Monthly P&amp;L and cash'!X5="",'Model inputs'!AJ73=""),"",'Haq — Monthly P&amp;L and cash'!X5&gt;='Model inputs'!AJ73))),'Model inputs'!AJ72*'Model inputs'!AJ71,0)</f>
        <v>60000</v>
      </c>
      <c r="Y29" s="9">
        <f>IF(IF(IF(ISERROR('Haq — Monthly P&amp;L and cash'!Y5&gt;='Model inputs'!AJ73),'Haq — Monthly P&amp;L and cash'!Y5&gt;='Model inputs'!AJ73,IF(OR('Haq — Monthly P&amp;L and cash'!Y5="",'Model inputs'!AJ73=""),"",'Haq — Monthly P&amp;L and cash'!Y5&gt;='Model inputs'!AJ73))="",FALSE,IF(ISERROR('Haq — Monthly P&amp;L and cash'!Y5&gt;='Model inputs'!AJ73),'Haq — Monthly P&amp;L and cash'!Y5&gt;='Model inputs'!AJ73,IF(OR('Haq — Monthly P&amp;L and cash'!Y5="",'Model inputs'!AJ73=""),"",'Haq — Monthly P&amp;L and cash'!Y5&gt;='Model inputs'!AJ73))),'Model inputs'!AJ72*'Model inputs'!AJ71,0)</f>
        <v>60000</v>
      </c>
    </row>
    <row r="30">
      <c r="A30" t="inlineStr" s="8">
        <is>
          <t xml:space="preserve">Haq Team payroll</t>
        </is>
      </c>
      <c r="B30" s="9">
        <f>'Haq — Monthly P&amp;L and cash'!B27+'Haq — Monthly P&amp;L and cash'!B28+'Haq — Monthly P&amp;L and cash'!B29</f>
        <v>150000</v>
      </c>
      <c r="C30" s="9">
        <f>'Haq — Monthly P&amp;L and cash'!C27+'Haq — Monthly P&amp;L and cash'!C28+'Haq — Monthly P&amp;L and cash'!C29</f>
        <v>150000</v>
      </c>
      <c r="D30" s="9">
        <f>'Haq — Monthly P&amp;L and cash'!D27+'Haq — Monthly P&amp;L and cash'!D28+'Haq — Monthly P&amp;L and cash'!D29</f>
        <v>150000</v>
      </c>
      <c r="E30" s="9">
        <f>'Haq — Monthly P&amp;L and cash'!E27+'Haq — Monthly P&amp;L and cash'!E28+'Haq — Monthly P&amp;L and cash'!E29</f>
        <v>150000</v>
      </c>
      <c r="F30" s="9">
        <f>'Haq — Monthly P&amp;L and cash'!F27+'Haq — Monthly P&amp;L and cash'!F28+'Haq — Monthly P&amp;L and cash'!F29</f>
        <v>150000</v>
      </c>
      <c r="G30" s="9">
        <f>'Haq — Monthly P&amp;L and cash'!G27+'Haq — Monthly P&amp;L and cash'!G28+'Haq — Monthly P&amp;L and cash'!G29</f>
        <v>210000</v>
      </c>
      <c r="H30" s="9">
        <f>'Haq — Monthly P&amp;L and cash'!H27+'Haq — Monthly P&amp;L and cash'!H28+'Haq — Monthly P&amp;L and cash'!H29</f>
        <v>310000</v>
      </c>
      <c r="I30" s="9">
        <f>'Haq — Monthly P&amp;L and cash'!I27+'Haq — Monthly P&amp;L and cash'!I28+'Haq — Monthly P&amp;L and cash'!I29</f>
        <v>310000</v>
      </c>
      <c r="J30" s="9">
        <f>'Haq — Monthly P&amp;L and cash'!J27+'Haq — Monthly P&amp;L and cash'!J28+'Haq — Monthly P&amp;L and cash'!J29</f>
        <v>310000</v>
      </c>
      <c r="K30" s="9">
        <f>'Haq — Monthly P&amp;L and cash'!K27+'Haq — Monthly P&amp;L and cash'!K28+'Haq — Monthly P&amp;L and cash'!K29</f>
        <v>310000</v>
      </c>
      <c r="L30" s="9">
        <f>'Haq — Monthly P&amp;L and cash'!L27+'Haq — Monthly P&amp;L and cash'!L28+'Haq — Monthly P&amp;L and cash'!L29</f>
        <v>310000</v>
      </c>
      <c r="M30" s="9">
        <f>'Haq — Monthly P&amp;L and cash'!M27+'Haq — Monthly P&amp;L and cash'!M28+'Haq — Monthly P&amp;L and cash'!M29</f>
        <v>310000</v>
      </c>
      <c r="N30" s="9">
        <f>'Haq — Monthly P&amp;L and cash'!N27+'Haq — Monthly P&amp;L and cash'!N28+'Haq — Monthly P&amp;L and cash'!N29</f>
        <v>310000</v>
      </c>
      <c r="O30" s="9">
        <f>'Haq — Monthly P&amp;L and cash'!O27+'Haq — Monthly P&amp;L and cash'!O28+'Haq — Monthly P&amp;L and cash'!O29</f>
        <v>310000</v>
      </c>
      <c r="P30" s="9">
        <f>'Haq — Monthly P&amp;L and cash'!P27+'Haq — Monthly P&amp;L and cash'!P28+'Haq — Monthly P&amp;L and cash'!P29</f>
        <v>310000</v>
      </c>
      <c r="Q30" s="9">
        <f>'Haq — Monthly P&amp;L and cash'!Q27+'Haq — Monthly P&amp;L and cash'!Q28+'Haq — Monthly P&amp;L and cash'!Q29</f>
        <v>310000</v>
      </c>
      <c r="R30" s="9">
        <f>'Haq — Monthly P&amp;L and cash'!R27+'Haq — Monthly P&amp;L and cash'!R28+'Haq — Monthly P&amp;L and cash'!R29</f>
        <v>310000</v>
      </c>
      <c r="S30" s="9">
        <f>'Haq — Monthly P&amp;L and cash'!S27+'Haq — Monthly P&amp;L and cash'!S28+'Haq — Monthly P&amp;L and cash'!S29</f>
        <v>310000</v>
      </c>
      <c r="T30" s="9">
        <f>'Haq — Monthly P&amp;L and cash'!T27+'Haq — Monthly P&amp;L and cash'!T28+'Haq — Monthly P&amp;L and cash'!T29</f>
        <v>310000</v>
      </c>
      <c r="U30" s="9">
        <f>'Haq — Monthly P&amp;L and cash'!U27+'Haq — Monthly P&amp;L and cash'!U28+'Haq — Monthly P&amp;L and cash'!U29</f>
        <v>310000</v>
      </c>
      <c r="V30" s="9">
        <f>'Haq — Monthly P&amp;L and cash'!V27+'Haq — Monthly P&amp;L and cash'!V28+'Haq — Monthly P&amp;L and cash'!V29</f>
        <v>310000</v>
      </c>
      <c r="W30" s="9">
        <f>'Haq — Monthly P&amp;L and cash'!W27+'Haq — Monthly P&amp;L and cash'!W28+'Haq — Monthly P&amp;L and cash'!W29</f>
        <v>310000</v>
      </c>
      <c r="X30" s="9">
        <f>'Haq — Monthly P&amp;L and cash'!X27+'Haq — Monthly P&amp;L and cash'!X28+'Haq — Monthly P&amp;L and cash'!X29</f>
        <v>310000</v>
      </c>
      <c r="Y30" s="9">
        <f>'Haq — Monthly P&amp;L and cash'!Y27+'Haq — Monthly P&amp;L and cash'!Y28+'Haq — Monthly P&amp;L and cash'!Y29</f>
        <v>310000</v>
      </c>
    </row>
    <row r="31">
      <c r="A31" t="inlineStr" s="8">
        <is>
          <t xml:space="preserve">Haq Cloud and tools</t>
        </is>
      </c>
      <c r="B31" s="9">
        <f>'Model inputs'!AJ57+'Haq — Monthly P&amp;L and cash'!B21/100*'Model inputs'!AJ58</f>
        <v>25000</v>
      </c>
      <c r="C31" s="9">
        <f>'Model inputs'!AJ57+'Haq — Monthly P&amp;L and cash'!C21/100*'Model inputs'!AJ58</f>
        <v>25000</v>
      </c>
      <c r="D31" s="9">
        <f>'Model inputs'!AJ57+'Haq — Monthly P&amp;L and cash'!D21/100*'Model inputs'!AJ58</f>
        <v>25000</v>
      </c>
      <c r="E31" s="9">
        <f>'Model inputs'!AJ57+'Haq — Monthly P&amp;L and cash'!E21/100*'Model inputs'!AJ58</f>
        <v>25040</v>
      </c>
      <c r="F31" s="9">
        <f>'Model inputs'!AJ57+'Haq — Monthly P&amp;L and cash'!F21/100*'Model inputs'!AJ58</f>
        <v>25046</v>
      </c>
      <c r="G31" s="9">
        <f>'Model inputs'!AJ57+'Haq — Monthly P&amp;L and cash'!G21/100*'Model inputs'!AJ58</f>
        <v>25073.733333333334</v>
      </c>
      <c r="H31" s="9">
        <f>'Model inputs'!AJ57+'Haq — Monthly P&amp;L and cash'!H21/100*'Model inputs'!AJ58</f>
        <v>25081.668333333335</v>
      </c>
      <c r="I31" s="9">
        <f>'Model inputs'!AJ57+'Haq — Monthly P&amp;L and cash'!I21/100*'Model inputs'!AJ58</f>
        <v>25090.793583333332</v>
      </c>
      <c r="J31" s="9">
        <f>'Model inputs'!AJ57+'Haq — Monthly P&amp;L and cash'!J21/100*'Model inputs'!AJ58</f>
        <v>25130.4542875</v>
      </c>
      <c r="K31" s="9">
        <f>'Model inputs'!AJ57+'Haq — Monthly P&amp;L and cash'!K21/100*'Model inputs'!AJ58</f>
        <v>25142.522430625</v>
      </c>
      <c r="L31" s="9">
        <f>'Model inputs'!AJ57+'Haq — Monthly P&amp;L and cash'!L21/100*'Model inputs'!AJ58</f>
        <v>25156.40079521875</v>
      </c>
      <c r="M31" s="9">
        <f>'Model inputs'!AJ57+'Haq — Monthly P&amp;L and cash'!M21/100*'Model inputs'!AJ58</f>
        <v>25201.52758116823</v>
      </c>
      <c r="N31" s="9">
        <f>'Model inputs'!AJ57+'Haq — Monthly P&amp;L and cash'!N21/100*'Model inputs'!AJ58</f>
        <v>25219.881718343462</v>
      </c>
      <c r="O31" s="9">
        <f>'Model inputs'!AJ57+'Haq — Monthly P&amp;L and cash'!O21/100*'Model inputs'!AJ58</f>
        <v>25240.988976094985</v>
      </c>
      <c r="P31" s="9">
        <f>'Model inputs'!AJ57+'Haq — Monthly P&amp;L and cash'!P21/100*'Model inputs'!AJ58</f>
        <v>25286.095655842564</v>
      </c>
      <c r="Q31" s="9">
        <f>'Model inputs'!AJ57+'Haq — Monthly P&amp;L and cash'!Q21/100*'Model inputs'!AJ58</f>
        <v>25314.010004218948</v>
      </c>
      <c r="R31" s="9">
        <f>'Model inputs'!AJ57+'Haq — Monthly P&amp;L and cash'!R21/100*'Model inputs'!AJ58</f>
        <v>25346.11150485179</v>
      </c>
      <c r="S31" s="9">
        <f>'Model inputs'!AJ57+'Haq — Monthly P&amp;L and cash'!S21/100*'Model inputs'!AJ58</f>
        <v>25416.36156391289</v>
      </c>
      <c r="T31" s="9">
        <f>'Model inputs'!AJ57+'Haq — Monthly P&amp;L and cash'!T21/100*'Model inputs'!AJ58</f>
        <v>25458.815798499825</v>
      </c>
      <c r="U31" s="9">
        <f>'Model inputs'!AJ57+'Haq — Monthly P&amp;L and cash'!U21/100*'Model inputs'!AJ58</f>
        <v>25507.6381682748</v>
      </c>
      <c r="V31" s="9">
        <f>'Model inputs'!AJ57+'Haq — Monthly P&amp;L and cash'!V21/100*'Model inputs'!AJ58</f>
        <v>25584.617226849354</v>
      </c>
      <c r="W31" s="9">
        <f>'Model inputs'!AJ57+'Haq — Monthly P&amp;L and cash'!W21/100*'Model inputs'!AJ58</f>
        <v>25649.184810876755</v>
      </c>
      <c r="X31" s="9">
        <f>'Model inputs'!AJ57+'Haq — Monthly P&amp;L and cash'!X21/100*'Model inputs'!AJ58</f>
        <v>25744.2708658416</v>
      </c>
      <c r="Y31" s="9">
        <f>'Model inputs'!AJ57+'Haq — Monthly P&amp;L and cash'!Y21/100*'Model inputs'!AJ58</f>
        <v>25862.99482905118</v>
      </c>
    </row>
    <row r="32">
      <c r="A32" t="inlineStr" s="8">
        <is>
          <t xml:space="preserve">Haq Marketing</t>
        </is>
      </c>
      <c r="B32" s="9">
        <f>IF('Model inputs'!AJ79="","",'Model inputs'!AJ79)</f>
        <v>50000</v>
      </c>
      <c r="C32" s="9">
        <f>IF('Model inputs'!AJ79="","",'Model inputs'!AJ79)</f>
        <v>50000</v>
      </c>
      <c r="D32" s="9">
        <f>IF('Model inputs'!AJ79="","",'Model inputs'!AJ79)</f>
        <v>50000</v>
      </c>
      <c r="E32" s="9">
        <f>IF('Model inputs'!AJ79="","",'Model inputs'!AJ79)</f>
        <v>50000</v>
      </c>
      <c r="F32" s="9">
        <f>IF('Model inputs'!AJ79="","",'Model inputs'!AJ79)</f>
        <v>50000</v>
      </c>
      <c r="G32" s="9">
        <f>IF('Model inputs'!AJ79="","",'Model inputs'!AJ79)</f>
        <v>50000</v>
      </c>
      <c r="H32" s="9">
        <f>IF('Model inputs'!AJ79="","",'Model inputs'!AJ79)</f>
        <v>50000</v>
      </c>
      <c r="I32" s="9">
        <f>IF('Model inputs'!AJ79="","",'Model inputs'!AJ79)</f>
        <v>50000</v>
      </c>
      <c r="J32" s="9">
        <f>IF('Model inputs'!AJ79="","",'Model inputs'!AJ79)</f>
        <v>50000</v>
      </c>
      <c r="K32" s="9">
        <f>IF('Model inputs'!AJ79="","",'Model inputs'!AJ79)</f>
        <v>50000</v>
      </c>
      <c r="L32" s="9">
        <f>IF('Model inputs'!AJ79="","",'Model inputs'!AJ79)</f>
        <v>50000</v>
      </c>
      <c r="M32" s="9">
        <f>IF('Model inputs'!AJ79="","",'Model inputs'!AJ79)</f>
        <v>50000</v>
      </c>
      <c r="N32" s="9">
        <f>IF('Model inputs'!AJ79="","",'Model inputs'!AJ79)</f>
        <v>50000</v>
      </c>
      <c r="O32" s="9">
        <f>IF('Model inputs'!AJ79="","",'Model inputs'!AJ79)</f>
        <v>50000</v>
      </c>
      <c r="P32" s="9">
        <f>IF('Model inputs'!AJ79="","",'Model inputs'!AJ79)</f>
        <v>50000</v>
      </c>
      <c r="Q32" s="9">
        <f>IF('Model inputs'!AJ79="","",'Model inputs'!AJ79)</f>
        <v>50000</v>
      </c>
      <c r="R32" s="9">
        <f>IF('Model inputs'!AJ79="","",'Model inputs'!AJ79)</f>
        <v>50000</v>
      </c>
      <c r="S32" s="9">
        <f>IF('Model inputs'!AJ79="","",'Model inputs'!AJ79)</f>
        <v>50000</v>
      </c>
      <c r="T32" s="9">
        <f>IF('Model inputs'!AJ79="","",'Model inputs'!AJ79)</f>
        <v>50000</v>
      </c>
      <c r="U32" s="9">
        <f>IF('Model inputs'!AJ79="","",'Model inputs'!AJ79)</f>
        <v>50000</v>
      </c>
      <c r="V32" s="9">
        <f>IF('Model inputs'!AJ79="","",'Model inputs'!AJ79)</f>
        <v>50000</v>
      </c>
      <c r="W32" s="9">
        <f>IF('Model inputs'!AJ79="","",'Model inputs'!AJ79)</f>
        <v>50000</v>
      </c>
      <c r="X32" s="9">
        <f>IF('Model inputs'!AJ79="","",'Model inputs'!AJ79)</f>
        <v>50000</v>
      </c>
      <c r="Y32" s="9">
        <f>IF('Model inputs'!AJ79="","",'Model inputs'!AJ79)</f>
        <v>50000</v>
      </c>
    </row>
    <row r="33">
      <c r="A33" t="inlineStr" s="8">
        <is>
          <t xml:space="preserve">Haq Acquisition top-up</t>
        </is>
      </c>
      <c r="B33" s="9">
        <f>MAX('Haq — Monthly P&amp;L and cash'!B8*'Model inputs'!AJ39-'Model inputs'!AJ79*'Model inputs'!AJ78,0)</f>
        <v>0</v>
      </c>
      <c r="C33" s="9">
        <f>MAX('Haq — Monthly P&amp;L and cash'!C8*'Model inputs'!AJ39-'Model inputs'!AJ79*'Model inputs'!AJ78,0)</f>
        <v>0</v>
      </c>
      <c r="D33" s="9">
        <f>MAX('Haq — Monthly P&amp;L and cash'!D8*'Model inputs'!AJ39-'Model inputs'!AJ79*'Model inputs'!AJ78,0)</f>
        <v>0</v>
      </c>
      <c r="E33" s="9">
        <f>MAX('Haq — Monthly P&amp;L and cash'!E8*'Model inputs'!AJ39-'Model inputs'!AJ79*'Model inputs'!AJ78,0)</f>
        <v>50000</v>
      </c>
      <c r="F33" s="9">
        <f>MAX('Haq — Monthly P&amp;L and cash'!F8*'Model inputs'!AJ39-'Model inputs'!AJ79*'Model inputs'!AJ78,0)</f>
        <v>0</v>
      </c>
      <c r="G33" s="9">
        <f>MAX('Haq — Monthly P&amp;L and cash'!G8*'Model inputs'!AJ39-'Model inputs'!AJ79*'Model inputs'!AJ78,0)</f>
        <v>0</v>
      </c>
      <c r="H33" s="9">
        <f>MAX('Haq — Monthly P&amp;L and cash'!H8*'Model inputs'!AJ39-'Model inputs'!AJ79*'Model inputs'!AJ78,0)</f>
        <v>0</v>
      </c>
      <c r="I33" s="9">
        <f>MAX('Haq — Monthly P&amp;L and cash'!I8*'Model inputs'!AJ39-'Model inputs'!AJ79*'Model inputs'!AJ78,0)</f>
        <v>0</v>
      </c>
      <c r="J33" s="9">
        <f>MAX('Haq — Monthly P&amp;L and cash'!J8*'Model inputs'!AJ39-'Model inputs'!AJ79*'Model inputs'!AJ78,0)</f>
        <v>0</v>
      </c>
      <c r="K33" s="9">
        <f>MAX('Haq — Monthly P&amp;L and cash'!K8*'Model inputs'!AJ39-'Model inputs'!AJ79*'Model inputs'!AJ78,0)</f>
        <v>0</v>
      </c>
      <c r="L33" s="9">
        <f>MAX('Haq — Monthly P&amp;L and cash'!L8*'Model inputs'!AJ39-'Model inputs'!AJ79*'Model inputs'!AJ78,0)</f>
        <v>0</v>
      </c>
      <c r="M33" s="9">
        <f>MAX('Haq — Monthly P&amp;L and cash'!M8*'Model inputs'!AJ39-'Model inputs'!AJ79*'Model inputs'!AJ78,0)</f>
        <v>3200.397609374966</v>
      </c>
      <c r="N33" s="9">
        <f>MAX('Haq — Monthly P&amp;L and cash'!N8*'Model inputs'!AJ39-'Model inputs'!AJ79*'Model inputs'!AJ78,0)</f>
        <v>11180.457250781212</v>
      </c>
      <c r="O33" s="9">
        <f>MAX('Haq — Monthly P&amp;L and cash'!O8*'Model inputs'!AJ39-'Model inputs'!AJ79*'Model inputs'!AJ78,0)</f>
        <v>20357.52583839839</v>
      </c>
      <c r="P33" s="9">
        <f>MAX('Haq — Monthly P&amp;L and cash'!P8*'Model inputs'!AJ39-'Model inputs'!AJ79*'Model inputs'!AJ78,0)</f>
        <v>30911.15471415814</v>
      </c>
      <c r="Q33" s="9">
        <f>MAX('Haq — Monthly P&amp;L and cash'!Q8*'Model inputs'!AJ39-'Model inputs'!AJ79*'Model inputs'!AJ78,0)</f>
        <v>43047.827921281845</v>
      </c>
      <c r="R33" s="9">
        <f>MAX('Haq — Monthly P&amp;L and cash'!R8*'Model inputs'!AJ39-'Model inputs'!AJ79*'Model inputs'!AJ78,0)</f>
        <v>57005.002109474124</v>
      </c>
      <c r="S33" s="9">
        <f>MAX('Haq — Monthly P&amp;L and cash'!S8*'Model inputs'!AJ39-'Model inputs'!AJ79*'Model inputs'!AJ78,0)</f>
        <v>73055.75242589523</v>
      </c>
      <c r="T33" s="9">
        <f>MAX('Haq — Monthly P&amp;L and cash'!T8*'Model inputs'!AJ39-'Model inputs'!AJ79*'Model inputs'!AJ78,0)</f>
        <v>91514.1152897795</v>
      </c>
      <c r="U33" s="9">
        <f>MAX('Haq — Monthly P&amp;L and cash'!U8*'Model inputs'!AJ39-'Model inputs'!AJ79*'Model inputs'!AJ78,0)</f>
        <v>112741.23258324643</v>
      </c>
      <c r="V33" s="9">
        <f>MAX('Haq — Monthly P&amp;L and cash'!V8*'Model inputs'!AJ39-'Model inputs'!AJ79*'Model inputs'!AJ78,0)</f>
        <v>137152.41747073337</v>
      </c>
      <c r="W33" s="9">
        <f>MAX('Haq — Monthly P&amp;L and cash'!W8*'Model inputs'!AJ39-'Model inputs'!AJ79*'Model inputs'!AJ78,0)</f>
        <v>165225.28009134336</v>
      </c>
      <c r="X33" s="9">
        <f>MAX('Haq — Monthly P&amp;L and cash'!X8*'Model inputs'!AJ39-'Model inputs'!AJ79*'Model inputs'!AJ78,0)</f>
        <v>197509.07210504485</v>
      </c>
      <c r="Y33" s="9">
        <f>MAX('Haq — Monthly P&amp;L and cash'!Y8*'Model inputs'!AJ39-'Model inputs'!AJ79*'Model inputs'!AJ78,0)</f>
        <v>234635.4329208015</v>
      </c>
    </row>
    <row r="34">
      <c r="A34" t="inlineStr" s="8">
        <is>
          <t xml:space="preserve">Haq District onboarding</t>
        </is>
      </c>
      <c r="B34" s="9">
        <f>'Haq — Monthly P&amp;L and cash'!B12*'Model inputs'!AJ64</f>
        <v>0</v>
      </c>
      <c r="C34" s="9">
        <f>'Haq — Monthly P&amp;L and cash'!C12*'Model inputs'!AJ64</f>
        <v>0</v>
      </c>
      <c r="D34" s="9">
        <f>'Haq — Monthly P&amp;L and cash'!D12*'Model inputs'!AJ64</f>
        <v>0</v>
      </c>
      <c r="E34" s="9">
        <f>'Haq — Monthly P&amp;L and cash'!E12*'Model inputs'!AJ64</f>
        <v>0</v>
      </c>
      <c r="F34" s="9">
        <f>'Haq — Monthly P&amp;L and cash'!F12*'Model inputs'!AJ64</f>
        <v>0</v>
      </c>
      <c r="G34" s="9">
        <f>'Haq — Monthly P&amp;L and cash'!G12*'Model inputs'!AJ64</f>
        <v>100000</v>
      </c>
      <c r="H34" s="9">
        <f>'Haq — Monthly P&amp;L and cash'!H12*'Model inputs'!AJ64</f>
        <v>0</v>
      </c>
      <c r="I34" s="9">
        <f>'Haq — Monthly P&amp;L and cash'!I12*'Model inputs'!AJ64</f>
        <v>0</v>
      </c>
      <c r="J34" s="9">
        <f>'Haq — Monthly P&amp;L and cash'!J12*'Model inputs'!AJ64</f>
        <v>100000</v>
      </c>
      <c r="K34" s="9">
        <f>'Haq — Monthly P&amp;L and cash'!K12*'Model inputs'!AJ64</f>
        <v>0</v>
      </c>
      <c r="L34" s="9">
        <f>'Haq — Monthly P&amp;L and cash'!L12*'Model inputs'!AJ64</f>
        <v>0</v>
      </c>
      <c r="M34" s="9">
        <f>'Haq — Monthly P&amp;L and cash'!M12*'Model inputs'!AJ64</f>
        <v>100000</v>
      </c>
      <c r="N34" s="9">
        <f>'Haq — Monthly P&amp;L and cash'!N12*'Model inputs'!AJ64</f>
        <v>0</v>
      </c>
      <c r="O34" s="9">
        <f>'Haq — Monthly P&amp;L and cash'!O12*'Model inputs'!AJ64</f>
        <v>0</v>
      </c>
      <c r="P34" s="9">
        <f>'Haq — Monthly P&amp;L and cash'!P12*'Model inputs'!AJ64</f>
        <v>100000</v>
      </c>
      <c r="Q34" s="9">
        <f>'Haq — Monthly P&amp;L and cash'!Q12*'Model inputs'!AJ64</f>
        <v>0</v>
      </c>
      <c r="R34" s="9">
        <f>'Haq — Monthly P&amp;L and cash'!R12*'Model inputs'!AJ64</f>
        <v>0</v>
      </c>
      <c r="S34" s="9">
        <f>'Haq — Monthly P&amp;L and cash'!S12*'Model inputs'!AJ64</f>
        <v>100000</v>
      </c>
      <c r="T34" s="9">
        <f>'Haq — Monthly P&amp;L and cash'!T12*'Model inputs'!AJ64</f>
        <v>0</v>
      </c>
      <c r="U34" s="9">
        <f>'Haq — Monthly P&amp;L and cash'!U12*'Model inputs'!AJ64</f>
        <v>0</v>
      </c>
      <c r="V34" s="9">
        <f>'Haq — Monthly P&amp;L and cash'!V12*'Model inputs'!AJ64</f>
        <v>100000</v>
      </c>
      <c r="W34" s="9">
        <f>'Haq — Monthly P&amp;L and cash'!W12*'Model inputs'!AJ64</f>
        <v>0</v>
      </c>
      <c r="X34" s="9">
        <f>'Haq — Monthly P&amp;L and cash'!X12*'Model inputs'!AJ64</f>
        <v>100000</v>
      </c>
      <c r="Y34" s="9">
        <f>'Haq — Monthly P&amp;L and cash'!Y12*'Model inputs'!AJ64</f>
        <v>100000</v>
      </c>
    </row>
    <row r="35">
      <c r="A35" t="inlineStr" s="8">
        <is>
          <t xml:space="preserve">Haq Operating costs</t>
        </is>
      </c>
      <c r="B35" s="9">
        <f>'Haq — Monthly P&amp;L and cash'!B30+'Haq — Monthly P&amp;L and cash'!B31+'Haq — Monthly P&amp;L and cash'!B32+'Haq — Monthly P&amp;L and cash'!B34+'Haq — Monthly P&amp;L and cash'!B33</f>
        <v>225000</v>
      </c>
      <c r="C35" s="9">
        <f>'Haq — Monthly P&amp;L and cash'!C30+'Haq — Monthly P&amp;L and cash'!C31+'Haq — Monthly P&amp;L and cash'!C32+'Haq — Monthly P&amp;L and cash'!C34+'Haq — Monthly P&amp;L and cash'!C33</f>
        <v>225000</v>
      </c>
      <c r="D35" s="9">
        <f>'Haq — Monthly P&amp;L and cash'!D30+'Haq — Monthly P&amp;L and cash'!D31+'Haq — Monthly P&amp;L and cash'!D32+'Haq — Monthly P&amp;L and cash'!D34+'Haq — Monthly P&amp;L and cash'!D33</f>
        <v>225000</v>
      </c>
      <c r="E35" s="9">
        <f>'Haq — Monthly P&amp;L and cash'!E30+'Haq — Monthly P&amp;L and cash'!E31+'Haq — Monthly P&amp;L and cash'!E32+'Haq — Monthly P&amp;L and cash'!E34+'Haq — Monthly P&amp;L and cash'!E33</f>
        <v>275040</v>
      </c>
      <c r="F35" s="9">
        <f>'Haq — Monthly P&amp;L and cash'!F30+'Haq — Monthly P&amp;L and cash'!F31+'Haq — Monthly P&amp;L and cash'!F32+'Haq — Monthly P&amp;L and cash'!F34+'Haq — Monthly P&amp;L and cash'!F33</f>
        <v>225046</v>
      </c>
      <c r="G35" s="9">
        <f>'Haq — Monthly P&amp;L and cash'!G30+'Haq — Monthly P&amp;L and cash'!G31+'Haq — Monthly P&amp;L and cash'!G32+'Haq — Monthly P&amp;L and cash'!G34+'Haq — Monthly P&amp;L and cash'!G33</f>
        <v>385073.73333333334</v>
      </c>
      <c r="H35" s="9">
        <f>'Haq — Monthly P&amp;L and cash'!H30+'Haq — Monthly P&amp;L and cash'!H31+'Haq — Monthly P&amp;L and cash'!H32+'Haq — Monthly P&amp;L and cash'!H34+'Haq — Monthly P&amp;L and cash'!H33</f>
        <v>385081.66833333333</v>
      </c>
      <c r="I35" s="9">
        <f>'Haq — Monthly P&amp;L and cash'!I30+'Haq — Monthly P&amp;L and cash'!I31+'Haq — Monthly P&amp;L and cash'!I32+'Haq — Monthly P&amp;L and cash'!I34+'Haq — Monthly P&amp;L and cash'!I33</f>
        <v>385090.7935833333</v>
      </c>
      <c r="J35" s="9">
        <f>'Haq — Monthly P&amp;L and cash'!J30+'Haq — Monthly P&amp;L and cash'!J31+'Haq — Monthly P&amp;L and cash'!J32+'Haq — Monthly P&amp;L and cash'!J34+'Haq — Monthly P&amp;L and cash'!J33</f>
        <v>485130.4542875</v>
      </c>
      <c r="K35" s="9">
        <f>'Haq — Monthly P&amp;L and cash'!K30+'Haq — Monthly P&amp;L and cash'!K31+'Haq — Monthly P&amp;L and cash'!K32+'Haq — Monthly P&amp;L and cash'!K34+'Haq — Monthly P&amp;L and cash'!K33</f>
        <v>385142.522430625</v>
      </c>
      <c r="L35" s="9">
        <f>'Haq — Monthly P&amp;L and cash'!L30+'Haq — Monthly P&amp;L and cash'!L31+'Haq — Monthly P&amp;L and cash'!L32+'Haq — Monthly P&amp;L and cash'!L34+'Haq — Monthly P&amp;L and cash'!L33</f>
        <v>385156.40079521877</v>
      </c>
      <c r="M35" s="9">
        <f>'Haq — Monthly P&amp;L and cash'!M30+'Haq — Monthly P&amp;L and cash'!M31+'Haq — Monthly P&amp;L and cash'!M32+'Haq — Monthly P&amp;L and cash'!M34+'Haq — Monthly P&amp;L and cash'!M33</f>
        <v>488401.9251905432</v>
      </c>
      <c r="N35" s="9">
        <f>'Haq — Monthly P&amp;L and cash'!N30+'Haq — Monthly P&amp;L and cash'!N31+'Haq — Monthly P&amp;L and cash'!N32+'Haq — Monthly P&amp;L and cash'!N34+'Haq — Monthly P&amp;L and cash'!N33</f>
        <v>396400.3389691247</v>
      </c>
      <c r="O35" s="9">
        <f>'Haq — Monthly P&amp;L and cash'!O30+'Haq — Monthly P&amp;L and cash'!O31+'Haq — Monthly P&amp;L and cash'!O32+'Haq — Monthly P&amp;L and cash'!O34+'Haq — Monthly P&amp;L and cash'!O33</f>
        <v>405598.51481449336</v>
      </c>
      <c r="P35" s="9">
        <f>'Haq — Monthly P&amp;L and cash'!P30+'Haq — Monthly P&amp;L and cash'!P31+'Haq — Monthly P&amp;L and cash'!P32+'Haq — Monthly P&amp;L and cash'!P34+'Haq — Monthly P&amp;L and cash'!P33</f>
        <v>516197.2503700007</v>
      </c>
      <c r="Q35" s="9">
        <f>'Haq — Monthly P&amp;L and cash'!Q30+'Haq — Monthly P&amp;L and cash'!Q31+'Haq — Monthly P&amp;L and cash'!Q32+'Haq — Monthly P&amp;L and cash'!Q34+'Haq — Monthly P&amp;L and cash'!Q33</f>
        <v>428361.8379255008</v>
      </c>
      <c r="R35" s="9">
        <f>'Haq — Monthly P&amp;L and cash'!R30+'Haq — Monthly P&amp;L and cash'!R31+'Haq — Monthly P&amp;L and cash'!R32+'Haq — Monthly P&amp;L and cash'!R34+'Haq — Monthly P&amp;L and cash'!R33</f>
        <v>442351.1136143259</v>
      </c>
      <c r="S35" s="9">
        <f>'Haq — Monthly P&amp;L and cash'!S30+'Haq — Monthly P&amp;L and cash'!S31+'Haq — Monthly P&amp;L and cash'!S32+'Haq — Monthly P&amp;L and cash'!S34+'Haq — Monthly P&amp;L and cash'!S33</f>
        <v>558472.1139898081</v>
      </c>
      <c r="T35" s="9">
        <f>'Haq — Monthly P&amp;L and cash'!T30+'Haq — Monthly P&amp;L and cash'!T31+'Haq — Monthly P&amp;L and cash'!T32+'Haq — Monthly P&amp;L and cash'!T34+'Haq — Monthly P&amp;L and cash'!T33</f>
        <v>476972.93108827935</v>
      </c>
      <c r="U35" s="9">
        <f>'Haq — Monthly P&amp;L and cash'!U30+'Haq — Monthly P&amp;L and cash'!U31+'Haq — Monthly P&amp;L and cash'!U32+'Haq — Monthly P&amp;L and cash'!U34+'Haq — Monthly P&amp;L and cash'!U33</f>
        <v>498248.8707515212</v>
      </c>
      <c r="V35" s="9">
        <f>'Haq — Monthly P&amp;L and cash'!V30+'Haq — Monthly P&amp;L and cash'!V31+'Haq — Monthly P&amp;L and cash'!V32+'Haq — Monthly P&amp;L and cash'!V34+'Haq — Monthly P&amp;L and cash'!V33</f>
        <v>622737.0346975827</v>
      </c>
      <c r="W35" s="9">
        <f>'Haq — Monthly P&amp;L and cash'!W30+'Haq — Monthly P&amp;L and cash'!W31+'Haq — Monthly P&amp;L and cash'!W32+'Haq — Monthly P&amp;L and cash'!W34+'Haq — Monthly P&amp;L and cash'!W33</f>
        <v>550874.4649022201</v>
      </c>
      <c r="X35" s="9">
        <f>'Haq — Monthly P&amp;L and cash'!X30+'Haq — Monthly P&amp;L and cash'!X31+'Haq — Monthly P&amp;L and cash'!X32+'Haq — Monthly P&amp;L and cash'!X34+'Haq — Monthly P&amp;L and cash'!X33</f>
        <v>683253.3429708865</v>
      </c>
      <c r="Y35" s="9">
        <f>'Haq — Monthly P&amp;L and cash'!Y30+'Haq — Monthly P&amp;L and cash'!Y31+'Haq — Monthly P&amp;L and cash'!Y32+'Haq — Monthly P&amp;L and cash'!Y34+'Haq — Monthly P&amp;L and cash'!Y33</f>
        <v>720498.4277498526</v>
      </c>
    </row>
    <row r="36">
      <c r="A36" t="inlineStr" s="8">
        <is>
          <t xml:space="preserve">Haq Operating profit</t>
        </is>
      </c>
      <c r="B36" s="9">
        <f>'Haq — Monthly P&amp;L and cash'!B25-'Haq — Monthly P&amp;L and cash'!B35</f>
        <v>-225000</v>
      </c>
      <c r="C36" s="9">
        <f>'Haq — Monthly P&amp;L and cash'!C25-'Haq — Monthly P&amp;L and cash'!C35</f>
        <v>-225000</v>
      </c>
      <c r="D36" s="9">
        <f>'Haq — Monthly P&amp;L and cash'!D25-'Haq — Monthly P&amp;L and cash'!D35</f>
        <v>-225000</v>
      </c>
      <c r="E36" s="9">
        <f>'Haq — Monthly P&amp;L and cash'!E25-'Haq — Monthly P&amp;L and cash'!E35</f>
        <v>-241589</v>
      </c>
      <c r="F36" s="9">
        <f>'Haq — Monthly P&amp;L and cash'!F25-'Haq — Monthly P&amp;L and cash'!F35</f>
        <v>-186577.35</v>
      </c>
      <c r="G36" s="9">
        <f>'Haq — Monthly P&amp;L and cash'!G25-'Haq — Monthly P&amp;L and cash'!G35</f>
        <v>-320834.7858333333</v>
      </c>
      <c r="H36" s="9">
        <f>'Haq — Monthly P&amp;L and cash'!H25-'Haq — Monthly P&amp;L and cash'!H35</f>
        <v>-314206.87870833336</v>
      </c>
      <c r="I36" s="9">
        <f>'Haq — Monthly P&amp;L and cash'!I25-'Haq — Monthly P&amp;L and cash'!I35</f>
        <v>-306584.78551458335</v>
      </c>
      <c r="J36" s="9">
        <f>'Haq — Monthly P&amp;L and cash'!J25-'Haq — Monthly P&amp;L and cash'!J35</f>
        <v>-345348.5450084375</v>
      </c>
      <c r="K36" s="9">
        <f>'Haq — Monthly P&amp;L and cash'!K25-'Haq — Monthly P&amp;L and cash'!K35</f>
        <v>-149754.8683847032</v>
      </c>
      <c r="L36" s="9">
        <f>'Haq — Monthly P&amp;L and cash'!L25-'Haq — Monthly P&amp;L and cash'!L35</f>
        <v>-129835.59864240873</v>
      </c>
      <c r="M36" s="9">
        <f>'Haq — Monthly P&amp;L and cash'!M25-'Haq — Monthly P&amp;L and cash'!M35</f>
        <v>-140158.00271481165</v>
      </c>
      <c r="N36" s="9">
        <f>'Haq — Monthly P&amp;L and cash'!N25-'Haq — Monthly P&amp;L and cash'!N35</f>
        <v>-21794.828122033447</v>
      </c>
      <c r="O36" s="9">
        <f>'Haq — Monthly P&amp;L and cash'!O25-'Haq — Monthly P&amp;L and cash'!O35</f>
        <v>-677.1773403384723</v>
      </c>
      <c r="P36" s="9">
        <f>'Haq — Monthly P&amp;L and cash'!P25-'Haq — Monthly P&amp;L and cash'!P35</f>
        <v>-43912.71227472258</v>
      </c>
      <c r="Q36" s="9">
        <f>'Haq — Monthly P&amp;L and cash'!Q25-'Haq — Monthly P&amp;L and cash'!Q35</f>
        <v>84015.38088406896</v>
      </c>
      <c r="R36" s="9">
        <f>'Haq — Monthly P&amp;L and cash'!R25-'Haq — Monthly P&amp;L and cash'!R35</f>
        <v>116132.68801667949</v>
      </c>
      <c r="S36" s="9">
        <f>'Haq — Monthly P&amp;L and cash'!S25-'Haq — Monthly P&amp;L and cash'!S35</f>
        <v>141784.25788584794</v>
      </c>
      <c r="T36" s="9">
        <f>'Haq — Monthly P&amp;L and cash'!T25-'Haq — Monthly P&amp;L and cash'!T35</f>
        <v>284259.3965687251</v>
      </c>
      <c r="U36" s="9">
        <f>'Haq — Monthly P&amp;L and cash'!U25-'Haq — Monthly P&amp;L and cash'!U35</f>
        <v>333105.8060540339</v>
      </c>
      <c r="V36" s="9">
        <f>'Haq — Monthly P&amp;L and cash'!V25-'Haq — Monthly P&amp;L and cash'!V35</f>
        <v>321758.3436288057</v>
      </c>
      <c r="W36" s="9">
        <f>'Haq — Monthly P&amp;L and cash'!W25-'Haq — Monthly P&amp;L and cash'!W35</f>
        <v>486357.72017312644</v>
      </c>
      <c r="X36" s="9">
        <f>'Haq — Monthly P&amp;L and cash'!X25-'Haq — Monthly P&amp;L and cash'!X35</f>
        <v>493126.1698657619</v>
      </c>
      <c r="Y36" s="9">
        <f>'Haq — Monthly P&amp;L and cash'!Y25-'Haq — Monthly P&amp;L and cash'!Y35</f>
        <v>667275.5120122929</v>
      </c>
    </row>
    <row r="37">
      <c r="A37" t="inlineStr" s="8">
        <is>
          <t xml:space="preserve">Haq Net burn</t>
        </is>
      </c>
      <c r="B37" s="9">
        <f>-'Haq — Monthly P&amp;L and cash'!B36</f>
        <v>225000</v>
      </c>
      <c r="C37" s="9">
        <f>-'Haq — Monthly P&amp;L and cash'!C36</f>
        <v>225000</v>
      </c>
      <c r="D37" s="9">
        <f>-'Haq — Monthly P&amp;L and cash'!D36</f>
        <v>225000</v>
      </c>
      <c r="E37" s="9">
        <f>-'Haq — Monthly P&amp;L and cash'!E36</f>
        <v>241589</v>
      </c>
      <c r="F37" s="9">
        <f>-'Haq — Monthly P&amp;L and cash'!F36</f>
        <v>186577.35</v>
      </c>
      <c r="G37" s="9">
        <f>-'Haq — Monthly P&amp;L and cash'!G36</f>
        <v>320834.7858333333</v>
      </c>
      <c r="H37" s="9">
        <f>-'Haq — Monthly P&amp;L and cash'!H36</f>
        <v>314206.87870833336</v>
      </c>
      <c r="I37" s="9">
        <f>-'Haq — Monthly P&amp;L and cash'!I36</f>
        <v>306584.78551458335</v>
      </c>
      <c r="J37" s="9">
        <f>-'Haq — Monthly P&amp;L and cash'!J36</f>
        <v>345348.5450084375</v>
      </c>
      <c r="K37" s="9">
        <f>-'Haq — Monthly P&amp;L and cash'!K36</f>
        <v>149754.8683847032</v>
      </c>
      <c r="L37" s="9">
        <f>-'Haq — Monthly P&amp;L and cash'!L36</f>
        <v>129835.59864240873</v>
      </c>
      <c r="M37" s="9">
        <f>-'Haq — Monthly P&amp;L and cash'!M36</f>
        <v>140158.00271481165</v>
      </c>
      <c r="N37" s="9">
        <f>-'Haq — Monthly P&amp;L and cash'!N36</f>
        <v>21794.828122033447</v>
      </c>
      <c r="O37" s="9">
        <f>-'Haq — Monthly P&amp;L and cash'!O36</f>
        <v>677.1773403384723</v>
      </c>
      <c r="P37" s="9">
        <f>-'Haq — Monthly P&amp;L and cash'!P36</f>
        <v>43912.71227472258</v>
      </c>
      <c r="Q37" s="9">
        <f>-'Haq — Monthly P&amp;L and cash'!Q36</f>
        <v>-84015.38088406896</v>
      </c>
      <c r="R37" s="9">
        <f>-'Haq — Monthly P&amp;L and cash'!R36</f>
        <v>-116132.68801667949</v>
      </c>
      <c r="S37" s="9">
        <f>-'Haq — Monthly P&amp;L and cash'!S36</f>
        <v>-141784.25788584794</v>
      </c>
      <c r="T37" s="9">
        <f>-'Haq — Monthly P&amp;L and cash'!T36</f>
        <v>-284259.3965687251</v>
      </c>
      <c r="U37" s="9">
        <f>-'Haq — Monthly P&amp;L and cash'!U36</f>
        <v>-333105.8060540339</v>
      </c>
      <c r="V37" s="9">
        <f>-'Haq — Monthly P&amp;L and cash'!V36</f>
        <v>-321758.3436288057</v>
      </c>
      <c r="W37" s="9">
        <f>-'Haq — Monthly P&amp;L and cash'!W36</f>
        <v>-486357.72017312644</v>
      </c>
      <c r="X37" s="9">
        <f>-'Haq — Monthly P&amp;L and cash'!X36</f>
        <v>-493126.1698657619</v>
      </c>
      <c r="Y37" s="9">
        <f>-'Haq — Monthly P&amp;L and cash'!Y36</f>
        <v>-667275.5120122929</v>
      </c>
    </row>
    <row r="38">
      <c r="A38" t="inlineStr" s="8">
        <is>
          <t xml:space="preserve">Haq Cash receipts</t>
        </is>
      </c>
      <c r="B38" s="9">
        <f>'Haq — Monthly P&amp;L and cash'!B10+'Haq — Monthly P&amp;L and cash'!B15+'Haq — Monthly P&amp;L and cash'!B20</f>
        <v>0</v>
      </c>
      <c r="C38" s="9">
        <f>'Haq — Monthly P&amp;L and cash'!C10+'Haq — Monthly P&amp;L and cash'!C15+'Haq — Monthly P&amp;L and cash'!C20</f>
        <v>0</v>
      </c>
      <c r="D38" s="9">
        <f>'Haq — Monthly P&amp;L and cash'!D10+'Haq — Monthly P&amp;L and cash'!D15+'Haq — Monthly P&amp;L and cash'!D20</f>
        <v>0</v>
      </c>
      <c r="E38" s="9">
        <f>'Haq — Monthly P&amp;L and cash'!E10+'Haq — Monthly P&amp;L and cash'!E15+'Haq — Monthly P&amp;L and cash'!E20</f>
        <v>74950</v>
      </c>
      <c r="F38" s="9">
        <f>'Haq — Monthly P&amp;L and cash'!F10+'Haq — Monthly P&amp;L and cash'!F15+'Haq — Monthly P&amp;L and cash'!F20</f>
        <v>86192.49999999999</v>
      </c>
      <c r="G38" s="9">
        <f>'Haq — Monthly P&amp;L and cash'!G10+'Haq — Monthly P&amp;L and cash'!G15+'Haq — Monthly P&amp;L and cash'!G20</f>
        <v>599121.375</v>
      </c>
      <c r="H38" s="9">
        <f>'Haq — Monthly P&amp;L and cash'!H10+'Haq — Monthly P&amp;L and cash'!H15+'Haq — Monthly P&amp;L and cash'!H20</f>
        <v>113989.58124999996</v>
      </c>
      <c r="I38" s="9">
        <f>'Haq — Monthly P&amp;L and cash'!I10+'Haq — Monthly P&amp;L and cash'!I15+'Haq — Monthly P&amp;L and cash'!I20</f>
        <v>131088.01843749994</v>
      </c>
      <c r="J38" s="9">
        <f>'Haq — Monthly P&amp;L and cash'!J10+'Haq — Monthly P&amp;L and cash'!J15+'Haq — Monthly P&amp;L and cash'!J20</f>
        <v>1150751.2212031248</v>
      </c>
      <c r="K38" s="9">
        <f>'Haq — Monthly P&amp;L and cash'!K10+'Haq — Monthly P&amp;L and cash'!K15+'Haq — Monthly P&amp;L and cash'!K20</f>
        <v>173363.90438359365</v>
      </c>
      <c r="L38" s="9">
        <f>'Haq — Monthly P&amp;L and cash'!L10+'Haq — Monthly P&amp;L and cash'!L15+'Haq — Monthly P&amp;L and cash'!L20</f>
        <v>199368.4900411327</v>
      </c>
      <c r="M38" s="9">
        <f>'Haq — Monthly P&amp;L and cash'!M10+'Haq — Monthly P&amp;L and cash'!M15+'Haq — Monthly P&amp;L and cash'!M20</f>
        <v>1229273.7635473027</v>
      </c>
      <c r="N38" s="9">
        <f>'Haq — Monthly P&amp;L and cash'!N10+'Haq — Monthly P&amp;L and cash'!N15+'Haq — Monthly P&amp;L and cash'!N20</f>
        <v>263664.82807939796</v>
      </c>
      <c r="O38" s="9">
        <f>'Haq — Monthly P&amp;L and cash'!O10+'Haq — Monthly P&amp;L and cash'!O15+'Haq — Monthly P&amp;L and cash'!O20</f>
        <v>303214.5522913076</v>
      </c>
      <c r="P38" s="9">
        <f>'Haq — Monthly P&amp;L and cash'!P10+'Haq — Monthly P&amp;L and cash'!P15+'Haq — Monthly P&amp;L and cash'!P20</f>
        <v>848696.7351350037</v>
      </c>
      <c r="Q38" s="9">
        <f>'Haq — Monthly P&amp;L and cash'!Q10+'Haq — Monthly P&amp;L and cash'!Q15+'Haq — Monthly P&amp;L and cash'!Q20</f>
        <v>401001.24540525425</v>
      </c>
      <c r="R38" s="9">
        <f>'Haq — Monthly P&amp;L and cash'!R10+'Haq — Monthly P&amp;L and cash'!R15+'Haq — Monthly P&amp;L and cash'!R20</f>
        <v>461151.43221604236</v>
      </c>
      <c r="S38" s="9">
        <f>'Haq — Monthly P&amp;L and cash'!S10+'Haq — Monthly P&amp;L and cash'!S15+'Haq — Monthly P&amp;L and cash'!S20</f>
        <v>2280324.1470484487</v>
      </c>
      <c r="T38" s="9">
        <f>'Haq — Monthly P&amp;L and cash'!T10+'Haq — Monthly P&amp;L and cash'!T15+'Haq — Monthly P&amp;L and cash'!T20</f>
        <v>609872.7691057159</v>
      </c>
      <c r="U38" s="9">
        <f>'Haq — Monthly P&amp;L and cash'!U10+'Haq — Monthly P&amp;L and cash'!U15+'Haq — Monthly P&amp;L and cash'!U20</f>
        <v>701353.6844715733</v>
      </c>
      <c r="V38" s="9">
        <f>'Haq — Monthly P&amp;L and cash'!V10+'Haq — Monthly P&amp;L and cash'!V15+'Haq — Monthly P&amp;L and cash'!V20</f>
        <v>2306556.737142309</v>
      </c>
      <c r="W38" s="9">
        <f>'Haq — Monthly P&amp;L and cash'!W10+'Haq — Monthly P&amp;L and cash'!W15+'Haq — Monthly P&amp;L and cash'!W20</f>
        <v>927540.2477136555</v>
      </c>
      <c r="X38" s="9">
        <f>'Haq — Monthly P&amp;L and cash'!X10+'Haq — Monthly P&amp;L and cash'!X15+'Haq — Monthly P&amp;L and cash'!X20</f>
        <v>1566671.2848707037</v>
      </c>
      <c r="Y38" s="9">
        <f>'Haq — Monthly P&amp;L and cash'!Y10+'Haq — Monthly P&amp;L and cash'!Y15+'Haq — Monthly P&amp;L and cash'!Y20</f>
        <v>3476671.9776013093</v>
      </c>
    </row>
    <row r="39">
      <c r="A39" t="inlineStr" s="8">
        <is>
          <t xml:space="preserve">Haq Cash collection fees</t>
        </is>
      </c>
      <c r="B39" s="9">
        <f>'Haq — Monthly P&amp;L and cash'!B38*'Model inputs'!AJ60</f>
        <v>0</v>
      </c>
      <c r="C39" s="9">
        <f>'Haq — Monthly P&amp;L and cash'!C38*'Model inputs'!AJ60</f>
        <v>0</v>
      </c>
      <c r="D39" s="9">
        <f>'Haq — Monthly P&amp;L and cash'!D38*'Model inputs'!AJ60</f>
        <v>0</v>
      </c>
      <c r="E39" s="9">
        <f>'Haq — Monthly P&amp;L and cash'!E38*'Model inputs'!AJ60</f>
        <v>1499</v>
      </c>
      <c r="F39" s="9">
        <f>'Haq — Monthly P&amp;L and cash'!F38*'Model inputs'!AJ60</f>
        <v>1723.8499999999997</v>
      </c>
      <c r="G39" s="9">
        <f>'Haq — Monthly P&amp;L and cash'!G38*'Model inputs'!AJ60</f>
        <v>11982.4275</v>
      </c>
      <c r="H39" s="9">
        <f>'Haq — Monthly P&amp;L and cash'!H38*'Model inputs'!AJ60</f>
        <v>2279.7916249999994</v>
      </c>
      <c r="I39" s="9">
        <f>'Haq — Monthly P&amp;L and cash'!I38*'Model inputs'!AJ60</f>
        <v>2621.7603687499986</v>
      </c>
      <c r="J39" s="9">
        <f>'Haq — Monthly P&amp;L and cash'!J38*'Model inputs'!AJ60</f>
        <v>23015.024424062496</v>
      </c>
      <c r="K39" s="9">
        <f>'Haq — Monthly P&amp;L and cash'!K38*'Model inputs'!AJ60</f>
        <v>3467.278087671873</v>
      </c>
      <c r="L39" s="9">
        <f>'Haq — Monthly P&amp;L and cash'!L38*'Model inputs'!AJ60</f>
        <v>3987.369800822654</v>
      </c>
      <c r="M39" s="9">
        <f>'Haq — Monthly P&amp;L and cash'!M38*'Model inputs'!AJ60</f>
        <v>24585.475270946055</v>
      </c>
      <c r="N39" s="9">
        <f>'Haq — Monthly P&amp;L and cash'!N38*'Model inputs'!AJ60</f>
        <v>5273.296561587959</v>
      </c>
      <c r="O39" s="9">
        <f>'Haq — Monthly P&amp;L and cash'!O38*'Model inputs'!AJ60</f>
        <v>6064.291045826152</v>
      </c>
      <c r="P39" s="9">
        <f>'Haq — Monthly P&amp;L and cash'!P38*'Model inputs'!AJ60</f>
        <v>16973.934702700073</v>
      </c>
      <c r="Q39" s="9">
        <f>'Haq — Monthly P&amp;L and cash'!Q38*'Model inputs'!AJ60</f>
        <v>8020.024908105085</v>
      </c>
      <c r="R39" s="9">
        <f>'Haq — Monthly P&amp;L and cash'!R38*'Model inputs'!AJ60</f>
        <v>9223.028644320848</v>
      </c>
      <c r="S39" s="9">
        <f>'Haq — Monthly P&amp;L and cash'!S38*'Model inputs'!AJ60</f>
        <v>45606.48294096898</v>
      </c>
      <c r="T39" s="9">
        <f>'Haq — Monthly P&amp;L and cash'!T38*'Model inputs'!AJ60</f>
        <v>12197.455382114318</v>
      </c>
      <c r="U39" s="9">
        <f>'Haq — Monthly P&amp;L and cash'!U38*'Model inputs'!AJ60</f>
        <v>14027.073689431467</v>
      </c>
      <c r="V39" s="9">
        <f>'Haq — Monthly P&amp;L and cash'!V38*'Model inputs'!AJ60</f>
        <v>46131.13474284618</v>
      </c>
      <c r="W39" s="9">
        <f>'Haq — Monthly P&amp;L and cash'!W38*'Model inputs'!AJ60</f>
        <v>18550.80495427311</v>
      </c>
      <c r="X39" s="9">
        <f>'Haq — Monthly P&amp;L and cash'!X38*'Model inputs'!AJ60</f>
        <v>31333.425697414074</v>
      </c>
      <c r="Y39" s="9">
        <f>'Haq — Monthly P&amp;L and cash'!Y38*'Model inputs'!AJ60</f>
        <v>69533.43955202619</v>
      </c>
    </row>
    <row r="40">
      <c r="A40" t="inlineStr" s="8">
        <is>
          <t xml:space="preserve">Haq Net cash flow</t>
        </is>
      </c>
      <c r="B40" s="9">
        <f>'Haq — Monthly P&amp;L and cash'!B38-'Haq — Monthly P&amp;L and cash'!B39-'Haq — Monthly P&amp;L and cash'!B23-'Haq — Monthly P&amp;L and cash'!B35</f>
        <v>-225000</v>
      </c>
      <c r="C40" s="9">
        <f>'Haq — Monthly P&amp;L and cash'!C38-'Haq — Monthly P&amp;L and cash'!C39-'Haq — Monthly P&amp;L and cash'!C23-'Haq — Monthly P&amp;L and cash'!C35</f>
        <v>-225000</v>
      </c>
      <c r="D40" s="9">
        <f>'Haq — Monthly P&amp;L and cash'!D38-'Haq — Monthly P&amp;L and cash'!D39-'Haq — Monthly P&amp;L and cash'!D23-'Haq — Monthly P&amp;L and cash'!D35</f>
        <v>-225000</v>
      </c>
      <c r="E40" s="9">
        <f>'Haq — Monthly P&amp;L and cash'!E38-'Haq — Monthly P&amp;L and cash'!E39-'Haq — Monthly P&amp;L and cash'!E23-'Haq — Monthly P&amp;L and cash'!E35</f>
        <v>-241589</v>
      </c>
      <c r="F40" s="9">
        <f>'Haq — Monthly P&amp;L and cash'!F38-'Haq — Monthly P&amp;L and cash'!F39-'Haq — Monthly P&amp;L and cash'!F23-'Haq — Monthly P&amp;L and cash'!F35</f>
        <v>-186577.35</v>
      </c>
      <c r="G40" s="9">
        <f>'Haq — Monthly P&amp;L and cash'!G38-'Haq — Monthly P&amp;L and cash'!G39-'Haq — Monthly P&amp;L and cash'!G23-'Haq — Monthly P&amp;L and cash'!G35</f>
        <v>128331.88083333336</v>
      </c>
      <c r="H40" s="9">
        <f>'Haq — Monthly P&amp;L and cash'!H38-'Haq — Monthly P&amp;L and cash'!H39-'Haq — Monthly P&amp;L and cash'!H23-'Haq — Monthly P&amp;L and cash'!H35</f>
        <v>-355040.2120416667</v>
      </c>
      <c r="I40" s="9">
        <f>'Haq — Monthly P&amp;L and cash'!I38-'Haq — Monthly P&amp;L and cash'!I39-'Haq — Monthly P&amp;L and cash'!I23-'Haq — Monthly P&amp;L and cash'!I35</f>
        <v>-347418.11884791666</v>
      </c>
      <c r="J40" s="9">
        <f>'Haq — Monthly P&amp;L and cash'!J38-'Haq — Monthly P&amp;L and cash'!J39-'Haq — Monthly P&amp;L and cash'!J23-'Haq — Monthly P&amp;L and cash'!J35</f>
        <v>512151.4549915623</v>
      </c>
      <c r="K40" s="9">
        <f>'Haq — Monthly P&amp;L and cash'!K38-'Haq — Monthly P&amp;L and cash'!K39-'Haq — Monthly P&amp;L and cash'!K23-'Haq — Monthly P&amp;L and cash'!K35</f>
        <v>-272254.8683847032</v>
      </c>
      <c r="L40" s="9">
        <f>'Haq — Monthly P&amp;L and cash'!L38-'Haq — Monthly P&amp;L and cash'!L39-'Haq — Monthly P&amp;L and cash'!L23-'Haq — Monthly P&amp;L and cash'!L35</f>
        <v>-252335.5986424087</v>
      </c>
      <c r="M40" s="9">
        <f>'Haq — Monthly P&amp;L and cash'!M38-'Haq — Monthly P&amp;L and cash'!M39-'Haq — Monthly P&amp;L and cash'!M23-'Haq — Monthly P&amp;L and cash'!M35</f>
        <v>635675.3306185218</v>
      </c>
      <c r="N40" s="9">
        <f>'Haq — Monthly P&amp;L and cash'!N38-'Haq — Monthly P&amp;L and cash'!N39-'Haq — Monthly P&amp;L and cash'!N23-'Haq — Monthly P&amp;L and cash'!N35</f>
        <v>-225961.49478870007</v>
      </c>
      <c r="O40" s="9">
        <f>'Haq — Monthly P&amp;L and cash'!O38-'Haq — Monthly P&amp;L and cash'!O39-'Haq — Monthly P&amp;L and cash'!O23-'Haq — Monthly P&amp;L and cash'!O35</f>
        <v>-204843.8440070051</v>
      </c>
      <c r="P40" s="9">
        <f>'Haq — Monthly P&amp;L and cash'!P38-'Haq — Monthly P&amp;L and cash'!P39-'Haq — Monthly P&amp;L and cash'!P23-'Haq — Monthly P&amp;L and cash'!P35</f>
        <v>201087.28772527736</v>
      </c>
      <c r="Q40" s="9">
        <f>'Haq — Monthly P&amp;L and cash'!Q38-'Haq — Monthly P&amp;L and cash'!Q39-'Haq — Monthly P&amp;L and cash'!Q23-'Haq — Monthly P&amp;L and cash'!Q35</f>
        <v>-160984.61911593098</v>
      </c>
      <c r="R40" s="9">
        <f>'Haq — Monthly P&amp;L and cash'!R38-'Haq — Monthly P&amp;L and cash'!R39-'Haq — Monthly P&amp;L and cash'!R23-'Haq — Monthly P&amp;L and cash'!R35</f>
        <v>-128867.31198332051</v>
      </c>
      <c r="S40" s="9">
        <f>'Haq — Monthly P&amp;L and cash'!S38-'Haq — Monthly P&amp;L and cash'!S39-'Haq — Monthly P&amp;L and cash'!S23-'Haq — Monthly P&amp;L and cash'!S35</f>
        <v>1509700.9245525147</v>
      </c>
      <c r="T40" s="9">
        <f>'Haq — Monthly P&amp;L and cash'!T38-'Haq — Monthly P&amp;L and cash'!T39-'Haq — Monthly P&amp;L and cash'!T23-'Haq — Monthly P&amp;L and cash'!T35</f>
        <v>-62823.936764608196</v>
      </c>
      <c r="U40" s="9">
        <f>'Haq — Monthly P&amp;L and cash'!U38-'Haq — Monthly P&amp;L and cash'!U39-'Haq — Monthly P&amp;L and cash'!U23-'Haq — Monthly P&amp;L and cash'!U35</f>
        <v>-13977.527279299335</v>
      </c>
      <c r="V40" s="9">
        <f>'Haq — Monthly P&amp;L and cash'!V38-'Haq — Monthly P&amp;L and cash'!V39-'Haq — Monthly P&amp;L and cash'!V23-'Haq — Monthly P&amp;L and cash'!V35</f>
        <v>1403841.6769621389</v>
      </c>
      <c r="W40" s="9">
        <f>'Haq — Monthly P&amp;L and cash'!W38-'Haq — Monthly P&amp;L and cash'!W39-'Haq — Monthly P&amp;L and cash'!W23-'Haq — Monthly P&amp;L and cash'!W35</f>
        <v>98441.05350645969</v>
      </c>
      <c r="X40" s="9">
        <f>'Haq — Monthly P&amp;L and cash'!X38-'Haq — Monthly P&amp;L and cash'!X39-'Haq — Monthly P&amp;L and cash'!X23-'Haq — Monthly P&amp;L and cash'!X35</f>
        <v>554376.1698657621</v>
      </c>
      <c r="Y40" s="9">
        <f>'Haq — Monthly P&amp;L and cash'!Y38-'Haq — Monthly P&amp;L and cash'!Y39-'Haq — Monthly P&amp;L and cash'!Y23-'Haq — Monthly P&amp;L and cash'!Y35</f>
        <v>2341442.1786789596</v>
      </c>
    </row>
    <row r="41">
      <c r="A41" t="inlineStr" s="8">
        <is>
          <t xml:space="preserve">Haq Cash burn</t>
        </is>
      </c>
      <c r="B41" s="9">
        <f>-'Haq — Monthly P&amp;L and cash'!B40</f>
        <v>225000</v>
      </c>
      <c r="C41" s="9">
        <f>-'Haq — Monthly P&amp;L and cash'!C40</f>
        <v>225000</v>
      </c>
      <c r="D41" s="9">
        <f>-'Haq — Monthly P&amp;L and cash'!D40</f>
        <v>225000</v>
      </c>
      <c r="E41" s="9">
        <f>-'Haq — Monthly P&amp;L and cash'!E40</f>
        <v>241589</v>
      </c>
      <c r="F41" s="9">
        <f>-'Haq — Monthly P&amp;L and cash'!F40</f>
        <v>186577.35</v>
      </c>
      <c r="G41" s="9">
        <f>-'Haq — Monthly P&amp;L and cash'!G40</f>
        <v>-128331.88083333336</v>
      </c>
      <c r="H41" s="9">
        <f>-'Haq — Monthly P&amp;L and cash'!H40</f>
        <v>355040.2120416667</v>
      </c>
      <c r="I41" s="9">
        <f>-'Haq — Monthly P&amp;L and cash'!I40</f>
        <v>347418.11884791666</v>
      </c>
      <c r="J41" s="9">
        <f>-'Haq — Monthly P&amp;L and cash'!J40</f>
        <v>-512151.4549915623</v>
      </c>
      <c r="K41" s="9">
        <f>-'Haq — Monthly P&amp;L and cash'!K40</f>
        <v>272254.8683847032</v>
      </c>
      <c r="L41" s="9">
        <f>-'Haq — Monthly P&amp;L and cash'!L40</f>
        <v>252335.5986424087</v>
      </c>
      <c r="M41" s="9">
        <f>-'Haq — Monthly P&amp;L and cash'!M40</f>
        <v>-635675.3306185218</v>
      </c>
      <c r="N41" s="9">
        <f>-'Haq — Monthly P&amp;L and cash'!N40</f>
        <v>225961.49478870007</v>
      </c>
      <c r="O41" s="9">
        <f>-'Haq — Monthly P&amp;L and cash'!O40</f>
        <v>204843.8440070051</v>
      </c>
      <c r="P41" s="9">
        <f>-'Haq — Monthly P&amp;L and cash'!P40</f>
        <v>-201087.28772527736</v>
      </c>
      <c r="Q41" s="9">
        <f>-'Haq — Monthly P&amp;L and cash'!Q40</f>
        <v>160984.61911593098</v>
      </c>
      <c r="R41" s="9">
        <f>-'Haq — Monthly P&amp;L and cash'!R40</f>
        <v>128867.31198332051</v>
      </c>
      <c r="S41" s="9">
        <f>-'Haq — Monthly P&amp;L and cash'!S40</f>
        <v>-1509700.9245525147</v>
      </c>
      <c r="T41" s="9">
        <f>-'Haq — Monthly P&amp;L and cash'!T40</f>
        <v>62823.936764608196</v>
      </c>
      <c r="U41" s="9">
        <f>-'Haq — Monthly P&amp;L and cash'!U40</f>
        <v>13977.527279299335</v>
      </c>
      <c r="V41" s="9">
        <f>-'Haq — Monthly P&amp;L and cash'!V40</f>
        <v>-1403841.6769621389</v>
      </c>
      <c r="W41" s="9">
        <f>-'Haq — Monthly P&amp;L and cash'!W40</f>
        <v>-98441.05350645969</v>
      </c>
      <c r="X41" s="9">
        <f>-'Haq — Monthly P&amp;L and cash'!X40</f>
        <v>-554376.1698657621</v>
      </c>
      <c r="Y41" s="9">
        <f>-'Haq — Monthly P&amp;L and cash'!Y40</f>
        <v>-2341442.1786789596</v>
      </c>
    </row>
    <row r="42">
      <c r="A42" t="inlineStr" s="8">
        <is>
          <t xml:space="preserve">Haq Ending cash</t>
        </is>
      </c>
      <c r="B42" s="9">
        <f>IF(IF(IF(IF(ISERROR('Haq — Monthly P&amp;L and cash'!B5=1),'Haq — Monthly P&amp;L and cash'!B5=1,IF('Haq — Monthly P&amp;L and cash'!B5="","",'Haq — Monthly P&amp;L and cash'!B5=1))="",FALSE,IF(ISERROR('Haq — Monthly P&amp;L and cash'!B5=1),'Haq — Monthly P&amp;L and cash'!B5=1,IF('Haq — Monthly P&amp;L and cash'!B5="","",'Haq — Monthly P&amp;L and cash'!B5=1))),IF('Model inputs'!AJ86="","",'Model inputs'!AJ86),IF('Model inputs'!C29="","",'Model inputs'!C29))="",0,IF(IF(IF(ISERROR('Haq — Monthly P&amp;L and cash'!B5=1),'Haq — Monthly P&amp;L and cash'!B5=1,IF('Haq — Monthly P&amp;L and cash'!B5="","",'Haq — Monthly P&amp;L and cash'!B5=1))="",FALSE,IF(ISERROR('Haq — Monthly P&amp;L and cash'!B5=1),'Haq — Monthly P&amp;L and cash'!B5=1,IF('Haq — Monthly P&amp;L and cash'!B5="","",'Haq — Monthly P&amp;L and cash'!B5=1))),IF('Model inputs'!AJ86="","",'Model inputs'!AJ86),IF('Model inputs'!C29="","",'Model inputs'!C29)))+'Haq — Monthly P&amp;L and cash'!B40</f>
        <v>2275000</v>
      </c>
      <c r="C42" s="9">
        <f>IF(IF(IF(IF(ISERROR('Haq — Monthly P&amp;L and cash'!C5=1),'Haq — Monthly P&amp;L and cash'!C5=1,IF('Haq — Monthly P&amp;L and cash'!C5="","",'Haq — Monthly P&amp;L and cash'!C5=1))="",FALSE,IF(ISERROR('Haq — Monthly P&amp;L and cash'!C5=1),'Haq — Monthly P&amp;L and cash'!C5=1,IF('Haq — Monthly P&amp;L and cash'!C5="","",'Haq — Monthly P&amp;L and cash'!C5=1))),IF('Model inputs'!AJ86="","",'Model inputs'!AJ86),IF('Haq — Monthly P&amp;L and cash'!B42="","",'Haq — Monthly P&amp;L and cash'!B42))="",0,IF(IF(IF(ISERROR('Haq — Monthly P&amp;L and cash'!C5=1),'Haq — Monthly P&amp;L and cash'!C5=1,IF('Haq — Monthly P&amp;L and cash'!C5="","",'Haq — Monthly P&amp;L and cash'!C5=1))="",FALSE,IF(ISERROR('Haq — Monthly P&amp;L and cash'!C5=1),'Haq — Monthly P&amp;L and cash'!C5=1,IF('Haq — Monthly P&amp;L and cash'!C5="","",'Haq — Monthly P&amp;L and cash'!C5=1))),IF('Model inputs'!AJ86="","",'Model inputs'!AJ86),IF('Haq — Monthly P&amp;L and cash'!B42="","",'Haq — Monthly P&amp;L and cash'!B42)))+'Haq — Monthly P&amp;L and cash'!C40</f>
        <v>2050000</v>
      </c>
      <c r="D42" s="9">
        <f>IF(IF(IF(IF(ISERROR('Haq — Monthly P&amp;L and cash'!D5=1),'Haq — Monthly P&amp;L and cash'!D5=1,IF('Haq — Monthly P&amp;L and cash'!D5="","",'Haq — Monthly P&amp;L and cash'!D5=1))="",FALSE,IF(ISERROR('Haq — Monthly P&amp;L and cash'!D5=1),'Haq — Monthly P&amp;L and cash'!D5=1,IF('Haq — Monthly P&amp;L and cash'!D5="","",'Haq — Monthly P&amp;L and cash'!D5=1))),IF('Model inputs'!AJ86="","",'Model inputs'!AJ86),IF('Haq — Monthly P&amp;L and cash'!C42="","",'Haq — Monthly P&amp;L and cash'!C42))="",0,IF(IF(IF(ISERROR('Haq — Monthly P&amp;L and cash'!D5=1),'Haq — Monthly P&amp;L and cash'!D5=1,IF('Haq — Monthly P&amp;L and cash'!D5="","",'Haq — Monthly P&amp;L and cash'!D5=1))="",FALSE,IF(ISERROR('Haq — Monthly P&amp;L and cash'!D5=1),'Haq — Monthly P&amp;L and cash'!D5=1,IF('Haq — Monthly P&amp;L and cash'!D5="","",'Haq — Monthly P&amp;L and cash'!D5=1))),IF('Model inputs'!AJ86="","",'Model inputs'!AJ86),IF('Haq — Monthly P&amp;L and cash'!C42="","",'Haq — Monthly P&amp;L and cash'!C42)))+'Haq — Monthly P&amp;L and cash'!D40</f>
        <v>1825000</v>
      </c>
      <c r="E42" s="9">
        <f>IF(IF(IF(IF(ISERROR('Haq — Monthly P&amp;L and cash'!E5=1),'Haq — Monthly P&amp;L and cash'!E5=1,IF('Haq — Monthly P&amp;L and cash'!E5="","",'Haq — Monthly P&amp;L and cash'!E5=1))="",FALSE,IF(ISERROR('Haq — Monthly P&amp;L and cash'!E5=1),'Haq — Monthly P&amp;L and cash'!E5=1,IF('Haq — Monthly P&amp;L and cash'!E5="","",'Haq — Monthly P&amp;L and cash'!E5=1))),IF('Model inputs'!AJ86="","",'Model inputs'!AJ86),IF('Haq — Monthly P&amp;L and cash'!D42="","",'Haq — Monthly P&amp;L and cash'!D42))="",0,IF(IF(IF(ISERROR('Haq — Monthly P&amp;L and cash'!E5=1),'Haq — Monthly P&amp;L and cash'!E5=1,IF('Haq — Monthly P&amp;L and cash'!E5="","",'Haq — Monthly P&amp;L and cash'!E5=1))="",FALSE,IF(ISERROR('Haq — Monthly P&amp;L and cash'!E5=1),'Haq — Monthly P&amp;L and cash'!E5=1,IF('Haq — Monthly P&amp;L and cash'!E5="","",'Haq — Monthly P&amp;L and cash'!E5=1))),IF('Model inputs'!AJ86="","",'Model inputs'!AJ86),IF('Haq — Monthly P&amp;L and cash'!D42="","",'Haq — Monthly P&amp;L and cash'!D42)))+'Haq — Monthly P&amp;L and cash'!E40</f>
        <v>1583411</v>
      </c>
      <c r="F42" s="9">
        <f>IF(IF(IF(IF(ISERROR('Haq — Monthly P&amp;L and cash'!F5=1),'Haq — Monthly P&amp;L and cash'!F5=1,IF('Haq — Monthly P&amp;L and cash'!F5="","",'Haq — Monthly P&amp;L and cash'!F5=1))="",FALSE,IF(ISERROR('Haq — Monthly P&amp;L and cash'!F5=1),'Haq — Monthly P&amp;L and cash'!F5=1,IF('Haq — Monthly P&amp;L and cash'!F5="","",'Haq — Monthly P&amp;L and cash'!F5=1))),IF('Model inputs'!AJ86="","",'Model inputs'!AJ86),IF('Haq — Monthly P&amp;L and cash'!E42="","",'Haq — Monthly P&amp;L and cash'!E42))="",0,IF(IF(IF(ISERROR('Haq — Monthly P&amp;L and cash'!F5=1),'Haq — Monthly P&amp;L and cash'!F5=1,IF('Haq — Monthly P&amp;L and cash'!F5="","",'Haq — Monthly P&amp;L and cash'!F5=1))="",FALSE,IF(ISERROR('Haq — Monthly P&amp;L and cash'!F5=1),'Haq — Monthly P&amp;L and cash'!F5=1,IF('Haq — Monthly P&amp;L and cash'!F5="","",'Haq — Monthly P&amp;L and cash'!F5=1))),IF('Model inputs'!AJ86="","",'Model inputs'!AJ86),IF('Haq — Monthly P&amp;L and cash'!E42="","",'Haq — Monthly P&amp;L and cash'!E42)))+'Haq — Monthly P&amp;L and cash'!F40</f>
        <v>1396833.65</v>
      </c>
      <c r="G42" s="9">
        <f>IF(IF(IF(IF(ISERROR('Haq — Monthly P&amp;L and cash'!G5=1),'Haq — Monthly P&amp;L and cash'!G5=1,IF('Haq — Monthly P&amp;L and cash'!G5="","",'Haq — Monthly P&amp;L and cash'!G5=1))="",FALSE,IF(ISERROR('Haq — Monthly P&amp;L and cash'!G5=1),'Haq — Monthly P&amp;L and cash'!G5=1,IF('Haq — Monthly P&amp;L and cash'!G5="","",'Haq — Monthly P&amp;L and cash'!G5=1))),IF('Model inputs'!AJ86="","",'Model inputs'!AJ86),IF('Haq — Monthly P&amp;L and cash'!F42="","",'Haq — Monthly P&amp;L and cash'!F42))="",0,IF(IF(IF(ISERROR('Haq — Monthly P&amp;L and cash'!G5=1),'Haq — Monthly P&amp;L and cash'!G5=1,IF('Haq — Monthly P&amp;L and cash'!G5="","",'Haq — Monthly P&amp;L and cash'!G5=1))="",FALSE,IF(ISERROR('Haq — Monthly P&amp;L and cash'!G5=1),'Haq — Monthly P&amp;L and cash'!G5=1,IF('Haq — Monthly P&amp;L and cash'!G5="","",'Haq — Monthly P&amp;L and cash'!G5=1))),IF('Model inputs'!AJ86="","",'Model inputs'!AJ86),IF('Haq — Monthly P&amp;L and cash'!F42="","",'Haq — Monthly P&amp;L and cash'!F42)))+'Haq — Monthly P&amp;L and cash'!G40</f>
        <v>1525165.5308333333</v>
      </c>
      <c r="H42" s="9">
        <f>IF(IF(IF(IF(ISERROR('Haq — Monthly P&amp;L and cash'!H5=1),'Haq — Monthly P&amp;L and cash'!H5=1,IF('Haq — Monthly P&amp;L and cash'!H5="","",'Haq — Monthly P&amp;L and cash'!H5=1))="",FALSE,IF(ISERROR('Haq — Monthly P&amp;L and cash'!H5=1),'Haq — Monthly P&amp;L and cash'!H5=1,IF('Haq — Monthly P&amp;L and cash'!H5="","",'Haq — Monthly P&amp;L and cash'!H5=1))),IF('Model inputs'!AJ86="","",'Model inputs'!AJ86),IF('Haq — Monthly P&amp;L and cash'!G42="","",'Haq — Monthly P&amp;L and cash'!G42))="",0,IF(IF(IF(ISERROR('Haq — Monthly P&amp;L and cash'!H5=1),'Haq — Monthly P&amp;L and cash'!H5=1,IF('Haq — Monthly P&amp;L and cash'!H5="","",'Haq — Monthly P&amp;L and cash'!H5=1))="",FALSE,IF(ISERROR('Haq — Monthly P&amp;L and cash'!H5=1),'Haq — Monthly P&amp;L and cash'!H5=1,IF('Haq — Monthly P&amp;L and cash'!H5="","",'Haq — Monthly P&amp;L and cash'!H5=1))),IF('Model inputs'!AJ86="","",'Model inputs'!AJ86),IF('Haq — Monthly P&amp;L and cash'!G42="","",'Haq — Monthly P&amp;L and cash'!G42)))+'Haq — Monthly P&amp;L and cash'!H40</f>
        <v>1170125.3187916665</v>
      </c>
      <c r="I42" s="9">
        <f>IF(IF(IF(IF(ISERROR('Haq — Monthly P&amp;L and cash'!I5=1),'Haq — Monthly P&amp;L and cash'!I5=1,IF('Haq — Monthly P&amp;L and cash'!I5="","",'Haq — Monthly P&amp;L and cash'!I5=1))="",FALSE,IF(ISERROR('Haq — Monthly P&amp;L and cash'!I5=1),'Haq — Monthly P&amp;L and cash'!I5=1,IF('Haq — Monthly P&amp;L and cash'!I5="","",'Haq — Monthly P&amp;L and cash'!I5=1))),IF('Model inputs'!AJ86="","",'Model inputs'!AJ86),IF('Haq — Monthly P&amp;L and cash'!H42="","",'Haq — Monthly P&amp;L and cash'!H42))="",0,IF(IF(IF(ISERROR('Haq — Monthly P&amp;L and cash'!I5=1),'Haq — Monthly P&amp;L and cash'!I5=1,IF('Haq — Monthly P&amp;L and cash'!I5="","",'Haq — Monthly P&amp;L and cash'!I5=1))="",FALSE,IF(ISERROR('Haq — Monthly P&amp;L and cash'!I5=1),'Haq — Monthly P&amp;L and cash'!I5=1,IF('Haq — Monthly P&amp;L and cash'!I5="","",'Haq — Monthly P&amp;L and cash'!I5=1))),IF('Model inputs'!AJ86="","",'Model inputs'!AJ86),IF('Haq — Monthly P&amp;L and cash'!H42="","",'Haq — Monthly P&amp;L and cash'!H42)))+'Haq — Monthly P&amp;L and cash'!I40</f>
        <v>822707.1999437499</v>
      </c>
      <c r="J42" s="9">
        <f>IF(IF(IF(IF(ISERROR('Haq — Monthly P&amp;L and cash'!J5=1),'Haq — Monthly P&amp;L and cash'!J5=1,IF('Haq — Monthly P&amp;L and cash'!J5="","",'Haq — Monthly P&amp;L and cash'!J5=1))="",FALSE,IF(ISERROR('Haq — Monthly P&amp;L and cash'!J5=1),'Haq — Monthly P&amp;L and cash'!J5=1,IF('Haq — Monthly P&amp;L and cash'!J5="","",'Haq — Monthly P&amp;L and cash'!J5=1))),IF('Model inputs'!AJ86="","",'Model inputs'!AJ86),IF('Haq — Monthly P&amp;L and cash'!I42="","",'Haq — Monthly P&amp;L and cash'!I42))="",0,IF(IF(IF(ISERROR('Haq — Monthly P&amp;L and cash'!J5=1),'Haq — Monthly P&amp;L and cash'!J5=1,IF('Haq — Monthly P&amp;L and cash'!J5="","",'Haq — Monthly P&amp;L and cash'!J5=1))="",FALSE,IF(ISERROR('Haq — Monthly P&amp;L and cash'!J5=1),'Haq — Monthly P&amp;L and cash'!J5=1,IF('Haq — Monthly P&amp;L and cash'!J5="","",'Haq — Monthly P&amp;L and cash'!J5=1))),IF('Model inputs'!AJ86="","",'Model inputs'!AJ86),IF('Haq — Monthly P&amp;L and cash'!I42="","",'Haq — Monthly P&amp;L and cash'!I42)))+'Haq — Monthly P&amp;L and cash'!J40</f>
        <v>1334858.6549353122</v>
      </c>
      <c r="K42" s="9">
        <f>IF(IF(IF(IF(ISERROR('Haq — Monthly P&amp;L and cash'!K5=1),'Haq — Monthly P&amp;L and cash'!K5=1,IF('Haq — Monthly P&amp;L and cash'!K5="","",'Haq — Monthly P&amp;L and cash'!K5=1))="",FALSE,IF(ISERROR('Haq — Monthly P&amp;L and cash'!K5=1),'Haq — Monthly P&amp;L and cash'!K5=1,IF('Haq — Monthly P&amp;L and cash'!K5="","",'Haq — Monthly P&amp;L and cash'!K5=1))),IF('Model inputs'!AJ86="","",'Model inputs'!AJ86),IF('Haq — Monthly P&amp;L and cash'!J42="","",'Haq — Monthly P&amp;L and cash'!J42))="",0,IF(IF(IF(ISERROR('Haq — Monthly P&amp;L and cash'!K5=1),'Haq — Monthly P&amp;L and cash'!K5=1,IF('Haq — Monthly P&amp;L and cash'!K5="","",'Haq — Monthly P&amp;L and cash'!K5=1))="",FALSE,IF(ISERROR('Haq — Monthly P&amp;L and cash'!K5=1),'Haq — Monthly P&amp;L and cash'!K5=1,IF('Haq — Monthly P&amp;L and cash'!K5="","",'Haq — Monthly P&amp;L and cash'!K5=1))),IF('Model inputs'!AJ86="","",'Model inputs'!AJ86),IF('Haq — Monthly P&amp;L and cash'!J42="","",'Haq — Monthly P&amp;L and cash'!J42)))+'Haq — Monthly P&amp;L and cash'!K40</f>
        <v>1062603.786550609</v>
      </c>
      <c r="L42" s="9">
        <f>IF(IF(IF(IF(ISERROR('Haq — Monthly P&amp;L and cash'!L5=1),'Haq — Monthly P&amp;L and cash'!L5=1,IF('Haq — Monthly P&amp;L and cash'!L5="","",'Haq — Monthly P&amp;L and cash'!L5=1))="",FALSE,IF(ISERROR('Haq — Monthly P&amp;L and cash'!L5=1),'Haq — Monthly P&amp;L and cash'!L5=1,IF('Haq — Monthly P&amp;L and cash'!L5="","",'Haq — Monthly P&amp;L and cash'!L5=1))),IF('Model inputs'!AJ86="","",'Model inputs'!AJ86),IF('Haq — Monthly P&amp;L and cash'!K42="","",'Haq — Monthly P&amp;L and cash'!K42))="",0,IF(IF(IF(ISERROR('Haq — Monthly P&amp;L and cash'!L5=1),'Haq — Monthly P&amp;L and cash'!L5=1,IF('Haq — Monthly P&amp;L and cash'!L5="","",'Haq — Monthly P&amp;L and cash'!L5=1))="",FALSE,IF(ISERROR('Haq — Monthly P&amp;L and cash'!L5=1),'Haq — Monthly P&amp;L and cash'!L5=1,IF('Haq — Monthly P&amp;L and cash'!L5="","",'Haq — Monthly P&amp;L and cash'!L5=1))),IF('Model inputs'!AJ86="","",'Model inputs'!AJ86),IF('Haq — Monthly P&amp;L and cash'!K42="","",'Haq — Monthly P&amp;L and cash'!K42)))+'Haq — Monthly P&amp;L and cash'!L40</f>
        <v>810268.1879082002</v>
      </c>
      <c r="M42" s="9">
        <f>IF(IF(IF(IF(ISERROR('Haq — Monthly P&amp;L and cash'!M5=1),'Haq — Monthly P&amp;L and cash'!M5=1,IF('Haq — Monthly P&amp;L and cash'!M5="","",'Haq — Monthly P&amp;L and cash'!M5=1))="",FALSE,IF(ISERROR('Haq — Monthly P&amp;L and cash'!M5=1),'Haq — Monthly P&amp;L and cash'!M5=1,IF('Haq — Monthly P&amp;L and cash'!M5="","",'Haq — Monthly P&amp;L and cash'!M5=1))),IF('Model inputs'!AJ86="","",'Model inputs'!AJ86),IF('Haq — Monthly P&amp;L and cash'!L42="","",'Haq — Monthly P&amp;L and cash'!L42))="",0,IF(IF(IF(ISERROR('Haq — Monthly P&amp;L and cash'!M5=1),'Haq — Monthly P&amp;L and cash'!M5=1,IF('Haq — Monthly P&amp;L and cash'!M5="","",'Haq — Monthly P&amp;L and cash'!M5=1))="",FALSE,IF(ISERROR('Haq — Monthly P&amp;L and cash'!M5=1),'Haq — Monthly P&amp;L and cash'!M5=1,IF('Haq — Monthly P&amp;L and cash'!M5="","",'Haq — Monthly P&amp;L and cash'!M5=1))),IF('Model inputs'!AJ86="","",'Model inputs'!AJ86),IF('Haq — Monthly P&amp;L and cash'!L42="","",'Haq — Monthly P&amp;L and cash'!L42)))+'Haq — Monthly P&amp;L and cash'!M40</f>
        <v>1445943.518526722</v>
      </c>
      <c r="N42" s="9">
        <f>IF(IF(IF(IF(ISERROR('Haq — Monthly P&amp;L and cash'!N5=1),'Haq — Monthly P&amp;L and cash'!N5=1,IF('Haq — Monthly P&amp;L and cash'!N5="","",'Haq — Monthly P&amp;L and cash'!N5=1))="",FALSE,IF(ISERROR('Haq — Monthly P&amp;L and cash'!N5=1),'Haq — Monthly P&amp;L and cash'!N5=1,IF('Haq — Monthly P&amp;L and cash'!N5="","",'Haq — Monthly P&amp;L and cash'!N5=1))),IF('Model inputs'!AJ86="","",'Model inputs'!AJ86),IF('Haq — Monthly P&amp;L and cash'!M42="","",'Haq — Monthly P&amp;L and cash'!M42))="",0,IF(IF(IF(ISERROR('Haq — Monthly P&amp;L and cash'!N5=1),'Haq — Monthly P&amp;L and cash'!N5=1,IF('Haq — Monthly P&amp;L and cash'!N5="","",'Haq — Monthly P&amp;L and cash'!N5=1))="",FALSE,IF(ISERROR('Haq — Monthly P&amp;L and cash'!N5=1),'Haq — Monthly P&amp;L and cash'!N5=1,IF('Haq — Monthly P&amp;L and cash'!N5="","",'Haq — Monthly P&amp;L and cash'!N5=1))),IF('Model inputs'!AJ86="","",'Model inputs'!AJ86),IF('Haq — Monthly P&amp;L and cash'!M42="","",'Haq — Monthly P&amp;L and cash'!M42)))+'Haq — Monthly P&amp;L and cash'!N40</f>
        <v>1219982.023738022</v>
      </c>
      <c r="O42" s="9">
        <f>IF(IF(IF(IF(ISERROR('Haq — Monthly P&amp;L and cash'!O5=1),'Haq — Monthly P&amp;L and cash'!O5=1,IF('Haq — Monthly P&amp;L and cash'!O5="","",'Haq — Monthly P&amp;L and cash'!O5=1))="",FALSE,IF(ISERROR('Haq — Monthly P&amp;L and cash'!O5=1),'Haq — Monthly P&amp;L and cash'!O5=1,IF('Haq — Monthly P&amp;L and cash'!O5="","",'Haq — Monthly P&amp;L and cash'!O5=1))),IF('Model inputs'!AJ86="","",'Model inputs'!AJ86),IF('Haq — Monthly P&amp;L and cash'!N42="","",'Haq — Monthly P&amp;L and cash'!N42))="",0,IF(IF(IF(ISERROR('Haq — Monthly P&amp;L and cash'!O5=1),'Haq — Monthly P&amp;L and cash'!O5=1,IF('Haq — Monthly P&amp;L and cash'!O5="","",'Haq — Monthly P&amp;L and cash'!O5=1))="",FALSE,IF(ISERROR('Haq — Monthly P&amp;L and cash'!O5=1),'Haq — Monthly P&amp;L and cash'!O5=1,IF('Haq — Monthly P&amp;L and cash'!O5="","",'Haq — Monthly P&amp;L and cash'!O5=1))),IF('Model inputs'!AJ86="","",'Model inputs'!AJ86),IF('Haq — Monthly P&amp;L and cash'!N42="","",'Haq — Monthly P&amp;L and cash'!N42)))+'Haq — Monthly P&amp;L and cash'!O40</f>
        <v>1015138.1797310169</v>
      </c>
      <c r="P42" s="9">
        <f>IF(IF(IF(IF(ISERROR('Haq — Monthly P&amp;L and cash'!P5=1),'Haq — Monthly P&amp;L and cash'!P5=1,IF('Haq — Monthly P&amp;L and cash'!P5="","",'Haq — Monthly P&amp;L and cash'!P5=1))="",FALSE,IF(ISERROR('Haq — Monthly P&amp;L and cash'!P5=1),'Haq — Monthly P&amp;L and cash'!P5=1,IF('Haq — Monthly P&amp;L and cash'!P5="","",'Haq — Monthly P&amp;L and cash'!P5=1))),IF('Model inputs'!AJ86="","",'Model inputs'!AJ86),IF('Haq — Monthly P&amp;L and cash'!O42="","",'Haq — Monthly P&amp;L and cash'!O42))="",0,IF(IF(IF(ISERROR('Haq — Monthly P&amp;L and cash'!P5=1),'Haq — Monthly P&amp;L and cash'!P5=1,IF('Haq — Monthly P&amp;L and cash'!P5="","",'Haq — Monthly P&amp;L and cash'!P5=1))="",FALSE,IF(ISERROR('Haq — Monthly P&amp;L and cash'!P5=1),'Haq — Monthly P&amp;L and cash'!P5=1,IF('Haq — Monthly P&amp;L and cash'!P5="","",'Haq — Monthly P&amp;L and cash'!P5=1))),IF('Model inputs'!AJ86="","",'Model inputs'!AJ86),IF('Haq — Monthly P&amp;L and cash'!O42="","",'Haq — Monthly P&amp;L and cash'!O42)))+'Haq — Monthly P&amp;L and cash'!P40</f>
        <v>1216225.4674562942</v>
      </c>
      <c r="Q42" s="9">
        <f>IF(IF(IF(IF(ISERROR('Haq — Monthly P&amp;L and cash'!Q5=1),'Haq — Monthly P&amp;L and cash'!Q5=1,IF('Haq — Monthly P&amp;L and cash'!Q5="","",'Haq — Monthly P&amp;L and cash'!Q5=1))="",FALSE,IF(ISERROR('Haq — Monthly P&amp;L and cash'!Q5=1),'Haq — Monthly P&amp;L and cash'!Q5=1,IF('Haq — Monthly P&amp;L and cash'!Q5="","",'Haq — Monthly P&amp;L and cash'!Q5=1))),IF('Model inputs'!AJ86="","",'Model inputs'!AJ86),IF('Haq — Monthly P&amp;L and cash'!P42="","",'Haq — Monthly P&amp;L and cash'!P42))="",0,IF(IF(IF(ISERROR('Haq — Monthly P&amp;L and cash'!Q5=1),'Haq — Monthly P&amp;L and cash'!Q5=1,IF('Haq — Monthly P&amp;L and cash'!Q5="","",'Haq — Monthly P&amp;L and cash'!Q5=1))="",FALSE,IF(ISERROR('Haq — Monthly P&amp;L and cash'!Q5=1),'Haq — Monthly P&amp;L and cash'!Q5=1,IF('Haq — Monthly P&amp;L and cash'!Q5="","",'Haq — Monthly P&amp;L and cash'!Q5=1))),IF('Model inputs'!AJ86="","",'Model inputs'!AJ86),IF('Haq — Monthly P&amp;L and cash'!P42="","",'Haq — Monthly P&amp;L and cash'!P42)))+'Haq — Monthly P&amp;L and cash'!Q40</f>
        <v>1055240.8483403632</v>
      </c>
      <c r="R42" s="9">
        <f>IF(IF(IF(IF(ISERROR('Haq — Monthly P&amp;L and cash'!R5=1),'Haq — Monthly P&amp;L and cash'!R5=1,IF('Haq — Monthly P&amp;L and cash'!R5="","",'Haq — Monthly P&amp;L and cash'!R5=1))="",FALSE,IF(ISERROR('Haq — Monthly P&amp;L and cash'!R5=1),'Haq — Monthly P&amp;L and cash'!R5=1,IF('Haq — Monthly P&amp;L and cash'!R5="","",'Haq — Monthly P&amp;L and cash'!R5=1))),IF('Model inputs'!AJ86="","",'Model inputs'!AJ86),IF('Haq — Monthly P&amp;L and cash'!Q42="","",'Haq — Monthly P&amp;L and cash'!Q42))="",0,IF(IF(IF(ISERROR('Haq — Monthly P&amp;L and cash'!R5=1),'Haq — Monthly P&amp;L and cash'!R5=1,IF('Haq — Monthly P&amp;L and cash'!R5="","",'Haq — Monthly P&amp;L and cash'!R5=1))="",FALSE,IF(ISERROR('Haq — Monthly P&amp;L and cash'!R5=1),'Haq — Monthly P&amp;L and cash'!R5=1,IF('Haq — Monthly P&amp;L and cash'!R5="","",'Haq — Monthly P&amp;L and cash'!R5=1))),IF('Model inputs'!AJ86="","",'Model inputs'!AJ86),IF('Haq — Monthly P&amp;L and cash'!Q42="","",'Haq — Monthly P&amp;L and cash'!Q42)))+'Haq — Monthly P&amp;L and cash'!R40</f>
        <v>926373.5363570427</v>
      </c>
      <c r="S42" s="9">
        <f>IF(IF(IF(IF(ISERROR('Haq — Monthly P&amp;L and cash'!S5=1),'Haq — Monthly P&amp;L and cash'!S5=1,IF('Haq — Monthly P&amp;L and cash'!S5="","",'Haq — Monthly P&amp;L and cash'!S5=1))="",FALSE,IF(ISERROR('Haq — Monthly P&amp;L and cash'!S5=1),'Haq — Monthly P&amp;L and cash'!S5=1,IF('Haq — Monthly P&amp;L and cash'!S5="","",'Haq — Monthly P&amp;L and cash'!S5=1))),IF('Model inputs'!AJ86="","",'Model inputs'!AJ86),IF('Haq — Monthly P&amp;L and cash'!R42="","",'Haq — Monthly P&amp;L and cash'!R42))="",0,IF(IF(IF(ISERROR('Haq — Monthly P&amp;L and cash'!S5=1),'Haq — Monthly P&amp;L and cash'!S5=1,IF('Haq — Monthly P&amp;L and cash'!S5="","",'Haq — Monthly P&amp;L and cash'!S5=1))="",FALSE,IF(ISERROR('Haq — Monthly P&amp;L and cash'!S5=1),'Haq — Monthly P&amp;L and cash'!S5=1,IF('Haq — Monthly P&amp;L and cash'!S5="","",'Haq — Monthly P&amp;L and cash'!S5=1))),IF('Model inputs'!AJ86="","",'Model inputs'!AJ86),IF('Haq — Monthly P&amp;L and cash'!R42="","",'Haq — Monthly P&amp;L and cash'!R42)))+'Haq — Monthly P&amp;L and cash'!S40</f>
        <v>2436074.4609095575</v>
      </c>
      <c r="T42" s="9">
        <f>IF(IF(IF(IF(ISERROR('Haq — Monthly P&amp;L and cash'!T5=1),'Haq — Monthly P&amp;L and cash'!T5=1,IF('Haq — Monthly P&amp;L and cash'!T5="","",'Haq — Monthly P&amp;L and cash'!T5=1))="",FALSE,IF(ISERROR('Haq — Monthly P&amp;L and cash'!T5=1),'Haq — Monthly P&amp;L and cash'!T5=1,IF('Haq — Monthly P&amp;L and cash'!T5="","",'Haq — Monthly P&amp;L and cash'!T5=1))),IF('Model inputs'!AJ86="","",'Model inputs'!AJ86),IF('Haq — Monthly P&amp;L and cash'!S42="","",'Haq — Monthly P&amp;L and cash'!S42))="",0,IF(IF(IF(ISERROR('Haq — Monthly P&amp;L and cash'!T5=1),'Haq — Monthly P&amp;L and cash'!T5=1,IF('Haq — Monthly P&amp;L and cash'!T5="","",'Haq — Monthly P&amp;L and cash'!T5=1))="",FALSE,IF(ISERROR('Haq — Monthly P&amp;L and cash'!T5=1),'Haq — Monthly P&amp;L and cash'!T5=1,IF('Haq — Monthly P&amp;L and cash'!T5="","",'Haq — Monthly P&amp;L and cash'!T5=1))),IF('Model inputs'!AJ86="","",'Model inputs'!AJ86),IF('Haq — Monthly P&amp;L and cash'!S42="","",'Haq — Monthly P&amp;L and cash'!S42)))+'Haq — Monthly P&amp;L and cash'!T40</f>
        <v>2373250.5241449494</v>
      </c>
      <c r="U42" s="9">
        <f>IF(IF(IF(IF(ISERROR('Haq — Monthly P&amp;L and cash'!U5=1),'Haq — Monthly P&amp;L and cash'!U5=1,IF('Haq — Monthly P&amp;L and cash'!U5="","",'Haq — Monthly P&amp;L and cash'!U5=1))="",FALSE,IF(ISERROR('Haq — Monthly P&amp;L and cash'!U5=1),'Haq — Monthly P&amp;L and cash'!U5=1,IF('Haq — Monthly P&amp;L and cash'!U5="","",'Haq — Monthly P&amp;L and cash'!U5=1))),IF('Model inputs'!AJ86="","",'Model inputs'!AJ86),IF('Haq — Monthly P&amp;L and cash'!T42="","",'Haq — Monthly P&amp;L and cash'!T42))="",0,IF(IF(IF(ISERROR('Haq — Monthly P&amp;L and cash'!U5=1),'Haq — Monthly P&amp;L and cash'!U5=1,IF('Haq — Monthly P&amp;L and cash'!U5="","",'Haq — Monthly P&amp;L and cash'!U5=1))="",FALSE,IF(ISERROR('Haq — Monthly P&amp;L and cash'!U5=1),'Haq — Monthly P&amp;L and cash'!U5=1,IF('Haq — Monthly P&amp;L and cash'!U5="","",'Haq — Monthly P&amp;L and cash'!U5=1))),IF('Model inputs'!AJ86="","",'Model inputs'!AJ86),IF('Haq — Monthly P&amp;L and cash'!T42="","",'Haq — Monthly P&amp;L and cash'!T42)))+'Haq — Monthly P&amp;L and cash'!U40</f>
        <v>2359272.99686565</v>
      </c>
      <c r="V42" s="9">
        <f>IF(IF(IF(IF(ISERROR('Haq — Monthly P&amp;L and cash'!V5=1),'Haq — Monthly P&amp;L and cash'!V5=1,IF('Haq — Monthly P&amp;L and cash'!V5="","",'Haq — Monthly P&amp;L and cash'!V5=1))="",FALSE,IF(ISERROR('Haq — Monthly P&amp;L and cash'!V5=1),'Haq — Monthly P&amp;L and cash'!V5=1,IF('Haq — Monthly P&amp;L and cash'!V5="","",'Haq — Monthly P&amp;L and cash'!V5=1))),IF('Model inputs'!AJ86="","",'Model inputs'!AJ86),IF('Haq — Monthly P&amp;L and cash'!U42="","",'Haq — Monthly P&amp;L and cash'!U42))="",0,IF(IF(IF(ISERROR('Haq — Monthly P&amp;L and cash'!V5=1),'Haq — Monthly P&amp;L and cash'!V5=1,IF('Haq — Monthly P&amp;L and cash'!V5="","",'Haq — Monthly P&amp;L and cash'!V5=1))="",FALSE,IF(ISERROR('Haq — Monthly P&amp;L and cash'!V5=1),'Haq — Monthly P&amp;L and cash'!V5=1,IF('Haq — Monthly P&amp;L and cash'!V5="","",'Haq — Monthly P&amp;L and cash'!V5=1))),IF('Model inputs'!AJ86="","",'Model inputs'!AJ86),IF('Haq — Monthly P&amp;L and cash'!U42="","",'Haq — Monthly P&amp;L and cash'!U42)))+'Haq — Monthly P&amp;L and cash'!V40</f>
        <v>3763114.673827789</v>
      </c>
      <c r="W42" s="9">
        <f>IF(IF(IF(IF(ISERROR('Haq — Monthly P&amp;L and cash'!W5=1),'Haq — Monthly P&amp;L and cash'!W5=1,IF('Haq — Monthly P&amp;L and cash'!W5="","",'Haq — Monthly P&amp;L and cash'!W5=1))="",FALSE,IF(ISERROR('Haq — Monthly P&amp;L and cash'!W5=1),'Haq — Monthly P&amp;L and cash'!W5=1,IF('Haq — Monthly P&amp;L and cash'!W5="","",'Haq — Monthly P&amp;L and cash'!W5=1))),IF('Model inputs'!AJ86="","",'Model inputs'!AJ86),IF('Haq — Monthly P&amp;L and cash'!V42="","",'Haq — Monthly P&amp;L and cash'!V42))="",0,IF(IF(IF(ISERROR('Haq — Monthly P&amp;L and cash'!W5=1),'Haq — Monthly P&amp;L and cash'!W5=1,IF('Haq — Monthly P&amp;L and cash'!W5="","",'Haq — Monthly P&amp;L and cash'!W5=1))="",FALSE,IF(ISERROR('Haq — Monthly P&amp;L and cash'!W5=1),'Haq — Monthly P&amp;L and cash'!W5=1,IF('Haq — Monthly P&amp;L and cash'!W5="","",'Haq — Monthly P&amp;L and cash'!W5=1))),IF('Model inputs'!AJ86="","",'Model inputs'!AJ86),IF('Haq — Monthly P&amp;L and cash'!V42="","",'Haq — Monthly P&amp;L and cash'!V42)))+'Haq — Monthly P&amp;L and cash'!W40</f>
        <v>3861555.7273342484</v>
      </c>
      <c r="X42" s="9">
        <f>IF(IF(IF(IF(ISERROR('Haq — Monthly P&amp;L and cash'!X5=1),'Haq — Monthly P&amp;L and cash'!X5=1,IF('Haq — Monthly P&amp;L and cash'!X5="","",'Haq — Monthly P&amp;L and cash'!X5=1))="",FALSE,IF(ISERROR('Haq — Monthly P&amp;L and cash'!X5=1),'Haq — Monthly P&amp;L and cash'!X5=1,IF('Haq — Monthly P&amp;L and cash'!X5="","",'Haq — Monthly P&amp;L and cash'!X5=1))),IF('Model inputs'!AJ86="","",'Model inputs'!AJ86),IF('Haq — Monthly P&amp;L and cash'!W42="","",'Haq — Monthly P&amp;L and cash'!W42))="",0,IF(IF(IF(ISERROR('Haq — Monthly P&amp;L and cash'!X5=1),'Haq — Monthly P&amp;L and cash'!X5=1,IF('Haq — Monthly P&amp;L and cash'!X5="","",'Haq — Monthly P&amp;L and cash'!X5=1))="",FALSE,IF(ISERROR('Haq — Monthly P&amp;L and cash'!X5=1),'Haq — Monthly P&amp;L and cash'!X5=1,IF('Haq — Monthly P&amp;L and cash'!X5="","",'Haq — Monthly P&amp;L and cash'!X5=1))),IF('Model inputs'!AJ86="","",'Model inputs'!AJ86),IF('Haq — Monthly P&amp;L and cash'!W42="","",'Haq — Monthly P&amp;L and cash'!W42)))+'Haq — Monthly P&amp;L and cash'!X40</f>
        <v>4415931.897200011</v>
      </c>
      <c r="Y42" s="9">
        <f>IF(IF(IF(IF(ISERROR('Haq — Monthly P&amp;L and cash'!Y5=1),'Haq — Monthly P&amp;L and cash'!Y5=1,IF('Haq — Monthly P&amp;L and cash'!Y5="","",'Haq — Monthly P&amp;L and cash'!Y5=1))="",FALSE,IF(ISERROR('Haq — Monthly P&amp;L and cash'!Y5=1),'Haq — Monthly P&amp;L and cash'!Y5=1,IF('Haq — Monthly P&amp;L and cash'!Y5="","",'Haq — Monthly P&amp;L and cash'!Y5=1))),IF('Model inputs'!AJ86="","",'Model inputs'!AJ86),IF('Haq — Monthly P&amp;L and cash'!X42="","",'Haq — Monthly P&amp;L and cash'!X42))="",0,IF(IF(IF(ISERROR('Haq — Monthly P&amp;L and cash'!Y5=1),'Haq — Monthly P&amp;L and cash'!Y5=1,IF('Haq — Monthly P&amp;L and cash'!Y5="","",'Haq — Monthly P&amp;L and cash'!Y5=1))="",FALSE,IF(ISERROR('Haq — Monthly P&amp;L and cash'!Y5=1),'Haq — Monthly P&amp;L and cash'!Y5=1,IF('Haq — Monthly P&amp;L and cash'!Y5="","",'Haq — Monthly P&amp;L and cash'!Y5=1))),IF('Model inputs'!AJ86="","",'Model inputs'!AJ86),IF('Haq — Monthly P&amp;L and cash'!X42="","",'Haq — Monthly P&amp;L and cash'!X42)))+'Haq — Monthly P&amp;L and cash'!Y40</f>
        <v>6757374.07587897</v>
      </c>
    </row>
    <row r="43">
      <c r="A43" t="inlineStr" s="8">
        <is>
          <t xml:space="preserve">Haq Deferred revenue</t>
        </is>
      </c>
      <c r="B43" s="9">
        <f>'Model inputs'!C21+'Haq — Monthly P&amp;L and cash'!B15+'Haq — Monthly P&amp;L and cash'!B20-'Haq — Monthly P&amp;L and cash'!B14-'Haq — Monthly P&amp;L and cash'!B19</f>
        <v>0</v>
      </c>
      <c r="C43" s="9">
        <f>'Haq — Monthly P&amp;L and cash'!B43+'Haq — Monthly P&amp;L and cash'!C15+'Haq — Monthly P&amp;L and cash'!C20-'Haq — Monthly P&amp;L and cash'!C14-'Haq — Monthly P&amp;L and cash'!C19</f>
        <v>0</v>
      </c>
      <c r="D43" s="9">
        <f>'Haq — Monthly P&amp;L and cash'!C43+'Haq — Monthly P&amp;L and cash'!D15+'Haq — Monthly P&amp;L and cash'!D20-'Haq — Monthly P&amp;L and cash'!D14-'Haq — Monthly P&amp;L and cash'!D19</f>
        <v>0</v>
      </c>
      <c r="E43" s="9">
        <f>'Haq — Monthly P&amp;L and cash'!D43+'Haq — Monthly P&amp;L and cash'!E15+'Haq — Monthly P&amp;L and cash'!E20-'Haq — Monthly P&amp;L and cash'!E14-'Haq — Monthly P&amp;L and cash'!E19</f>
        <v>0</v>
      </c>
      <c r="F43" s="9">
        <f>'Haq — Monthly P&amp;L and cash'!E43+'Haq — Monthly P&amp;L and cash'!F15+'Haq — Monthly P&amp;L and cash'!F20-'Haq — Monthly P&amp;L and cash'!F14-'Haq — Monthly P&amp;L and cash'!F19</f>
        <v>0</v>
      </c>
      <c r="G43" s="9">
        <f>'Haq — Monthly P&amp;L and cash'!F43+'Haq — Monthly P&amp;L and cash'!G15+'Haq — Monthly P&amp;L and cash'!G20-'Haq — Monthly P&amp;L and cash'!G14-'Haq — Monthly P&amp;L and cash'!G19</f>
        <v>458333.3333333333</v>
      </c>
      <c r="H43" s="9">
        <f>'Haq — Monthly P&amp;L and cash'!G43+'Haq — Monthly P&amp;L and cash'!H15+'Haq — Monthly P&amp;L and cash'!H20-'Haq — Monthly P&amp;L and cash'!H14-'Haq — Monthly P&amp;L and cash'!H19</f>
        <v>416666.6666666666</v>
      </c>
      <c r="I43" s="9">
        <f>'Haq — Monthly P&amp;L and cash'!H43+'Haq — Monthly P&amp;L and cash'!I15+'Haq — Monthly P&amp;L and cash'!I20-'Haq — Monthly P&amp;L and cash'!I14-'Haq — Monthly P&amp;L and cash'!I19</f>
        <v>374999.99999999994</v>
      </c>
      <c r="J43" s="9">
        <f>'Haq — Monthly P&amp;L and cash'!I43+'Haq — Monthly P&amp;L and cash'!J15+'Haq — Monthly P&amp;L and cash'!J20-'Haq — Monthly P&amp;L and cash'!J14-'Haq — Monthly P&amp;L and cash'!J19</f>
        <v>1250000</v>
      </c>
      <c r="K43" s="9">
        <f>'Haq — Monthly P&amp;L and cash'!J43+'Haq — Monthly P&amp;L and cash'!K15+'Haq — Monthly P&amp;L and cash'!K20-'Haq — Monthly P&amp;L and cash'!K14-'Haq — Monthly P&amp;L and cash'!K19</f>
        <v>1125000</v>
      </c>
      <c r="L43" s="9">
        <f>'Haq — Monthly P&amp;L and cash'!K43+'Haq — Monthly P&amp;L and cash'!L15+'Haq — Monthly P&amp;L and cash'!L20-'Haq — Monthly P&amp;L and cash'!L14-'Haq — Monthly P&amp;L and cash'!L19</f>
        <v>1000000</v>
      </c>
      <c r="M43" s="9">
        <f>'Haq — Monthly P&amp;L and cash'!L43+'Haq — Monthly P&amp;L and cash'!M15+'Haq — Monthly P&amp;L and cash'!M20-'Haq — Monthly P&amp;L and cash'!M14-'Haq — Monthly P&amp;L and cash'!M19</f>
        <v>1791666.6666666667</v>
      </c>
      <c r="N43" s="9">
        <f>'Haq — Monthly P&amp;L and cash'!M43+'Haq — Monthly P&amp;L and cash'!N15+'Haq — Monthly P&amp;L and cash'!N20-'Haq — Monthly P&amp;L and cash'!N14-'Haq — Monthly P&amp;L and cash'!N19</f>
        <v>1583333.3333333335</v>
      </c>
      <c r="O43" s="9">
        <f>'Haq — Monthly P&amp;L and cash'!N43+'Haq — Monthly P&amp;L and cash'!O15+'Haq — Monthly P&amp;L and cash'!O20-'Haq — Monthly P&amp;L and cash'!O14-'Haq — Monthly P&amp;L and cash'!O19</f>
        <v>1375000.0000000002</v>
      </c>
      <c r="P43" s="9">
        <f>'Haq — Monthly P&amp;L and cash'!O43+'Haq — Monthly P&amp;L and cash'!P15+'Haq — Monthly P&amp;L and cash'!P20-'Haq — Monthly P&amp;L and cash'!P14-'Haq — Monthly P&amp;L and cash'!P19</f>
        <v>1625000.0000000002</v>
      </c>
      <c r="Q43" s="9">
        <f>'Haq — Monthly P&amp;L and cash'!P43+'Haq — Monthly P&amp;L and cash'!Q15+'Haq — Monthly P&amp;L and cash'!Q20-'Haq — Monthly P&amp;L and cash'!Q14-'Haq — Monthly P&amp;L and cash'!Q19</f>
        <v>1375000.0000000002</v>
      </c>
      <c r="R43" s="9">
        <f>'Haq — Monthly P&amp;L and cash'!Q43+'Haq — Monthly P&amp;L and cash'!R15+'Haq — Monthly P&amp;L and cash'!R20-'Haq — Monthly P&amp;L and cash'!R14-'Haq — Monthly P&amp;L and cash'!R19</f>
        <v>1125000.0000000002</v>
      </c>
      <c r="S43" s="9">
        <f>'Haq — Monthly P&amp;L and cash'!R43+'Haq — Monthly P&amp;L and cash'!S15+'Haq — Monthly P&amp;L and cash'!S20-'Haq — Monthly P&amp;L and cash'!S14-'Haq — Monthly P&amp;L and cash'!S19</f>
        <v>2520833.333333333</v>
      </c>
      <c r="T43" s="9">
        <f>'Haq — Monthly P&amp;L and cash'!S43+'Haq — Monthly P&amp;L and cash'!T15+'Haq — Monthly P&amp;L and cash'!T20-'Haq — Monthly P&amp;L and cash'!T14-'Haq — Monthly P&amp;L and cash'!T19</f>
        <v>2166666.666666666</v>
      </c>
      <c r="U43" s="9">
        <f>'Haq — Monthly P&amp;L and cash'!T43+'Haq — Monthly P&amp;L and cash'!U15+'Haq — Monthly P&amp;L and cash'!U20-'Haq — Monthly P&amp;L and cash'!U14-'Haq — Monthly P&amp;L and cash'!U19</f>
        <v>1812499.9999999995</v>
      </c>
      <c r="V43" s="9">
        <f>'Haq — Monthly P&amp;L and cash'!U43+'Haq — Monthly P&amp;L and cash'!V15+'Haq — Monthly P&amp;L and cash'!V20-'Haq — Monthly P&amp;L and cash'!V14-'Haq — Monthly P&amp;L and cash'!V19</f>
        <v>2916666.666666666</v>
      </c>
      <c r="W43" s="9">
        <f>'Haq — Monthly P&amp;L and cash'!V43+'Haq — Monthly P&amp;L and cash'!W15+'Haq — Monthly P&amp;L and cash'!W20-'Haq — Monthly P&amp;L and cash'!W14-'Haq — Monthly P&amp;L and cash'!W19</f>
        <v>2520833.3333333326</v>
      </c>
      <c r="X43" s="9">
        <f>'Haq — Monthly P&amp;L and cash'!W43+'Haq — Monthly P&amp;L and cash'!X15+'Haq — Monthly P&amp;L and cash'!X20-'Haq — Monthly P&amp;L and cash'!X14-'Haq — Monthly P&amp;L and cash'!X19</f>
        <v>2583333.3333333326</v>
      </c>
      <c r="Y43" s="9">
        <f>'Haq — Monthly P&amp;L and cash'!X43+'Haq — Monthly P&amp;L and cash'!Y15+'Haq — Monthly P&amp;L and cash'!Y20-'Haq — Monthly P&amp;L and cash'!Y14-'Haq — Monthly P&amp;L and cash'!Y19</f>
        <v>4291666.666666666</v>
      </c>
    </row>
    <row r="44">
      <c r="A44" t="inlineStr" s="6">
        <is>
          <t xml:space="preserve">Haq Cash bridge check</t>
        </is>
      </c>
      <c r="B44" s="12">
        <f>'Haq — Monthly P&amp;L and cash'!B40-'Haq — Monthly P&amp;L and cash'!B36-('Haq — Monthly P&amp;L and cash'!B43-'Model inputs'!C21)*(1-'Model inputs'!AJ60)</f>
        <v>0</v>
      </c>
      <c r="C44" s="12">
        <f>'Haq — Monthly P&amp;L and cash'!C40-'Haq — Monthly P&amp;L and cash'!C36-('Haq — Monthly P&amp;L and cash'!C43-'Haq — Monthly P&amp;L and cash'!B43)*(1-'Model inputs'!AJ60)</f>
        <v>0</v>
      </c>
      <c r="D44" s="12">
        <f>'Haq — Monthly P&amp;L and cash'!D40-'Haq — Monthly P&amp;L and cash'!D36-('Haq — Monthly P&amp;L and cash'!D43-'Haq — Monthly P&amp;L and cash'!C43)*(1-'Model inputs'!AJ60)</f>
        <v>0</v>
      </c>
      <c r="E44" s="12">
        <f>'Haq — Monthly P&amp;L and cash'!E40-'Haq — Monthly P&amp;L and cash'!E36-('Haq — Monthly P&amp;L and cash'!E43-'Haq — Monthly P&amp;L and cash'!D43)*(1-'Model inputs'!AJ60)</f>
        <v>0</v>
      </c>
      <c r="F44" s="12">
        <f>'Haq — Monthly P&amp;L and cash'!F40-'Haq — Monthly P&amp;L and cash'!F36-('Haq — Monthly P&amp;L and cash'!F43-'Haq — Monthly P&amp;L and cash'!E43)*(1-'Model inputs'!AJ60)</f>
        <v>0</v>
      </c>
      <c r="G44" s="12">
        <f>'Haq — Monthly P&amp;L and cash'!G40-'Haq — Monthly P&amp;L and cash'!G36-('Haq — Monthly P&amp;L and cash'!G43-'Haq — Monthly P&amp;L and cash'!F43)*(1-'Model inputs'!AJ60)</f>
        <v>0.00000000005820766091346741</v>
      </c>
      <c r="H44" s="12">
        <f>'Haq — Monthly P&amp;L and cash'!H40-'Haq — Monthly P&amp;L and cash'!H36-('Haq — Monthly P&amp;L and cash'!H43-'Haq — Monthly P&amp;L and cash'!G43)*(1-'Model inputs'!AJ60)</f>
        <v>0.00000000003637978807091713</v>
      </c>
      <c r="I44" s="12">
        <f>'Haq — Monthly P&amp;L and cash'!I40-'Haq — Monthly P&amp;L and cash'!I36-('Haq — Monthly P&amp;L and cash'!I43-'Haq — Monthly P&amp;L and cash'!H43)*(1-'Model inputs'!AJ60)</f>
        <v>0.00000000003637978807091713</v>
      </c>
      <c r="J44" s="12">
        <f>'Haq — Monthly P&amp;L and cash'!J40-'Haq — Monthly P&amp;L and cash'!J36-('Haq — Monthly P&amp;L and cash'!J43-'Haq — Monthly P&amp;L and cash'!I43)*(1-'Model inputs'!AJ60)</f>
        <v>-0.00000000023283064365386963</v>
      </c>
      <c r="K44" s="12">
        <f>'Haq — Monthly P&amp;L and cash'!K40-'Haq — Monthly P&amp;L and cash'!K36-('Haq — Monthly P&amp;L and cash'!K43-'Haq — Monthly P&amp;L and cash'!J43)*(1-'Model inputs'!AJ60)</f>
        <v>0.000000000029103830456733704</v>
      </c>
      <c r="L44" s="12">
        <f>'Haq — Monthly P&amp;L and cash'!L40-'Haq — Monthly P&amp;L and cash'!L36-('Haq — Monthly P&amp;L and cash'!L43-'Haq — Monthly P&amp;L and cash'!K43)*(1-'Model inputs'!AJ60)</f>
        <v>0.000000000029103830456733704</v>
      </c>
      <c r="M44" s="12">
        <f>'Haq — Monthly P&amp;L and cash'!M40-'Haq — Monthly P&amp;L and cash'!M36-('Haq — Monthly P&amp;L and cash'!M43-'Haq — Monthly P&amp;L and cash'!L43)*(1-'Model inputs'!AJ60)</f>
        <v>0.00000000011641532182693481</v>
      </c>
      <c r="N44" s="12">
        <f>'Haq — Monthly P&amp;L and cash'!N40-'Haq — Monthly P&amp;L and cash'!N36-('Haq — Monthly P&amp;L and cash'!N43-'Haq — Monthly P&amp;L and cash'!M43)*(1-'Model inputs'!AJ60)</f>
        <v>-0.000000000029103830456733704</v>
      </c>
      <c r="O44" s="12">
        <f>'Haq — Monthly P&amp;L and cash'!O40-'Haq — Monthly P&amp;L and cash'!O36-('Haq — Monthly P&amp;L and cash'!O43-'Haq — Monthly P&amp;L and cash'!N43)*(1-'Model inputs'!AJ60)</f>
        <v>-0.000000000029103830456733704</v>
      </c>
      <c r="P44" s="12">
        <f>'Haq — Monthly P&amp;L and cash'!P40-'Haq — Monthly P&amp;L and cash'!P36-('Haq — Monthly P&amp;L and cash'!P43-'Haq — Monthly P&amp;L and cash'!O43)*(1-'Model inputs'!AJ60)</f>
        <v>-0.00000000005820766091346741</v>
      </c>
      <c r="Q44" s="12">
        <f>'Haq — Monthly P&amp;L and cash'!Q40-'Haq — Monthly P&amp;L and cash'!Q36-('Haq — Monthly P&amp;L and cash'!Q43-'Haq — Monthly P&amp;L and cash'!P43)*(1-'Model inputs'!AJ60)</f>
        <v>0.00000000005820766091346741</v>
      </c>
      <c r="R44" s="12">
        <f>'Haq — Monthly P&amp;L and cash'!R40-'Haq — Monthly P&amp;L and cash'!R36-('Haq — Monthly P&amp;L and cash'!R43-'Haq — Monthly P&amp;L and cash'!Q43)*(1-'Model inputs'!AJ60)</f>
        <v>0</v>
      </c>
      <c r="S44" s="12">
        <f>'Haq — Monthly P&amp;L and cash'!S40-'Haq — Monthly P&amp;L and cash'!S36-('Haq — Monthly P&amp;L and cash'!S43-'Haq — Monthly P&amp;L and cash'!R43)*(1-'Model inputs'!AJ60)</f>
        <v>0.0000000006984919309616089</v>
      </c>
      <c r="T44" s="12">
        <f>'Haq — Monthly P&amp;L and cash'!T40-'Haq — Monthly P&amp;L and cash'!T36-('Haq — Monthly P&amp;L and cash'!T43-'Haq — Monthly P&amp;L and cash'!S43)*(1-'Model inputs'!AJ60)</f>
        <v>0.00000000029103830456733704</v>
      </c>
      <c r="U44" s="12">
        <f>'Haq — Monthly P&amp;L and cash'!U40-'Haq — Monthly P&amp;L and cash'!U36-('Haq — Monthly P&amp;L and cash'!U43-'Haq — Monthly P&amp;L and cash'!T43)*(1-'Model inputs'!AJ60)</f>
        <v>-0.00000000005820766091346741</v>
      </c>
      <c r="V44" s="12">
        <f>'Haq — Monthly P&amp;L and cash'!V40-'Haq — Monthly P&amp;L and cash'!V36-('Haq — Monthly P&amp;L and cash'!V43-'Haq — Monthly P&amp;L and cash'!U43)*(1-'Model inputs'!AJ60)</f>
        <v>-0.00000000023283064365386963</v>
      </c>
      <c r="W44" s="12">
        <f>'Haq — Monthly P&amp;L and cash'!W40-'Haq — Monthly P&amp;L and cash'!W36-('Haq — Monthly P&amp;L and cash'!W43-'Haq — Monthly P&amp;L and cash'!V43)*(1-'Model inputs'!AJ60)</f>
        <v>0.00000000005820766091346741</v>
      </c>
      <c r="X44" s="12">
        <f>'Haq — Monthly P&amp;L and cash'!X40-'Haq — Monthly P&amp;L and cash'!X36-('Haq — Monthly P&amp;L and cash'!X43-'Haq — Monthly P&amp;L and cash'!W43)*(1-'Model inputs'!AJ60)</f>
        <v>0.00000000023283064365386963</v>
      </c>
      <c r="Y44" s="12">
        <f>'Haq — Monthly P&amp;L and cash'!Y40-'Haq — Monthly P&amp;L and cash'!Y36-('Haq — Monthly P&amp;L and cash'!Y43-'Haq — Monthly P&amp;L and cash'!X43)*(1-'Model inputs'!AJ60)</f>
        <v>0</v>
      </c>
    </row>
  </sheetData>
  <mergeCells count="1">
    <mergeCell ref="A1:Y1"/>
  </mergeCells>
</worksheet>
</file>

<file path=xl/worksheets/sheet2.xml><?xml version="1.0" encoding="utf-8"?>
<worksheet xmlns="http://schemas.openxmlformats.org/spreadsheetml/2006/main">
  <dimension ref="A1:BD104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  <col min="34" max="34" width="19" customWidth="1"/>
    <col min="35" max="35" width="19" customWidth="1"/>
    <col min="36" max="36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3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2026-09</t>
        </is>
      </c>
      <c r="C5" t="inlineStr" s="5">
        <is>
          <t xml:space="preserve">2026-10</t>
        </is>
      </c>
      <c r="D5" t="inlineStr" s="4">
        <is>
          <t xml:space="preserve">2026-11</t>
        </is>
      </c>
      <c r="E5" t="inlineStr" s="4">
        <is>
          <t xml:space="preserve">2026-12</t>
        </is>
      </c>
      <c r="F5" t="inlineStr" s="5">
        <is>
          <t xml:space="preserve">2027-01</t>
        </is>
      </c>
      <c r="G5" t="inlineStr" s="4">
        <is>
          <t xml:space="preserve">2027-02</t>
        </is>
      </c>
      <c r="H5" t="inlineStr" s="4">
        <is>
          <t xml:space="preserve">2027-03</t>
        </is>
      </c>
      <c r="I5" t="inlineStr" s="5">
        <is>
          <t xml:space="preserve">2027-04</t>
        </is>
      </c>
      <c r="J5" t="inlineStr" s="4">
        <is>
          <t xml:space="preserve">2027-05</t>
        </is>
      </c>
      <c r="K5" t="inlineStr" s="4">
        <is>
          <t xml:space="preserve">2027-06</t>
        </is>
      </c>
      <c r="L5" t="inlineStr" s="5">
        <is>
          <t xml:space="preserve">2027-07</t>
        </is>
      </c>
      <c r="M5" t="inlineStr" s="4">
        <is>
          <t xml:space="preserve">2027-08</t>
        </is>
      </c>
      <c r="N5" t="inlineStr" s="4">
        <is>
          <t xml:space="preserve">2027-09</t>
        </is>
      </c>
      <c r="O5" t="inlineStr" s="5">
        <is>
          <t xml:space="preserve">2027-10</t>
        </is>
      </c>
      <c r="P5" t="inlineStr" s="4">
        <is>
          <t xml:space="preserve">2027-11</t>
        </is>
      </c>
      <c r="Q5" t="inlineStr" s="4">
        <is>
          <t xml:space="preserve">2027-12</t>
        </is>
      </c>
      <c r="R5" t="inlineStr" s="5">
        <is>
          <t xml:space="preserve">2028-01</t>
        </is>
      </c>
      <c r="S5" t="inlineStr" s="4">
        <is>
          <t xml:space="preserve">2028-02</t>
        </is>
      </c>
      <c r="T5" t="inlineStr" s="4">
        <is>
          <t xml:space="preserve">2028-03</t>
        </is>
      </c>
      <c r="U5" t="inlineStr" s="5">
        <is>
          <t xml:space="preserve">2028-04</t>
        </is>
      </c>
      <c r="V5" t="inlineStr" s="4">
        <is>
          <t xml:space="preserve">2028-05</t>
        </is>
      </c>
      <c r="W5" t="inlineStr" s="4">
        <is>
          <t xml:space="preserve">2028-06</t>
        </is>
      </c>
      <c r="X5" t="inlineStr" s="5">
        <is>
          <t xml:space="preserve">2028-07</t>
        </is>
      </c>
      <c r="Y5" t="inlineStr" s="4">
        <is>
          <t xml:space="preserve">2028-08</t>
        </is>
      </c>
      <c r="Z5" t="inlineStr" s="4">
        <is>
          <t xml:space="preserve">2028-09</t>
        </is>
      </c>
      <c r="AA5" t="inlineStr" s="5">
        <is>
          <t xml:space="preserve">2028-10</t>
        </is>
      </c>
      <c r="AB5" t="inlineStr" s="5">
        <is>
          <t xml:space="preserve">2026-01</t>
        </is>
      </c>
      <c r="AC5" t="inlineStr" s="4">
        <is>
          <t xml:space="preserve">2026-02</t>
        </is>
      </c>
      <c r="AD5" t="inlineStr" s="4">
        <is>
          <t xml:space="preserve">2026-03</t>
        </is>
      </c>
      <c r="AE5" t="inlineStr" s="5">
        <is>
          <t xml:space="preserve">2026-04</t>
        </is>
      </c>
      <c r="AF5" t="inlineStr" s="4">
        <is>
          <t xml:space="preserve">2026-05</t>
        </is>
      </c>
      <c r="AG5" t="inlineStr" s="4">
        <is>
          <t xml:space="preserve">2026-06</t>
        </is>
      </c>
      <c r="AH5" t="inlineStr" s="5">
        <is>
          <t xml:space="preserve">2026-07</t>
        </is>
      </c>
      <c r="AI5" t="inlineStr" s="4">
        <is>
          <t xml:space="preserve">2026-08</t>
        </is>
      </c>
      <c r="AJ5" t="inlineStr" s="4">
        <is>
          <t xml:space="preserve">Value</t>
        </is>
      </c>
    </row>
    <row r="6">
      <c r="A6" t="inlineStr" s="14">
        <is>
          <t xml:space="preserve">Haq Acquisition top-up</t>
        </is>
      </c>
      <c r="B6" s="9">
        <f>MAX('Model inputs'!B13*'Model inputs'!AJ39-'Model inputs'!AJ79*'Model inputs'!AJ78,0)</f>
        <v>0</v>
      </c>
      <c r="C6" s="9">
        <f>MAX('Model inputs'!C13*'Model inputs'!AJ39-'Model inputs'!AJ79*'Model inputs'!AJ78,0)</f>
        <v>0</v>
      </c>
      <c r="D6" s="9">
        <f>MAX('Model inputs'!D13*'Model inputs'!AJ39-'Model inputs'!AJ79*'Model inputs'!AJ78,0)</f>
        <v>0</v>
      </c>
      <c r="E6" s="9">
        <f>MAX('Model inputs'!E13*'Model inputs'!AJ39-'Model inputs'!AJ79*'Model inputs'!AJ78,0)</f>
        <v>0</v>
      </c>
      <c r="F6" s="9">
        <f>MAX('Model inputs'!F13*'Model inputs'!AJ39-'Model inputs'!AJ79*'Model inputs'!AJ78,0)</f>
        <v>0</v>
      </c>
      <c r="G6" s="9">
        <f>MAX('Model inputs'!G13*'Model inputs'!AJ39-'Model inputs'!AJ79*'Model inputs'!AJ78,0)</f>
        <v>50000</v>
      </c>
      <c r="H6" s="9">
        <f>MAX('Model inputs'!H13*'Model inputs'!AJ39-'Model inputs'!AJ79*'Model inputs'!AJ78,0)</f>
        <v>0</v>
      </c>
      <c r="I6" s="9">
        <f>MAX('Model inputs'!I13*'Model inputs'!AJ39-'Model inputs'!AJ79*'Model inputs'!AJ78,0)</f>
        <v>0</v>
      </c>
      <c r="J6" s="9">
        <f>MAX('Model inputs'!J13*'Model inputs'!AJ39-'Model inputs'!AJ79*'Model inputs'!AJ78,0)</f>
        <v>0</v>
      </c>
      <c r="K6" s="9">
        <f>MAX('Model inputs'!K13*'Model inputs'!AJ39-'Model inputs'!AJ79*'Model inputs'!AJ78,0)</f>
        <v>0</v>
      </c>
      <c r="L6" s="9">
        <f>MAX('Model inputs'!L13*'Model inputs'!AJ39-'Model inputs'!AJ79*'Model inputs'!AJ78,0)</f>
        <v>0</v>
      </c>
      <c r="M6" s="9">
        <f>MAX('Model inputs'!M13*'Model inputs'!AJ39-'Model inputs'!AJ79*'Model inputs'!AJ78,0)</f>
        <v>0</v>
      </c>
      <c r="N6" s="9">
        <f>MAX('Model inputs'!N13*'Model inputs'!AJ39-'Model inputs'!AJ79*'Model inputs'!AJ78,0)</f>
        <v>0</v>
      </c>
      <c r="O6" s="9">
        <f>MAX('Model inputs'!O13*'Model inputs'!AJ39-'Model inputs'!AJ79*'Model inputs'!AJ78,0)</f>
        <v>3200.397609374966</v>
      </c>
      <c r="P6" s="9">
        <f>MAX('Model inputs'!P13*'Model inputs'!AJ39-'Model inputs'!AJ79*'Model inputs'!AJ78,0)</f>
        <v>11180.457250781212</v>
      </c>
      <c r="Q6" s="9">
        <f>MAX('Model inputs'!Q13*'Model inputs'!AJ39-'Model inputs'!AJ79*'Model inputs'!AJ78,0)</f>
        <v>20357.52583839839</v>
      </c>
      <c r="R6" s="9">
        <f>MAX('Model inputs'!R13*'Model inputs'!AJ39-'Model inputs'!AJ79*'Model inputs'!AJ78,0)</f>
        <v>30911.15471415814</v>
      </c>
      <c r="S6" s="9">
        <f>MAX('Model inputs'!S13*'Model inputs'!AJ39-'Model inputs'!AJ79*'Model inputs'!AJ78,0)</f>
        <v>43047.827921281845</v>
      </c>
      <c r="T6" s="9">
        <f>MAX('Model inputs'!T13*'Model inputs'!AJ39-'Model inputs'!AJ79*'Model inputs'!AJ78,0)</f>
        <v>57005.002109474124</v>
      </c>
      <c r="U6" s="9">
        <f>MAX('Model inputs'!U13*'Model inputs'!AJ39-'Model inputs'!AJ79*'Model inputs'!AJ78,0)</f>
        <v>73055.75242589523</v>
      </c>
      <c r="V6" s="9">
        <f>MAX('Model inputs'!V13*'Model inputs'!AJ39-'Model inputs'!AJ79*'Model inputs'!AJ78,0)</f>
        <v>91514.1152897795</v>
      </c>
      <c r="W6" s="9">
        <f>MAX('Model inputs'!W13*'Model inputs'!AJ39-'Model inputs'!AJ79*'Model inputs'!AJ78,0)</f>
        <v>112741.23258324643</v>
      </c>
      <c r="X6" s="9">
        <f>MAX('Model inputs'!X13*'Model inputs'!AJ39-'Model inputs'!AJ79*'Model inputs'!AJ78,0)</f>
        <v>137152.41747073337</v>
      </c>
      <c r="Y6" s="9">
        <f>MAX('Model inputs'!Y13*'Model inputs'!AJ39-'Model inputs'!AJ79*'Model inputs'!AJ78,0)</f>
        <v>165225.28009134336</v>
      </c>
      <c r="Z6" s="9">
        <f>MAX('Model inputs'!Z13*'Model inputs'!AJ39-'Model inputs'!AJ79*'Model inputs'!AJ78,0)</f>
        <v>197509.07210504485</v>
      </c>
      <c r="AA6" s="9">
        <f>MAX('Model inputs'!AA13*'Model inputs'!AJ39-'Model inputs'!AJ79*'Model inputs'!AJ78,0)</f>
        <v>234635.4329208015</v>
      </c>
    </row>
    <row r="7">
      <c r="A7" t="inlineStr" s="14">
        <is>
          <t xml:space="preserve">Haq AI cost</t>
        </is>
      </c>
      <c r="B7" s="9">
        <f>'Model inputs'!B93*'Model inputs'!B10</f>
        <v>0</v>
      </c>
      <c r="C7" s="9">
        <f>'Model inputs'!C93*'Model inputs'!C10</f>
        <v>0</v>
      </c>
      <c r="D7" s="9">
        <f>'Model inputs'!D93*'Model inputs'!D10</f>
        <v>0</v>
      </c>
      <c r="E7" s="9">
        <f>'Model inputs'!E93*'Model inputs'!E10</f>
        <v>0</v>
      </c>
      <c r="F7" s="9">
        <f>'Model inputs'!F93*'Model inputs'!F10</f>
        <v>0</v>
      </c>
      <c r="G7" s="9">
        <f>'Model inputs'!G93*'Model inputs'!G10</f>
        <v>40000</v>
      </c>
      <c r="H7" s="9">
        <f>'Model inputs'!H93*'Model inputs'!H10</f>
        <v>45999.99999999999</v>
      </c>
      <c r="I7" s="9">
        <f>'Model inputs'!I93*'Model inputs'!I10</f>
        <v>73733.33333333331</v>
      </c>
      <c r="J7" s="9">
        <f>'Model inputs'!J93*'Model inputs'!J10</f>
        <v>81668.33333333331</v>
      </c>
      <c r="K7" s="9">
        <f>'Model inputs'!K93*'Model inputs'!K10</f>
        <v>90793.5833333333</v>
      </c>
      <c r="L7" s="9">
        <f>'Model inputs'!L93*'Model inputs'!L10</f>
        <v>130454.28749999995</v>
      </c>
      <c r="M7" s="9">
        <f>'Model inputs'!M93*'Model inputs'!M10</f>
        <v>57008.97224999998</v>
      </c>
      <c r="N7" s="9">
        <f>'Model inputs'!N93*'Model inputs'!N10</f>
        <v>62560.31808749997</v>
      </c>
      <c r="O7" s="9">
        <f>'Model inputs'!O93*'Model inputs'!O10</f>
        <v>80611.03246729163</v>
      </c>
      <c r="P7" s="9">
        <f>'Model inputs'!P93*'Model inputs'!P10</f>
        <v>87952.68733738537</v>
      </c>
      <c r="Q7" s="9">
        <f>'Model inputs'!Q93*'Model inputs'!Q10</f>
        <v>96395.59043799317</v>
      </c>
      <c r="R7" s="9">
        <f>'Model inputs'!R93*'Model inputs'!R10</f>
        <v>114438.26233702549</v>
      </c>
      <c r="S7" s="9">
        <f>'Model inputs'!S93*'Model inputs'!S10</f>
        <v>125604.0016875793</v>
      </c>
      <c r="T7" s="9">
        <f>'Model inputs'!T93*'Model inputs'!T10</f>
        <v>138444.60194071618</v>
      </c>
      <c r="U7" s="9">
        <f>'Model inputs'!U93*'Model inputs'!U10</f>
        <v>166544.62556515692</v>
      </c>
      <c r="V7" s="9">
        <f>'Model inputs'!V93*'Model inputs'!V10</f>
        <v>183526.31939993048</v>
      </c>
      <c r="W7" s="9">
        <f>'Model inputs'!W93*'Model inputs'!W10</f>
        <v>203055.26730992005</v>
      </c>
      <c r="X7" s="9">
        <f>'Model inputs'!X93*'Model inputs'!X10</f>
        <v>233846.89073974133</v>
      </c>
      <c r="Y7" s="9">
        <f>'Model inputs'!Y93*'Model inputs'!Y10</f>
        <v>259673.92435070252</v>
      </c>
      <c r="Z7" s="9">
        <f>'Model inputs'!Z93*'Model inputs'!Z10</f>
        <v>297708.34633664123</v>
      </c>
      <c r="AA7" s="9">
        <f>'Model inputs'!AA93*'Model inputs'!AA10</f>
        <v>345197.9316204707</v>
      </c>
    </row>
    <row r="8">
      <c r="A8" t="inlineStr" s="14">
        <is>
          <t xml:space="preserve">Haq Cash collection fees</t>
        </is>
      </c>
      <c r="B8" s="9">
        <f>'Model inputs'!B9*'Model inputs'!AJ60</f>
        <v>0</v>
      </c>
      <c r="C8" s="9">
        <f>'Model inputs'!C9*'Model inputs'!AJ60</f>
        <v>0</v>
      </c>
      <c r="D8" s="9">
        <f>'Model inputs'!D9*'Model inputs'!AJ60</f>
        <v>0</v>
      </c>
      <c r="E8" s="9">
        <f>'Model inputs'!E9*'Model inputs'!AJ60</f>
        <v>0</v>
      </c>
      <c r="F8" s="9">
        <f>'Model inputs'!F9*'Model inputs'!AJ60</f>
        <v>0</v>
      </c>
      <c r="G8" s="9">
        <f>'Model inputs'!G9*'Model inputs'!AJ60</f>
        <v>1499</v>
      </c>
      <c r="H8" s="9">
        <f>'Model inputs'!H9*'Model inputs'!AJ60</f>
        <v>1723.8499999999997</v>
      </c>
      <c r="I8" s="9">
        <f>'Model inputs'!I9*'Model inputs'!AJ60</f>
        <v>11982.4275</v>
      </c>
      <c r="J8" s="9">
        <f>'Model inputs'!J9*'Model inputs'!AJ60</f>
        <v>2279.7916249999994</v>
      </c>
      <c r="K8" s="9">
        <f>'Model inputs'!K9*'Model inputs'!AJ60</f>
        <v>2621.7603687499986</v>
      </c>
      <c r="L8" s="9">
        <f>'Model inputs'!L9*'Model inputs'!AJ60</f>
        <v>23015.024424062496</v>
      </c>
      <c r="M8" s="9">
        <f>'Model inputs'!M9*'Model inputs'!AJ60</f>
        <v>3467.278087671873</v>
      </c>
      <c r="N8" s="9">
        <f>'Model inputs'!N9*'Model inputs'!AJ60</f>
        <v>3987.369800822654</v>
      </c>
      <c r="O8" s="9">
        <f>'Model inputs'!O9*'Model inputs'!AJ60</f>
        <v>24585.475270946055</v>
      </c>
      <c r="P8" s="9">
        <f>'Model inputs'!P9*'Model inputs'!AJ60</f>
        <v>5273.296561587959</v>
      </c>
      <c r="Q8" s="9">
        <f>'Model inputs'!Q9*'Model inputs'!AJ60</f>
        <v>6064.291045826152</v>
      </c>
      <c r="R8" s="9">
        <f>'Model inputs'!R9*'Model inputs'!AJ60</f>
        <v>16973.934702700073</v>
      </c>
      <c r="S8" s="9">
        <f>'Model inputs'!S9*'Model inputs'!AJ60</f>
        <v>8020.024908105085</v>
      </c>
      <c r="T8" s="9">
        <f>'Model inputs'!T9*'Model inputs'!AJ60</f>
        <v>9223.028644320848</v>
      </c>
      <c r="U8" s="9">
        <f>'Model inputs'!U9*'Model inputs'!AJ60</f>
        <v>45606.48294096898</v>
      </c>
      <c r="V8" s="9">
        <f>'Model inputs'!V9*'Model inputs'!AJ60</f>
        <v>12197.455382114318</v>
      </c>
      <c r="W8" s="9">
        <f>'Model inputs'!W9*'Model inputs'!AJ60</f>
        <v>14027.073689431467</v>
      </c>
      <c r="X8" s="9">
        <f>'Model inputs'!X9*'Model inputs'!AJ60</f>
        <v>46131.13474284618</v>
      </c>
      <c r="Y8" s="9">
        <f>'Model inputs'!Y9*'Model inputs'!AJ60</f>
        <v>18550.80495427311</v>
      </c>
      <c r="Z8" s="9">
        <f>'Model inputs'!Z9*'Model inputs'!AJ60</f>
        <v>31333.425697414074</v>
      </c>
      <c r="AA8" s="9">
        <f>'Model inputs'!AA9*'Model inputs'!AJ60</f>
        <v>69533.43955202619</v>
      </c>
    </row>
    <row r="9">
      <c r="A9" t="inlineStr" s="14">
        <is>
          <t xml:space="preserve">Haq Cash receipts</t>
        </is>
      </c>
      <c r="B9" s="9">
        <f>'Model inputs'!B15+'Model inputs'!B19+'Model inputs'!B26</f>
        <v>0</v>
      </c>
      <c r="C9" s="9">
        <f>'Model inputs'!C15+'Model inputs'!C19+'Model inputs'!C26</f>
        <v>0</v>
      </c>
      <c r="D9" s="9">
        <f>'Model inputs'!D15+'Model inputs'!D19+'Model inputs'!D26</f>
        <v>0</v>
      </c>
      <c r="E9" s="9">
        <f>'Model inputs'!E15+'Model inputs'!E19+'Model inputs'!E26</f>
        <v>0</v>
      </c>
      <c r="F9" s="9">
        <f>'Model inputs'!F15+'Model inputs'!F19+'Model inputs'!F26</f>
        <v>0</v>
      </c>
      <c r="G9" s="9">
        <f>'Model inputs'!G15+'Model inputs'!G19+'Model inputs'!G26</f>
        <v>74950</v>
      </c>
      <c r="H9" s="9">
        <f>'Model inputs'!H15+'Model inputs'!H19+'Model inputs'!H26</f>
        <v>86192.49999999999</v>
      </c>
      <c r="I9" s="9">
        <f>'Model inputs'!I15+'Model inputs'!I19+'Model inputs'!I26</f>
        <v>599121.375</v>
      </c>
      <c r="J9" s="9">
        <f>'Model inputs'!J15+'Model inputs'!J19+'Model inputs'!J26</f>
        <v>113989.58124999996</v>
      </c>
      <c r="K9" s="9">
        <f>'Model inputs'!K15+'Model inputs'!K19+'Model inputs'!K26</f>
        <v>131088.01843749994</v>
      </c>
      <c r="L9" s="9">
        <f>'Model inputs'!L15+'Model inputs'!L19+'Model inputs'!L26</f>
        <v>1150751.2212031248</v>
      </c>
      <c r="M9" s="9">
        <f>'Model inputs'!M15+'Model inputs'!M19+'Model inputs'!M26</f>
        <v>173363.90438359365</v>
      </c>
      <c r="N9" s="9">
        <f>'Model inputs'!N15+'Model inputs'!N19+'Model inputs'!N26</f>
        <v>199368.4900411327</v>
      </c>
      <c r="O9" s="9">
        <f>'Model inputs'!O15+'Model inputs'!O19+'Model inputs'!O26</f>
        <v>1229273.7635473027</v>
      </c>
      <c r="P9" s="9">
        <f>'Model inputs'!P15+'Model inputs'!P19+'Model inputs'!P26</f>
        <v>263664.82807939796</v>
      </c>
      <c r="Q9" s="9">
        <f>'Model inputs'!Q15+'Model inputs'!Q19+'Model inputs'!Q26</f>
        <v>303214.5522913076</v>
      </c>
      <c r="R9" s="9">
        <f>'Model inputs'!R15+'Model inputs'!R19+'Model inputs'!R26</f>
        <v>848696.7351350037</v>
      </c>
      <c r="S9" s="9">
        <f>'Model inputs'!S15+'Model inputs'!S19+'Model inputs'!S26</f>
        <v>401001.24540525425</v>
      </c>
      <c r="T9" s="9">
        <f>'Model inputs'!T15+'Model inputs'!T19+'Model inputs'!T26</f>
        <v>461151.43221604236</v>
      </c>
      <c r="U9" s="9">
        <f>'Model inputs'!U15+'Model inputs'!U19+'Model inputs'!U26</f>
        <v>2280324.1470484487</v>
      </c>
      <c r="V9" s="9">
        <f>'Model inputs'!V15+'Model inputs'!V19+'Model inputs'!V26</f>
        <v>609872.7691057159</v>
      </c>
      <c r="W9" s="9">
        <f>'Model inputs'!W15+'Model inputs'!W19+'Model inputs'!W26</f>
        <v>701353.6844715733</v>
      </c>
      <c r="X9" s="9">
        <f>'Model inputs'!X15+'Model inputs'!X19+'Model inputs'!X26</f>
        <v>2306556.737142309</v>
      </c>
      <c r="Y9" s="9">
        <f>'Model inputs'!Y15+'Model inputs'!Y19+'Model inputs'!Y26</f>
        <v>927540.2477136555</v>
      </c>
      <c r="Z9" s="9">
        <f>'Model inputs'!Z15+'Model inputs'!Z19+'Model inputs'!Z26</f>
        <v>1566671.2848707037</v>
      </c>
      <c r="AA9" s="9">
        <f>'Model inputs'!AA15+'Model inputs'!AA19+'Model inputs'!AA26</f>
        <v>3476671.9776013093</v>
      </c>
    </row>
    <row r="10">
      <c r="A10" t="inlineStr" s="14">
        <is>
          <t xml:space="preserve">Haq check cost</t>
        </is>
      </c>
      <c r="B10" s="9">
        <f>IF(IF(IF(ISERROR('Model inputs'!B89&lt;'Model inputs'!AJ54),'Model inputs'!B89&lt;'Model inputs'!AJ54,IF(OR('Model inputs'!B89="",'Model inputs'!AJ54=""),"",'Model inputs'!B89&lt;'Model inputs'!AJ54))="",FALSE,IF(ISERROR('Model inputs'!B89&lt;'Model inputs'!AJ54),'Model inputs'!B89&lt;'Model inputs'!AJ54,IF(OR('Model inputs'!B89="",'Model inputs'!AJ54=""),"",'Model inputs'!B89&lt;'Model inputs'!AJ54))),IF('Model inputs'!AJ87="","",'Model inputs'!AJ87),IF(IF(IF(ISERROR('Model inputs'!B89&lt;'Model inputs'!AJ84),'Model inputs'!B89&lt;'Model inputs'!AJ84,IF(OR('Model inputs'!B89="",'Model inputs'!AJ84=""),"",'Model inputs'!B89&lt;'Model inputs'!AJ84))="",FALSE,IF(ISERROR('Model inputs'!B89&lt;'Model inputs'!AJ84),'Model inputs'!B89&lt;'Model inputs'!AJ84,IF(OR('Model inputs'!B89="",'Model inputs'!AJ84=""),"",'Model inputs'!B89&lt;'Model inputs'!AJ84))),IF('Model inputs'!AJ55="","",'Model inputs'!AJ55),IF('Model inputs'!AJ85="","",'Model inputs'!AJ85)))</f>
        <v>20</v>
      </c>
      <c r="C10" s="9">
        <f>IF(IF(IF(ISERROR('Model inputs'!C89&lt;'Model inputs'!AJ54),'Model inputs'!C89&lt;'Model inputs'!AJ54,IF(OR('Model inputs'!C89="",'Model inputs'!AJ54=""),"",'Model inputs'!C89&lt;'Model inputs'!AJ54))="",FALSE,IF(ISERROR('Model inputs'!C89&lt;'Model inputs'!AJ54),'Model inputs'!C89&lt;'Model inputs'!AJ54,IF(OR('Model inputs'!C89="",'Model inputs'!AJ54=""),"",'Model inputs'!C89&lt;'Model inputs'!AJ54))),IF('Model inputs'!AJ87="","",'Model inputs'!AJ87),IF(IF(IF(ISERROR('Model inputs'!C89&lt;'Model inputs'!AJ84),'Model inputs'!C89&lt;'Model inputs'!AJ84,IF(OR('Model inputs'!C89="",'Model inputs'!AJ84=""),"",'Model inputs'!C89&lt;'Model inputs'!AJ84))="",FALSE,IF(ISERROR('Model inputs'!C89&lt;'Model inputs'!AJ84),'Model inputs'!C89&lt;'Model inputs'!AJ84,IF(OR('Model inputs'!C89="",'Model inputs'!AJ84=""),"",'Model inputs'!C89&lt;'Model inputs'!AJ84))),IF('Model inputs'!AJ55="","",'Model inputs'!AJ55),IF('Model inputs'!AJ85="","",'Model inputs'!AJ85)))</f>
        <v>20</v>
      </c>
      <c r="D10" s="9">
        <f>IF(IF(IF(ISERROR('Model inputs'!D89&lt;'Model inputs'!AJ54),'Model inputs'!D89&lt;'Model inputs'!AJ54,IF(OR('Model inputs'!D89="",'Model inputs'!AJ54=""),"",'Model inputs'!D89&lt;'Model inputs'!AJ54))="",FALSE,IF(ISERROR('Model inputs'!D89&lt;'Model inputs'!AJ54),'Model inputs'!D89&lt;'Model inputs'!AJ54,IF(OR('Model inputs'!D89="",'Model inputs'!AJ54=""),"",'Model inputs'!D89&lt;'Model inputs'!AJ54))),IF('Model inputs'!AJ87="","",'Model inputs'!AJ87),IF(IF(IF(ISERROR('Model inputs'!D89&lt;'Model inputs'!AJ84),'Model inputs'!D89&lt;'Model inputs'!AJ84,IF(OR('Model inputs'!D89="",'Model inputs'!AJ84=""),"",'Model inputs'!D89&lt;'Model inputs'!AJ84))="",FALSE,IF(ISERROR('Model inputs'!D89&lt;'Model inputs'!AJ84),'Model inputs'!D89&lt;'Model inputs'!AJ84,IF(OR('Model inputs'!D89="",'Model inputs'!AJ84=""),"",'Model inputs'!D89&lt;'Model inputs'!AJ84))),IF('Model inputs'!AJ55="","",'Model inputs'!AJ55),IF('Model inputs'!AJ85="","",'Model inputs'!AJ85)))</f>
        <v>20</v>
      </c>
      <c r="E10" s="9">
        <f>IF(IF(IF(ISERROR('Model inputs'!E89&lt;'Model inputs'!AJ54),'Model inputs'!E89&lt;'Model inputs'!AJ54,IF(OR('Model inputs'!E89="",'Model inputs'!AJ54=""),"",'Model inputs'!E89&lt;'Model inputs'!AJ54))="",FALSE,IF(ISERROR('Model inputs'!E89&lt;'Model inputs'!AJ54),'Model inputs'!E89&lt;'Model inputs'!AJ54,IF(OR('Model inputs'!E89="",'Model inputs'!AJ54=""),"",'Model inputs'!E89&lt;'Model inputs'!AJ54))),IF('Model inputs'!AJ87="","",'Model inputs'!AJ87),IF(IF(IF(ISERROR('Model inputs'!E89&lt;'Model inputs'!AJ84),'Model inputs'!E89&lt;'Model inputs'!AJ84,IF(OR('Model inputs'!E89="",'Model inputs'!AJ84=""),"",'Model inputs'!E89&lt;'Model inputs'!AJ84))="",FALSE,IF(ISERROR('Model inputs'!E89&lt;'Model inputs'!AJ84),'Model inputs'!E89&lt;'Model inputs'!AJ84,IF(OR('Model inputs'!E89="",'Model inputs'!AJ84=""),"",'Model inputs'!E89&lt;'Model inputs'!AJ84))),IF('Model inputs'!AJ55="","",'Model inputs'!AJ55),IF('Model inputs'!AJ85="","",'Model inputs'!AJ85)))</f>
        <v>20</v>
      </c>
      <c r="F10" s="9">
        <f>IF(IF(IF(ISERROR('Model inputs'!F89&lt;'Model inputs'!AJ54),'Model inputs'!F89&lt;'Model inputs'!AJ54,IF(OR('Model inputs'!F89="",'Model inputs'!AJ54=""),"",'Model inputs'!F89&lt;'Model inputs'!AJ54))="",FALSE,IF(ISERROR('Model inputs'!F89&lt;'Model inputs'!AJ54),'Model inputs'!F89&lt;'Model inputs'!AJ54,IF(OR('Model inputs'!F89="",'Model inputs'!AJ54=""),"",'Model inputs'!F89&lt;'Model inputs'!AJ54))),IF('Model inputs'!AJ87="","",'Model inputs'!AJ87),IF(IF(IF(ISERROR('Model inputs'!F89&lt;'Model inputs'!AJ84),'Model inputs'!F89&lt;'Model inputs'!AJ84,IF(OR('Model inputs'!F89="",'Model inputs'!AJ84=""),"",'Model inputs'!F89&lt;'Model inputs'!AJ84))="",FALSE,IF(ISERROR('Model inputs'!F89&lt;'Model inputs'!AJ84),'Model inputs'!F89&lt;'Model inputs'!AJ84,IF(OR('Model inputs'!F89="",'Model inputs'!AJ84=""),"",'Model inputs'!F89&lt;'Model inputs'!AJ84))),IF('Model inputs'!AJ55="","",'Model inputs'!AJ55),IF('Model inputs'!AJ85="","",'Model inputs'!AJ85)))</f>
        <v>20</v>
      </c>
      <c r="G10" s="9">
        <f>IF(IF(IF(ISERROR('Model inputs'!G89&lt;'Model inputs'!AJ54),'Model inputs'!G89&lt;'Model inputs'!AJ54,IF(OR('Model inputs'!G89="",'Model inputs'!AJ54=""),"",'Model inputs'!G89&lt;'Model inputs'!AJ54))="",FALSE,IF(ISERROR('Model inputs'!G89&lt;'Model inputs'!AJ54),'Model inputs'!G89&lt;'Model inputs'!AJ54,IF(OR('Model inputs'!G89="",'Model inputs'!AJ54=""),"",'Model inputs'!G89&lt;'Model inputs'!AJ54))),IF('Model inputs'!AJ87="","",'Model inputs'!AJ87),IF(IF(IF(ISERROR('Model inputs'!G89&lt;'Model inputs'!AJ84),'Model inputs'!G89&lt;'Model inputs'!AJ84,IF(OR('Model inputs'!G89="",'Model inputs'!AJ84=""),"",'Model inputs'!G89&lt;'Model inputs'!AJ84))="",FALSE,IF(ISERROR('Model inputs'!G89&lt;'Model inputs'!AJ84),'Model inputs'!G89&lt;'Model inputs'!AJ84,IF(OR('Model inputs'!G89="",'Model inputs'!AJ84=""),"",'Model inputs'!G89&lt;'Model inputs'!AJ84))),IF('Model inputs'!AJ55="","",'Model inputs'!AJ55),IF('Model inputs'!AJ85="","",'Model inputs'!AJ85)))</f>
        <v>10</v>
      </c>
      <c r="H10" s="9">
        <f>IF(IF(IF(ISERROR('Model inputs'!H89&lt;'Model inputs'!AJ54),'Model inputs'!H89&lt;'Model inputs'!AJ54,IF(OR('Model inputs'!H89="",'Model inputs'!AJ54=""),"",'Model inputs'!H89&lt;'Model inputs'!AJ54))="",FALSE,IF(ISERROR('Model inputs'!H89&lt;'Model inputs'!AJ54),'Model inputs'!H89&lt;'Model inputs'!AJ54,IF(OR('Model inputs'!H89="",'Model inputs'!AJ54=""),"",'Model inputs'!H89&lt;'Model inputs'!AJ54))),IF('Model inputs'!AJ87="","",'Model inputs'!AJ87),IF(IF(IF(ISERROR('Model inputs'!H89&lt;'Model inputs'!AJ84),'Model inputs'!H89&lt;'Model inputs'!AJ84,IF(OR('Model inputs'!H89="",'Model inputs'!AJ84=""),"",'Model inputs'!H89&lt;'Model inputs'!AJ84))="",FALSE,IF(ISERROR('Model inputs'!H89&lt;'Model inputs'!AJ84),'Model inputs'!H89&lt;'Model inputs'!AJ84,IF(OR('Model inputs'!H89="",'Model inputs'!AJ84=""),"",'Model inputs'!H89&lt;'Model inputs'!AJ84))),IF('Model inputs'!AJ55="","",'Model inputs'!AJ55),IF('Model inputs'!AJ85="","",'Model inputs'!AJ85)))</f>
        <v>10</v>
      </c>
      <c r="I10" s="9">
        <f>IF(IF(IF(ISERROR('Model inputs'!I89&lt;'Model inputs'!AJ54),'Model inputs'!I89&lt;'Model inputs'!AJ54,IF(OR('Model inputs'!I89="",'Model inputs'!AJ54=""),"",'Model inputs'!I89&lt;'Model inputs'!AJ54))="",FALSE,IF(ISERROR('Model inputs'!I89&lt;'Model inputs'!AJ54),'Model inputs'!I89&lt;'Model inputs'!AJ54,IF(OR('Model inputs'!I89="",'Model inputs'!AJ54=""),"",'Model inputs'!I89&lt;'Model inputs'!AJ54))),IF('Model inputs'!AJ87="","",'Model inputs'!AJ87),IF(IF(IF(ISERROR('Model inputs'!I89&lt;'Model inputs'!AJ84),'Model inputs'!I89&lt;'Model inputs'!AJ84,IF(OR('Model inputs'!I89="",'Model inputs'!AJ84=""),"",'Model inputs'!I89&lt;'Model inputs'!AJ84))="",FALSE,IF(ISERROR('Model inputs'!I89&lt;'Model inputs'!AJ84),'Model inputs'!I89&lt;'Model inputs'!AJ84,IF(OR('Model inputs'!I89="",'Model inputs'!AJ84=""),"",'Model inputs'!I89&lt;'Model inputs'!AJ84))),IF('Model inputs'!AJ55="","",'Model inputs'!AJ55),IF('Model inputs'!AJ85="","",'Model inputs'!AJ85)))</f>
        <v>10</v>
      </c>
      <c r="J10" s="9">
        <f>IF(IF(IF(ISERROR('Model inputs'!J89&lt;'Model inputs'!AJ54),'Model inputs'!J89&lt;'Model inputs'!AJ54,IF(OR('Model inputs'!J89="",'Model inputs'!AJ54=""),"",'Model inputs'!J89&lt;'Model inputs'!AJ54))="",FALSE,IF(ISERROR('Model inputs'!J89&lt;'Model inputs'!AJ54),'Model inputs'!J89&lt;'Model inputs'!AJ54,IF(OR('Model inputs'!J89="",'Model inputs'!AJ54=""),"",'Model inputs'!J89&lt;'Model inputs'!AJ54))),IF('Model inputs'!AJ87="","",'Model inputs'!AJ87),IF(IF(IF(ISERROR('Model inputs'!J89&lt;'Model inputs'!AJ84),'Model inputs'!J89&lt;'Model inputs'!AJ84,IF(OR('Model inputs'!J89="",'Model inputs'!AJ84=""),"",'Model inputs'!J89&lt;'Model inputs'!AJ84))="",FALSE,IF(ISERROR('Model inputs'!J89&lt;'Model inputs'!AJ84),'Model inputs'!J89&lt;'Model inputs'!AJ84,IF(OR('Model inputs'!J89="",'Model inputs'!AJ84=""),"",'Model inputs'!J89&lt;'Model inputs'!AJ84))),IF('Model inputs'!AJ55="","",'Model inputs'!AJ55),IF('Model inputs'!AJ85="","",'Model inputs'!AJ85)))</f>
        <v>10</v>
      </c>
      <c r="K10" s="9">
        <f>IF(IF(IF(ISERROR('Model inputs'!K89&lt;'Model inputs'!AJ54),'Model inputs'!K89&lt;'Model inputs'!AJ54,IF(OR('Model inputs'!K89="",'Model inputs'!AJ54=""),"",'Model inputs'!K89&lt;'Model inputs'!AJ54))="",FALSE,IF(ISERROR('Model inputs'!K89&lt;'Model inputs'!AJ54),'Model inputs'!K89&lt;'Model inputs'!AJ54,IF(OR('Model inputs'!K89="",'Model inputs'!AJ54=""),"",'Model inputs'!K89&lt;'Model inputs'!AJ54))),IF('Model inputs'!AJ87="","",'Model inputs'!AJ87),IF(IF(IF(ISERROR('Model inputs'!K89&lt;'Model inputs'!AJ84),'Model inputs'!K89&lt;'Model inputs'!AJ84,IF(OR('Model inputs'!K89="",'Model inputs'!AJ84=""),"",'Model inputs'!K89&lt;'Model inputs'!AJ84))="",FALSE,IF(ISERROR('Model inputs'!K89&lt;'Model inputs'!AJ84),'Model inputs'!K89&lt;'Model inputs'!AJ84,IF(OR('Model inputs'!K89="",'Model inputs'!AJ84=""),"",'Model inputs'!K89&lt;'Model inputs'!AJ84))),IF('Model inputs'!AJ55="","",'Model inputs'!AJ55),IF('Model inputs'!AJ85="","",'Model inputs'!AJ85)))</f>
        <v>10</v>
      </c>
      <c r="L10" s="9">
        <f>IF(IF(IF(ISERROR('Model inputs'!L89&lt;'Model inputs'!AJ54),'Model inputs'!L89&lt;'Model inputs'!AJ54,IF(OR('Model inputs'!L89="",'Model inputs'!AJ54=""),"",'Model inputs'!L89&lt;'Model inputs'!AJ54))="",FALSE,IF(ISERROR('Model inputs'!L89&lt;'Model inputs'!AJ54),'Model inputs'!L89&lt;'Model inputs'!AJ54,IF(OR('Model inputs'!L89="",'Model inputs'!AJ54=""),"",'Model inputs'!L89&lt;'Model inputs'!AJ54))),IF('Model inputs'!AJ87="","",'Model inputs'!AJ87),IF(IF(IF(ISERROR('Model inputs'!L89&lt;'Model inputs'!AJ84),'Model inputs'!L89&lt;'Model inputs'!AJ84,IF(OR('Model inputs'!L89="",'Model inputs'!AJ84=""),"",'Model inputs'!L89&lt;'Model inputs'!AJ84))="",FALSE,IF(ISERROR('Model inputs'!L89&lt;'Model inputs'!AJ84),'Model inputs'!L89&lt;'Model inputs'!AJ84,IF(OR('Model inputs'!L89="",'Model inputs'!AJ84=""),"",'Model inputs'!L89&lt;'Model inputs'!AJ84))),IF('Model inputs'!AJ55="","",'Model inputs'!AJ55),IF('Model inputs'!AJ85="","",'Model inputs'!AJ85)))</f>
        <v>10</v>
      </c>
      <c r="M10" s="9">
        <f>IF(IF(IF(ISERROR('Model inputs'!M89&lt;'Model inputs'!AJ54),'Model inputs'!M89&lt;'Model inputs'!AJ54,IF(OR('Model inputs'!M89="",'Model inputs'!AJ54=""),"",'Model inputs'!M89&lt;'Model inputs'!AJ54))="",FALSE,IF(ISERROR('Model inputs'!M89&lt;'Model inputs'!AJ54),'Model inputs'!M89&lt;'Model inputs'!AJ54,IF(OR('Model inputs'!M89="",'Model inputs'!AJ54=""),"",'Model inputs'!M89&lt;'Model inputs'!AJ54))),IF('Model inputs'!AJ87="","",'Model inputs'!AJ87),IF(IF(IF(ISERROR('Model inputs'!M89&lt;'Model inputs'!AJ84),'Model inputs'!M89&lt;'Model inputs'!AJ84,IF(OR('Model inputs'!M89="",'Model inputs'!AJ84=""),"",'Model inputs'!M89&lt;'Model inputs'!AJ84))="",FALSE,IF(ISERROR('Model inputs'!M89&lt;'Model inputs'!AJ84),'Model inputs'!M89&lt;'Model inputs'!AJ84,IF(OR('Model inputs'!M89="",'Model inputs'!AJ84=""),"",'Model inputs'!M89&lt;'Model inputs'!AJ84))),IF('Model inputs'!AJ55="","",'Model inputs'!AJ55),IF('Model inputs'!AJ85="","",'Model inputs'!AJ85)))</f>
        <v>4</v>
      </c>
      <c r="N10" s="9">
        <f>IF(IF(IF(ISERROR('Model inputs'!N89&lt;'Model inputs'!AJ54),'Model inputs'!N89&lt;'Model inputs'!AJ54,IF(OR('Model inputs'!N89="",'Model inputs'!AJ54=""),"",'Model inputs'!N89&lt;'Model inputs'!AJ54))="",FALSE,IF(ISERROR('Model inputs'!N89&lt;'Model inputs'!AJ54),'Model inputs'!N89&lt;'Model inputs'!AJ54,IF(OR('Model inputs'!N89="",'Model inputs'!AJ54=""),"",'Model inputs'!N89&lt;'Model inputs'!AJ54))),IF('Model inputs'!AJ87="","",'Model inputs'!AJ87),IF(IF(IF(ISERROR('Model inputs'!N89&lt;'Model inputs'!AJ84),'Model inputs'!N89&lt;'Model inputs'!AJ84,IF(OR('Model inputs'!N89="",'Model inputs'!AJ84=""),"",'Model inputs'!N89&lt;'Model inputs'!AJ84))="",FALSE,IF(ISERROR('Model inputs'!N89&lt;'Model inputs'!AJ84),'Model inputs'!N89&lt;'Model inputs'!AJ84,IF(OR('Model inputs'!N89="",'Model inputs'!AJ84=""),"",'Model inputs'!N89&lt;'Model inputs'!AJ84))),IF('Model inputs'!AJ55="","",'Model inputs'!AJ55),IF('Model inputs'!AJ85="","",'Model inputs'!AJ85)))</f>
        <v>4</v>
      </c>
      <c r="O10" s="9">
        <f>IF(IF(IF(ISERROR('Model inputs'!O89&lt;'Model inputs'!AJ54),'Model inputs'!O89&lt;'Model inputs'!AJ54,IF(OR('Model inputs'!O89="",'Model inputs'!AJ54=""),"",'Model inputs'!O89&lt;'Model inputs'!AJ54))="",FALSE,IF(ISERROR('Model inputs'!O89&lt;'Model inputs'!AJ54),'Model inputs'!O89&lt;'Model inputs'!AJ54,IF(OR('Model inputs'!O89="",'Model inputs'!AJ54=""),"",'Model inputs'!O89&lt;'Model inputs'!AJ54))),IF('Model inputs'!AJ87="","",'Model inputs'!AJ87),IF(IF(IF(ISERROR('Model inputs'!O89&lt;'Model inputs'!AJ84),'Model inputs'!O89&lt;'Model inputs'!AJ84,IF(OR('Model inputs'!O89="",'Model inputs'!AJ84=""),"",'Model inputs'!O89&lt;'Model inputs'!AJ84))="",FALSE,IF(ISERROR('Model inputs'!O89&lt;'Model inputs'!AJ84),'Model inputs'!O89&lt;'Model inputs'!AJ84,IF(OR('Model inputs'!O89="",'Model inputs'!AJ84=""),"",'Model inputs'!O89&lt;'Model inputs'!AJ84))),IF('Model inputs'!AJ55="","",'Model inputs'!AJ55),IF('Model inputs'!AJ85="","",'Model inputs'!AJ85)))</f>
        <v>4</v>
      </c>
      <c r="P10" s="9">
        <f>IF(IF(IF(ISERROR('Model inputs'!P89&lt;'Model inputs'!AJ54),'Model inputs'!P89&lt;'Model inputs'!AJ54,IF(OR('Model inputs'!P89="",'Model inputs'!AJ54=""),"",'Model inputs'!P89&lt;'Model inputs'!AJ54))="",FALSE,IF(ISERROR('Model inputs'!P89&lt;'Model inputs'!AJ54),'Model inputs'!P89&lt;'Model inputs'!AJ54,IF(OR('Model inputs'!P89="",'Model inputs'!AJ54=""),"",'Model inputs'!P89&lt;'Model inputs'!AJ54))),IF('Model inputs'!AJ87="","",'Model inputs'!AJ87),IF(IF(IF(ISERROR('Model inputs'!P89&lt;'Model inputs'!AJ84),'Model inputs'!P89&lt;'Model inputs'!AJ84,IF(OR('Model inputs'!P89="",'Model inputs'!AJ84=""),"",'Model inputs'!P89&lt;'Model inputs'!AJ84))="",FALSE,IF(ISERROR('Model inputs'!P89&lt;'Model inputs'!AJ84),'Model inputs'!P89&lt;'Model inputs'!AJ84,IF(OR('Model inputs'!P89="",'Model inputs'!AJ84=""),"",'Model inputs'!P89&lt;'Model inputs'!AJ84))),IF('Model inputs'!AJ55="","",'Model inputs'!AJ55),IF('Model inputs'!AJ85="","",'Model inputs'!AJ85)))</f>
        <v>4</v>
      </c>
      <c r="Q10" s="9">
        <f>IF(IF(IF(ISERROR('Model inputs'!Q89&lt;'Model inputs'!AJ54),'Model inputs'!Q89&lt;'Model inputs'!AJ54,IF(OR('Model inputs'!Q89="",'Model inputs'!AJ54=""),"",'Model inputs'!Q89&lt;'Model inputs'!AJ54))="",FALSE,IF(ISERROR('Model inputs'!Q89&lt;'Model inputs'!AJ54),'Model inputs'!Q89&lt;'Model inputs'!AJ54,IF(OR('Model inputs'!Q89="",'Model inputs'!AJ54=""),"",'Model inputs'!Q89&lt;'Model inputs'!AJ54))),IF('Model inputs'!AJ87="","",'Model inputs'!AJ87),IF(IF(IF(ISERROR('Model inputs'!Q89&lt;'Model inputs'!AJ84),'Model inputs'!Q89&lt;'Model inputs'!AJ84,IF(OR('Model inputs'!Q89="",'Model inputs'!AJ84=""),"",'Model inputs'!Q89&lt;'Model inputs'!AJ84))="",FALSE,IF(ISERROR('Model inputs'!Q89&lt;'Model inputs'!AJ84),'Model inputs'!Q89&lt;'Model inputs'!AJ84,IF(OR('Model inputs'!Q89="",'Model inputs'!AJ84=""),"",'Model inputs'!Q89&lt;'Model inputs'!AJ84))),IF('Model inputs'!AJ55="","",'Model inputs'!AJ55),IF('Model inputs'!AJ85="","",'Model inputs'!AJ85)))</f>
        <v>4</v>
      </c>
      <c r="R10" s="9">
        <f>IF(IF(IF(ISERROR('Model inputs'!R89&lt;'Model inputs'!AJ54),'Model inputs'!R89&lt;'Model inputs'!AJ54,IF(OR('Model inputs'!R89="",'Model inputs'!AJ54=""),"",'Model inputs'!R89&lt;'Model inputs'!AJ54))="",FALSE,IF(ISERROR('Model inputs'!R89&lt;'Model inputs'!AJ54),'Model inputs'!R89&lt;'Model inputs'!AJ54,IF(OR('Model inputs'!R89="",'Model inputs'!AJ54=""),"",'Model inputs'!R89&lt;'Model inputs'!AJ54))),IF('Model inputs'!AJ87="","",'Model inputs'!AJ87),IF(IF(IF(ISERROR('Model inputs'!R89&lt;'Model inputs'!AJ84),'Model inputs'!R89&lt;'Model inputs'!AJ84,IF(OR('Model inputs'!R89="",'Model inputs'!AJ84=""),"",'Model inputs'!R89&lt;'Model inputs'!AJ84))="",FALSE,IF(ISERROR('Model inputs'!R89&lt;'Model inputs'!AJ84),'Model inputs'!R89&lt;'Model inputs'!AJ84,IF(OR('Model inputs'!R89="",'Model inputs'!AJ84=""),"",'Model inputs'!R89&lt;'Model inputs'!AJ84))),IF('Model inputs'!AJ55="","",'Model inputs'!AJ55),IF('Model inputs'!AJ85="","",'Model inputs'!AJ85)))</f>
        <v>4</v>
      </c>
      <c r="S10" s="9">
        <f>IF(IF(IF(ISERROR('Model inputs'!S89&lt;'Model inputs'!AJ54),'Model inputs'!S89&lt;'Model inputs'!AJ54,IF(OR('Model inputs'!S89="",'Model inputs'!AJ54=""),"",'Model inputs'!S89&lt;'Model inputs'!AJ54))="",FALSE,IF(ISERROR('Model inputs'!S89&lt;'Model inputs'!AJ54),'Model inputs'!S89&lt;'Model inputs'!AJ54,IF(OR('Model inputs'!S89="",'Model inputs'!AJ54=""),"",'Model inputs'!S89&lt;'Model inputs'!AJ54))),IF('Model inputs'!AJ87="","",'Model inputs'!AJ87),IF(IF(IF(ISERROR('Model inputs'!S89&lt;'Model inputs'!AJ84),'Model inputs'!S89&lt;'Model inputs'!AJ84,IF(OR('Model inputs'!S89="",'Model inputs'!AJ84=""),"",'Model inputs'!S89&lt;'Model inputs'!AJ84))="",FALSE,IF(ISERROR('Model inputs'!S89&lt;'Model inputs'!AJ84),'Model inputs'!S89&lt;'Model inputs'!AJ84,IF(OR('Model inputs'!S89="",'Model inputs'!AJ84=""),"",'Model inputs'!S89&lt;'Model inputs'!AJ84))),IF('Model inputs'!AJ55="","",'Model inputs'!AJ55),IF('Model inputs'!AJ85="","",'Model inputs'!AJ85)))</f>
        <v>4</v>
      </c>
      <c r="T10" s="9">
        <f>IF(IF(IF(ISERROR('Model inputs'!T89&lt;'Model inputs'!AJ54),'Model inputs'!T89&lt;'Model inputs'!AJ54,IF(OR('Model inputs'!T89="",'Model inputs'!AJ54=""),"",'Model inputs'!T89&lt;'Model inputs'!AJ54))="",FALSE,IF(ISERROR('Model inputs'!T89&lt;'Model inputs'!AJ54),'Model inputs'!T89&lt;'Model inputs'!AJ54,IF(OR('Model inputs'!T89="",'Model inputs'!AJ54=""),"",'Model inputs'!T89&lt;'Model inputs'!AJ54))),IF('Model inputs'!AJ87="","",'Model inputs'!AJ87),IF(IF(IF(ISERROR('Model inputs'!T89&lt;'Model inputs'!AJ84),'Model inputs'!T89&lt;'Model inputs'!AJ84,IF(OR('Model inputs'!T89="",'Model inputs'!AJ84=""),"",'Model inputs'!T89&lt;'Model inputs'!AJ84))="",FALSE,IF(ISERROR('Model inputs'!T89&lt;'Model inputs'!AJ84),'Model inputs'!T89&lt;'Model inputs'!AJ84,IF(OR('Model inputs'!T89="",'Model inputs'!AJ84=""),"",'Model inputs'!T89&lt;'Model inputs'!AJ84))),IF('Model inputs'!AJ55="","",'Model inputs'!AJ55),IF('Model inputs'!AJ85="","",'Model inputs'!AJ85)))</f>
        <v>4</v>
      </c>
      <c r="U10" s="9">
        <f>IF(IF(IF(ISERROR('Model inputs'!U89&lt;'Model inputs'!AJ54),'Model inputs'!U89&lt;'Model inputs'!AJ54,IF(OR('Model inputs'!U89="",'Model inputs'!AJ54=""),"",'Model inputs'!U89&lt;'Model inputs'!AJ54))="",FALSE,IF(ISERROR('Model inputs'!U89&lt;'Model inputs'!AJ54),'Model inputs'!U89&lt;'Model inputs'!AJ54,IF(OR('Model inputs'!U89="",'Model inputs'!AJ54=""),"",'Model inputs'!U89&lt;'Model inputs'!AJ54))),IF('Model inputs'!AJ87="","",'Model inputs'!AJ87),IF(IF(IF(ISERROR('Model inputs'!U89&lt;'Model inputs'!AJ84),'Model inputs'!U89&lt;'Model inputs'!AJ84,IF(OR('Model inputs'!U89="",'Model inputs'!AJ84=""),"",'Model inputs'!U89&lt;'Model inputs'!AJ84))="",FALSE,IF(ISERROR('Model inputs'!U89&lt;'Model inputs'!AJ84),'Model inputs'!U89&lt;'Model inputs'!AJ84,IF(OR('Model inputs'!U89="",'Model inputs'!AJ84=""),"",'Model inputs'!U89&lt;'Model inputs'!AJ84))),IF('Model inputs'!AJ55="","",'Model inputs'!AJ55),IF('Model inputs'!AJ85="","",'Model inputs'!AJ85)))</f>
        <v>4</v>
      </c>
      <c r="V10" s="9">
        <f>IF(IF(IF(ISERROR('Model inputs'!V89&lt;'Model inputs'!AJ54),'Model inputs'!V89&lt;'Model inputs'!AJ54,IF(OR('Model inputs'!V89="",'Model inputs'!AJ54=""),"",'Model inputs'!V89&lt;'Model inputs'!AJ54))="",FALSE,IF(ISERROR('Model inputs'!V89&lt;'Model inputs'!AJ54),'Model inputs'!V89&lt;'Model inputs'!AJ54,IF(OR('Model inputs'!V89="",'Model inputs'!AJ54=""),"",'Model inputs'!V89&lt;'Model inputs'!AJ54))),IF('Model inputs'!AJ87="","",'Model inputs'!AJ87),IF(IF(IF(ISERROR('Model inputs'!V89&lt;'Model inputs'!AJ84),'Model inputs'!V89&lt;'Model inputs'!AJ84,IF(OR('Model inputs'!V89="",'Model inputs'!AJ84=""),"",'Model inputs'!V89&lt;'Model inputs'!AJ84))="",FALSE,IF(ISERROR('Model inputs'!V89&lt;'Model inputs'!AJ84),'Model inputs'!V89&lt;'Model inputs'!AJ84,IF(OR('Model inputs'!V89="",'Model inputs'!AJ84=""),"",'Model inputs'!V89&lt;'Model inputs'!AJ84))),IF('Model inputs'!AJ55="","",'Model inputs'!AJ55),IF('Model inputs'!AJ85="","",'Model inputs'!AJ85)))</f>
        <v>4</v>
      </c>
      <c r="W10" s="9">
        <f>IF(IF(IF(ISERROR('Model inputs'!W89&lt;'Model inputs'!AJ54),'Model inputs'!W89&lt;'Model inputs'!AJ54,IF(OR('Model inputs'!W89="",'Model inputs'!AJ54=""),"",'Model inputs'!W89&lt;'Model inputs'!AJ54))="",FALSE,IF(ISERROR('Model inputs'!W89&lt;'Model inputs'!AJ54),'Model inputs'!W89&lt;'Model inputs'!AJ54,IF(OR('Model inputs'!W89="",'Model inputs'!AJ54=""),"",'Model inputs'!W89&lt;'Model inputs'!AJ54))),IF('Model inputs'!AJ87="","",'Model inputs'!AJ87),IF(IF(IF(ISERROR('Model inputs'!W89&lt;'Model inputs'!AJ84),'Model inputs'!W89&lt;'Model inputs'!AJ84,IF(OR('Model inputs'!W89="",'Model inputs'!AJ84=""),"",'Model inputs'!W89&lt;'Model inputs'!AJ84))="",FALSE,IF(ISERROR('Model inputs'!W89&lt;'Model inputs'!AJ84),'Model inputs'!W89&lt;'Model inputs'!AJ84,IF(OR('Model inputs'!W89="",'Model inputs'!AJ84=""),"",'Model inputs'!W89&lt;'Model inputs'!AJ84))),IF('Model inputs'!AJ55="","",'Model inputs'!AJ55),IF('Model inputs'!AJ85="","",'Model inputs'!AJ85)))</f>
        <v>4</v>
      </c>
      <c r="X10" s="9">
        <f>IF(IF(IF(ISERROR('Model inputs'!X89&lt;'Model inputs'!AJ54),'Model inputs'!X89&lt;'Model inputs'!AJ54,IF(OR('Model inputs'!X89="",'Model inputs'!AJ54=""),"",'Model inputs'!X89&lt;'Model inputs'!AJ54))="",FALSE,IF(ISERROR('Model inputs'!X89&lt;'Model inputs'!AJ54),'Model inputs'!X89&lt;'Model inputs'!AJ54,IF(OR('Model inputs'!X89="",'Model inputs'!AJ54=""),"",'Model inputs'!X89&lt;'Model inputs'!AJ54))),IF('Model inputs'!AJ87="","",'Model inputs'!AJ87),IF(IF(IF(ISERROR('Model inputs'!X89&lt;'Model inputs'!AJ84),'Model inputs'!X89&lt;'Model inputs'!AJ84,IF(OR('Model inputs'!X89="",'Model inputs'!AJ84=""),"",'Model inputs'!X89&lt;'Model inputs'!AJ84))="",FALSE,IF(ISERROR('Model inputs'!X89&lt;'Model inputs'!AJ84),'Model inputs'!X89&lt;'Model inputs'!AJ84,IF(OR('Model inputs'!X89="",'Model inputs'!AJ84=""),"",'Model inputs'!X89&lt;'Model inputs'!AJ84))),IF('Model inputs'!AJ55="","",'Model inputs'!AJ55),IF('Model inputs'!AJ85="","",'Model inputs'!AJ85)))</f>
        <v>4</v>
      </c>
      <c r="Y10" s="9">
        <f>IF(IF(IF(ISERROR('Model inputs'!Y89&lt;'Model inputs'!AJ54),'Model inputs'!Y89&lt;'Model inputs'!AJ54,IF(OR('Model inputs'!Y89="",'Model inputs'!AJ54=""),"",'Model inputs'!Y89&lt;'Model inputs'!AJ54))="",FALSE,IF(ISERROR('Model inputs'!Y89&lt;'Model inputs'!AJ54),'Model inputs'!Y89&lt;'Model inputs'!AJ54,IF(OR('Model inputs'!Y89="",'Model inputs'!AJ54=""),"",'Model inputs'!Y89&lt;'Model inputs'!AJ54))),IF('Model inputs'!AJ87="","",'Model inputs'!AJ87),IF(IF(IF(ISERROR('Model inputs'!Y89&lt;'Model inputs'!AJ84),'Model inputs'!Y89&lt;'Model inputs'!AJ84,IF(OR('Model inputs'!Y89="",'Model inputs'!AJ84=""),"",'Model inputs'!Y89&lt;'Model inputs'!AJ84))="",FALSE,IF(ISERROR('Model inputs'!Y89&lt;'Model inputs'!AJ84),'Model inputs'!Y89&lt;'Model inputs'!AJ84,IF(OR('Model inputs'!Y89="",'Model inputs'!AJ84=""),"",'Model inputs'!Y89&lt;'Model inputs'!AJ84))),IF('Model inputs'!AJ55="","",'Model inputs'!AJ55),IF('Model inputs'!AJ85="","",'Model inputs'!AJ85)))</f>
        <v>4</v>
      </c>
      <c r="Z10" s="9">
        <f>IF(IF(IF(ISERROR('Model inputs'!Z89&lt;'Model inputs'!AJ54),'Model inputs'!Z89&lt;'Model inputs'!AJ54,IF(OR('Model inputs'!Z89="",'Model inputs'!AJ54=""),"",'Model inputs'!Z89&lt;'Model inputs'!AJ54))="",FALSE,IF(ISERROR('Model inputs'!Z89&lt;'Model inputs'!AJ54),'Model inputs'!Z89&lt;'Model inputs'!AJ54,IF(OR('Model inputs'!Z89="",'Model inputs'!AJ54=""),"",'Model inputs'!Z89&lt;'Model inputs'!AJ54))),IF('Model inputs'!AJ87="","",'Model inputs'!AJ87),IF(IF(IF(ISERROR('Model inputs'!Z89&lt;'Model inputs'!AJ84),'Model inputs'!Z89&lt;'Model inputs'!AJ84,IF(OR('Model inputs'!Z89="",'Model inputs'!AJ84=""),"",'Model inputs'!Z89&lt;'Model inputs'!AJ84))="",FALSE,IF(ISERROR('Model inputs'!Z89&lt;'Model inputs'!AJ84),'Model inputs'!Z89&lt;'Model inputs'!AJ84,IF(OR('Model inputs'!Z89="",'Model inputs'!AJ84=""),"",'Model inputs'!Z89&lt;'Model inputs'!AJ84))),IF('Model inputs'!AJ55="","",'Model inputs'!AJ55),IF('Model inputs'!AJ85="","",'Model inputs'!AJ85)))</f>
        <v>4</v>
      </c>
      <c r="AA10" s="9">
        <f>IF(IF(IF(ISERROR('Model inputs'!AA89&lt;'Model inputs'!AJ54),'Model inputs'!AA89&lt;'Model inputs'!AJ54,IF(OR('Model inputs'!AA89="",'Model inputs'!AJ54=""),"",'Model inputs'!AA89&lt;'Model inputs'!AJ54))="",FALSE,IF(ISERROR('Model inputs'!AA89&lt;'Model inputs'!AJ54),'Model inputs'!AA89&lt;'Model inputs'!AJ54,IF(OR('Model inputs'!AA89="",'Model inputs'!AJ54=""),"",'Model inputs'!AA89&lt;'Model inputs'!AJ54))),IF('Model inputs'!AJ87="","",'Model inputs'!AJ87),IF(IF(IF(ISERROR('Model inputs'!AA89&lt;'Model inputs'!AJ84),'Model inputs'!AA89&lt;'Model inputs'!AJ84,IF(OR('Model inputs'!AA89="",'Model inputs'!AJ84=""),"",'Model inputs'!AA89&lt;'Model inputs'!AJ84))="",FALSE,IF(ISERROR('Model inputs'!AA89&lt;'Model inputs'!AJ84),'Model inputs'!AA89&lt;'Model inputs'!AJ84,IF(OR('Model inputs'!AA89="",'Model inputs'!AJ84=""),"",'Model inputs'!AA89&lt;'Model inputs'!AJ84))),IF('Model inputs'!AJ55="","",'Model inputs'!AJ55),IF('Model inputs'!AJ85="","",'Model inputs'!AJ85)))</f>
        <v>4</v>
      </c>
    </row>
    <row r="11">
      <c r="A11" t="inlineStr" s="14">
        <is>
          <t xml:space="preserve">Haq Cloud and tools</t>
        </is>
      </c>
      <c r="B11" s="9">
        <f>'Model inputs'!AJ57+'Model inputs'!B93/100*'Model inputs'!AJ58</f>
        <v>25000</v>
      </c>
      <c r="C11" s="9">
        <f>'Model inputs'!AJ57+'Model inputs'!C93/100*'Model inputs'!AJ58</f>
        <v>25000</v>
      </c>
      <c r="D11" s="9">
        <f>'Model inputs'!AJ57+'Model inputs'!D93/100*'Model inputs'!AJ58</f>
        <v>25000</v>
      </c>
      <c r="E11" s="9">
        <f>'Model inputs'!AJ57+'Model inputs'!E93/100*'Model inputs'!AJ58</f>
        <v>25000</v>
      </c>
      <c r="F11" s="9">
        <f>'Model inputs'!AJ57+'Model inputs'!F93/100*'Model inputs'!AJ58</f>
        <v>25000</v>
      </c>
      <c r="G11" s="9">
        <f>'Model inputs'!AJ57+'Model inputs'!G93/100*'Model inputs'!AJ58</f>
        <v>25040</v>
      </c>
      <c r="H11" s="9">
        <f>'Model inputs'!AJ57+'Model inputs'!H93/100*'Model inputs'!AJ58</f>
        <v>25046</v>
      </c>
      <c r="I11" s="9">
        <f>'Model inputs'!AJ57+'Model inputs'!I93/100*'Model inputs'!AJ58</f>
        <v>25073.733333333334</v>
      </c>
      <c r="J11" s="9">
        <f>'Model inputs'!AJ57+'Model inputs'!J93/100*'Model inputs'!AJ58</f>
        <v>25081.668333333335</v>
      </c>
      <c r="K11" s="9">
        <f>'Model inputs'!AJ57+'Model inputs'!K93/100*'Model inputs'!AJ58</f>
        <v>25090.793583333332</v>
      </c>
      <c r="L11" s="9">
        <f>'Model inputs'!AJ57+'Model inputs'!L93/100*'Model inputs'!AJ58</f>
        <v>25130.4542875</v>
      </c>
      <c r="M11" s="9">
        <f>'Model inputs'!AJ57+'Model inputs'!M93/100*'Model inputs'!AJ58</f>
        <v>25142.522430625</v>
      </c>
      <c r="N11" s="9">
        <f>'Model inputs'!AJ57+'Model inputs'!N93/100*'Model inputs'!AJ58</f>
        <v>25156.40079521875</v>
      </c>
      <c r="O11" s="9">
        <f>'Model inputs'!AJ57+'Model inputs'!O93/100*'Model inputs'!AJ58</f>
        <v>25201.52758116823</v>
      </c>
      <c r="P11" s="9">
        <f>'Model inputs'!AJ57+'Model inputs'!P93/100*'Model inputs'!AJ58</f>
        <v>25219.881718343462</v>
      </c>
      <c r="Q11" s="9">
        <f>'Model inputs'!AJ57+'Model inputs'!Q93/100*'Model inputs'!AJ58</f>
        <v>25240.988976094985</v>
      </c>
      <c r="R11" s="9">
        <f>'Model inputs'!AJ57+'Model inputs'!R93/100*'Model inputs'!AJ58</f>
        <v>25286.095655842564</v>
      </c>
      <c r="S11" s="9">
        <f>'Model inputs'!AJ57+'Model inputs'!S93/100*'Model inputs'!AJ58</f>
        <v>25314.010004218948</v>
      </c>
      <c r="T11" s="9">
        <f>'Model inputs'!AJ57+'Model inputs'!T93/100*'Model inputs'!AJ58</f>
        <v>25346.11150485179</v>
      </c>
      <c r="U11" s="9">
        <f>'Model inputs'!AJ57+'Model inputs'!U93/100*'Model inputs'!AJ58</f>
        <v>25416.36156391289</v>
      </c>
      <c r="V11" s="9">
        <f>'Model inputs'!AJ57+'Model inputs'!V93/100*'Model inputs'!AJ58</f>
        <v>25458.815798499825</v>
      </c>
      <c r="W11" s="9">
        <f>'Model inputs'!AJ57+'Model inputs'!W93/100*'Model inputs'!AJ58</f>
        <v>25507.6381682748</v>
      </c>
      <c r="X11" s="9">
        <f>'Model inputs'!AJ57+'Model inputs'!X93/100*'Model inputs'!AJ58</f>
        <v>25584.617226849354</v>
      </c>
      <c r="Y11" s="9">
        <f>'Model inputs'!AJ57+'Model inputs'!Y93/100*'Model inputs'!AJ58</f>
        <v>25649.184810876755</v>
      </c>
      <c r="Z11" s="9">
        <f>'Model inputs'!AJ57+'Model inputs'!Z93/100*'Model inputs'!AJ58</f>
        <v>25744.2708658416</v>
      </c>
      <c r="AA11" s="9">
        <f>'Model inputs'!AJ57+'Model inputs'!AA93/100*'Model inputs'!AJ58</f>
        <v>25862.99482905118</v>
      </c>
    </row>
    <row r="12">
      <c r="A12" t="inlineStr" s="14">
        <is>
          <t xml:space="preserve">Haq CSC checks</t>
        </is>
      </c>
      <c r="B12" s="15">
        <f>'Model inputs'!B14*'Model inputs'!AJ35</f>
        <v>0</v>
      </c>
      <c r="C12" s="15">
        <f>'Model inputs'!C14*'Model inputs'!AJ35</f>
        <v>0</v>
      </c>
      <c r="D12" s="15">
        <f>'Model inputs'!D14*'Model inputs'!AJ35</f>
        <v>0</v>
      </c>
      <c r="E12" s="15">
        <f>'Model inputs'!E14*'Model inputs'!AJ35</f>
        <v>0</v>
      </c>
      <c r="F12" s="15">
        <f>'Model inputs'!F14*'Model inputs'!AJ35</f>
        <v>0</v>
      </c>
      <c r="G12" s="15">
        <f>'Model inputs'!G14*'Model inputs'!AJ35</f>
        <v>4000</v>
      </c>
      <c r="H12" s="15">
        <f>'Model inputs'!H14*'Model inputs'!AJ35</f>
        <v>4599.999999999999</v>
      </c>
      <c r="I12" s="15">
        <f>'Model inputs'!I14*'Model inputs'!AJ35</f>
        <v>5289.999999999999</v>
      </c>
      <c r="J12" s="15">
        <f>'Model inputs'!J14*'Model inputs'!AJ35</f>
        <v>6083.499999999998</v>
      </c>
      <c r="K12" s="15">
        <f>'Model inputs'!K14*'Model inputs'!AJ35</f>
        <v>6996.024999999998</v>
      </c>
      <c r="L12" s="15">
        <f>'Model inputs'!L14*'Model inputs'!AJ35</f>
        <v>8045.428749999996</v>
      </c>
      <c r="M12" s="15">
        <f>'Model inputs'!M14*'Model inputs'!AJ35</f>
        <v>9252.243062499994</v>
      </c>
      <c r="N12" s="15">
        <f>'Model inputs'!N14*'Model inputs'!AJ35</f>
        <v>10640.079521874994</v>
      </c>
      <c r="O12" s="15">
        <f>'Model inputs'!O14*'Model inputs'!AJ35</f>
        <v>12236.09145015624</v>
      </c>
      <c r="P12" s="15">
        <f>'Model inputs'!P14*'Model inputs'!AJ35</f>
        <v>14071.505167679677</v>
      </c>
      <c r="Q12" s="15">
        <f>'Model inputs'!Q14*'Model inputs'!AJ35</f>
        <v>16182.230942831628</v>
      </c>
      <c r="R12" s="15">
        <f>'Model inputs'!R14*'Model inputs'!AJ35</f>
        <v>18609.565584256372</v>
      </c>
      <c r="S12" s="15">
        <f>'Model inputs'!S14*'Model inputs'!AJ35</f>
        <v>21401.000421894823</v>
      </c>
      <c r="T12" s="15">
        <f>'Model inputs'!T14*'Model inputs'!AJ35</f>
        <v>24611.150485179045</v>
      </c>
      <c r="U12" s="15">
        <f>'Model inputs'!U14*'Model inputs'!AJ35</f>
        <v>28302.823057955902</v>
      </c>
      <c r="V12" s="15">
        <f>'Model inputs'!V14*'Model inputs'!AJ35</f>
        <v>32548.246516649284</v>
      </c>
      <c r="W12" s="15">
        <f>'Model inputs'!W14*'Model inputs'!AJ35</f>
        <v>37430.483494146676</v>
      </c>
      <c r="X12" s="15">
        <f>'Model inputs'!X14*'Model inputs'!AJ35</f>
        <v>43045.05601826867</v>
      </c>
      <c r="Y12" s="15">
        <f>'Model inputs'!Y14*'Model inputs'!AJ35</f>
        <v>49501.81442100897</v>
      </c>
      <c r="Z12" s="15">
        <f>'Model inputs'!Z14*'Model inputs'!AJ35</f>
        <v>56927.08658416031</v>
      </c>
      <c r="AA12" s="15">
        <f>'Model inputs'!AA14*'Model inputs'!AJ35</f>
        <v>65466.14957178434</v>
      </c>
    </row>
    <row r="13">
      <c r="A13" t="inlineStr" s="14">
        <is>
          <t xml:space="preserve">Haq CSC new operators</t>
        </is>
      </c>
      <c r="B13" s="15">
        <f>IF(IF(IF(ISERROR('Model inputs'!B89='Model inputs'!AJ40),'Model inputs'!B89='Model inputs'!AJ40,IF(OR('Model inputs'!B89="",'Model inputs'!AJ40=""),"",'Model inputs'!B89='Model inputs'!AJ40))="",FALSE,IF(ISERROR('Model inputs'!B89='Model inputs'!AJ40),'Model inputs'!B89='Model inputs'!AJ40,IF(OR('Model inputs'!B89="",'Model inputs'!AJ40=""),"",'Model inputs'!B89='Model inputs'!AJ40))),IF('Model inputs'!AJ41="","",'Model inputs'!AJ41),IF(IF(IF(ISERROR('Model inputs'!B89&gt;'Model inputs'!AJ40),'Model inputs'!B89&gt;'Model inputs'!AJ40,IF(OR('Model inputs'!B89="",'Model inputs'!AJ40=""),"",'Model inputs'!B89&gt;'Model inputs'!AJ40))="",FALSE,IF(ISERROR('Model inputs'!B89&gt;'Model inputs'!AJ40),'Model inputs'!B89&gt;'Model inputs'!AJ40,IF(OR('Model inputs'!B89="",'Model inputs'!AJ40=""),"",'Model inputs'!B89&gt;'Model inputs'!AJ40))),'Model inputs'!AI14*'Model inputs'!AJ37,0))</f>
        <v>0</v>
      </c>
      <c r="C13" s="15">
        <f>IF(IF(IF(ISERROR('Model inputs'!C89='Model inputs'!AJ40),'Model inputs'!C89='Model inputs'!AJ40,IF(OR('Model inputs'!C89="",'Model inputs'!AJ40=""),"",'Model inputs'!C89='Model inputs'!AJ40))="",FALSE,IF(ISERROR('Model inputs'!C89='Model inputs'!AJ40),'Model inputs'!C89='Model inputs'!AJ40,IF(OR('Model inputs'!C89="",'Model inputs'!AJ40=""),"",'Model inputs'!C89='Model inputs'!AJ40))),IF('Model inputs'!AJ41="","",'Model inputs'!AJ41),IF(IF(IF(ISERROR('Model inputs'!C89&gt;'Model inputs'!AJ40),'Model inputs'!C89&gt;'Model inputs'!AJ40,IF(OR('Model inputs'!C89="",'Model inputs'!AJ40=""),"",'Model inputs'!C89&gt;'Model inputs'!AJ40))="",FALSE,IF(ISERROR('Model inputs'!C89&gt;'Model inputs'!AJ40),'Model inputs'!C89&gt;'Model inputs'!AJ40,IF(OR('Model inputs'!C89="",'Model inputs'!AJ40=""),"",'Model inputs'!C89&gt;'Model inputs'!AJ40))),'Model inputs'!B14*'Model inputs'!AJ37,0))</f>
        <v>0</v>
      </c>
      <c r="D13" s="15">
        <f>IF(IF(IF(ISERROR('Model inputs'!D89='Model inputs'!AJ40),'Model inputs'!D89='Model inputs'!AJ40,IF(OR('Model inputs'!D89="",'Model inputs'!AJ40=""),"",'Model inputs'!D89='Model inputs'!AJ40))="",FALSE,IF(ISERROR('Model inputs'!D89='Model inputs'!AJ40),'Model inputs'!D89='Model inputs'!AJ40,IF(OR('Model inputs'!D89="",'Model inputs'!AJ40=""),"",'Model inputs'!D89='Model inputs'!AJ40))),IF('Model inputs'!AJ41="","",'Model inputs'!AJ41),IF(IF(IF(ISERROR('Model inputs'!D89&gt;'Model inputs'!AJ40),'Model inputs'!D89&gt;'Model inputs'!AJ40,IF(OR('Model inputs'!D89="",'Model inputs'!AJ40=""),"",'Model inputs'!D89&gt;'Model inputs'!AJ40))="",FALSE,IF(ISERROR('Model inputs'!D89&gt;'Model inputs'!AJ40),'Model inputs'!D89&gt;'Model inputs'!AJ40,IF(OR('Model inputs'!D89="",'Model inputs'!AJ40=""),"",'Model inputs'!D89&gt;'Model inputs'!AJ40))),'Model inputs'!C14*'Model inputs'!AJ37,0))</f>
        <v>0</v>
      </c>
      <c r="E13" s="15">
        <f>IF(IF(IF(ISERROR('Model inputs'!E89='Model inputs'!AJ40),'Model inputs'!E89='Model inputs'!AJ40,IF(OR('Model inputs'!E89="",'Model inputs'!AJ40=""),"",'Model inputs'!E89='Model inputs'!AJ40))="",FALSE,IF(ISERROR('Model inputs'!E89='Model inputs'!AJ40),'Model inputs'!E89='Model inputs'!AJ40,IF(OR('Model inputs'!E89="",'Model inputs'!AJ40=""),"",'Model inputs'!E89='Model inputs'!AJ40))),IF('Model inputs'!AJ41="","",'Model inputs'!AJ41),IF(IF(IF(ISERROR('Model inputs'!E89&gt;'Model inputs'!AJ40),'Model inputs'!E89&gt;'Model inputs'!AJ40,IF(OR('Model inputs'!E89="",'Model inputs'!AJ40=""),"",'Model inputs'!E89&gt;'Model inputs'!AJ40))="",FALSE,IF(ISERROR('Model inputs'!E89&gt;'Model inputs'!AJ40),'Model inputs'!E89&gt;'Model inputs'!AJ40,IF(OR('Model inputs'!E89="",'Model inputs'!AJ40=""),"",'Model inputs'!E89&gt;'Model inputs'!AJ40))),'Model inputs'!D14*'Model inputs'!AJ37,0))</f>
        <v>0</v>
      </c>
      <c r="F13" s="15">
        <f>IF(IF(IF(ISERROR('Model inputs'!F89='Model inputs'!AJ40),'Model inputs'!F89='Model inputs'!AJ40,IF(OR('Model inputs'!F89="",'Model inputs'!AJ40=""),"",'Model inputs'!F89='Model inputs'!AJ40))="",FALSE,IF(ISERROR('Model inputs'!F89='Model inputs'!AJ40),'Model inputs'!F89='Model inputs'!AJ40,IF(OR('Model inputs'!F89="",'Model inputs'!AJ40=""),"",'Model inputs'!F89='Model inputs'!AJ40))),IF('Model inputs'!AJ41="","",'Model inputs'!AJ41),IF(IF(IF(ISERROR('Model inputs'!F89&gt;'Model inputs'!AJ40),'Model inputs'!F89&gt;'Model inputs'!AJ40,IF(OR('Model inputs'!F89="",'Model inputs'!AJ40=""),"",'Model inputs'!F89&gt;'Model inputs'!AJ40))="",FALSE,IF(ISERROR('Model inputs'!F89&gt;'Model inputs'!AJ40),'Model inputs'!F89&gt;'Model inputs'!AJ40,IF(OR('Model inputs'!F89="",'Model inputs'!AJ40=""),"",'Model inputs'!F89&gt;'Model inputs'!AJ40))),'Model inputs'!E14*'Model inputs'!AJ37,0))</f>
        <v>0</v>
      </c>
      <c r="G13" s="15">
        <f>IF(IF(IF(ISERROR('Model inputs'!G89='Model inputs'!AJ40),'Model inputs'!G89='Model inputs'!AJ40,IF(OR('Model inputs'!G89="",'Model inputs'!AJ40=""),"",'Model inputs'!G89='Model inputs'!AJ40))="",FALSE,IF(ISERROR('Model inputs'!G89='Model inputs'!AJ40),'Model inputs'!G89='Model inputs'!AJ40,IF(OR('Model inputs'!G89="",'Model inputs'!AJ40=""),"",'Model inputs'!G89='Model inputs'!AJ40))),IF('Model inputs'!AJ41="","",'Model inputs'!AJ41),IF(IF(IF(ISERROR('Model inputs'!G89&gt;'Model inputs'!AJ40),'Model inputs'!G89&gt;'Model inputs'!AJ40,IF(OR('Model inputs'!G89="",'Model inputs'!AJ40=""),"",'Model inputs'!G89&gt;'Model inputs'!AJ40))="",FALSE,IF(ISERROR('Model inputs'!G89&gt;'Model inputs'!AJ40),'Model inputs'!G89&gt;'Model inputs'!AJ40,IF(OR('Model inputs'!G89="",'Model inputs'!AJ40=""),"",'Model inputs'!G89&gt;'Model inputs'!AJ40))),'Model inputs'!F14*'Model inputs'!AJ37,0))</f>
        <v>50</v>
      </c>
      <c r="H13" s="15">
        <f>IF(IF(IF(ISERROR('Model inputs'!H89='Model inputs'!AJ40),'Model inputs'!H89='Model inputs'!AJ40,IF(OR('Model inputs'!H89="",'Model inputs'!AJ40=""),"",'Model inputs'!H89='Model inputs'!AJ40))="",FALSE,IF(ISERROR('Model inputs'!H89='Model inputs'!AJ40),'Model inputs'!H89='Model inputs'!AJ40,IF(OR('Model inputs'!H89="",'Model inputs'!AJ40=""),"",'Model inputs'!H89='Model inputs'!AJ40))),IF('Model inputs'!AJ41="","",'Model inputs'!AJ41),IF(IF(IF(ISERROR('Model inputs'!H89&gt;'Model inputs'!AJ40),'Model inputs'!H89&gt;'Model inputs'!AJ40,IF(OR('Model inputs'!H89="",'Model inputs'!AJ40=""),"",'Model inputs'!H89&gt;'Model inputs'!AJ40))="",FALSE,IF(ISERROR('Model inputs'!H89&gt;'Model inputs'!AJ40),'Model inputs'!H89&gt;'Model inputs'!AJ40,IF(OR('Model inputs'!H89="",'Model inputs'!AJ40=""),"",'Model inputs'!H89&gt;'Model inputs'!AJ40))),'Model inputs'!G14*'Model inputs'!AJ37,0))</f>
        <v>10</v>
      </c>
      <c r="I13" s="15">
        <f>IF(IF(IF(ISERROR('Model inputs'!I89='Model inputs'!AJ40),'Model inputs'!I89='Model inputs'!AJ40,IF(OR('Model inputs'!I89="",'Model inputs'!AJ40=""),"",'Model inputs'!I89='Model inputs'!AJ40))="",FALSE,IF(ISERROR('Model inputs'!I89='Model inputs'!AJ40),'Model inputs'!I89='Model inputs'!AJ40,IF(OR('Model inputs'!I89="",'Model inputs'!AJ40=""),"",'Model inputs'!I89='Model inputs'!AJ40))),IF('Model inputs'!AJ41="","",'Model inputs'!AJ41),IF(IF(IF(ISERROR('Model inputs'!I89&gt;'Model inputs'!AJ40),'Model inputs'!I89&gt;'Model inputs'!AJ40,IF(OR('Model inputs'!I89="",'Model inputs'!AJ40=""),"",'Model inputs'!I89&gt;'Model inputs'!AJ40))="",FALSE,IF(ISERROR('Model inputs'!I89&gt;'Model inputs'!AJ40),'Model inputs'!I89&gt;'Model inputs'!AJ40,IF(OR('Model inputs'!I89="",'Model inputs'!AJ40=""),"",'Model inputs'!I89&gt;'Model inputs'!AJ40))),'Model inputs'!H14*'Model inputs'!AJ37,0))</f>
        <v>11.5</v>
      </c>
      <c r="J13" s="15">
        <f>IF(IF(IF(ISERROR('Model inputs'!J89='Model inputs'!AJ40),'Model inputs'!J89='Model inputs'!AJ40,IF(OR('Model inputs'!J89="",'Model inputs'!AJ40=""),"",'Model inputs'!J89='Model inputs'!AJ40))="",FALSE,IF(ISERROR('Model inputs'!J89='Model inputs'!AJ40),'Model inputs'!J89='Model inputs'!AJ40,IF(OR('Model inputs'!J89="",'Model inputs'!AJ40=""),"",'Model inputs'!J89='Model inputs'!AJ40))),IF('Model inputs'!AJ41="","",'Model inputs'!AJ41),IF(IF(IF(ISERROR('Model inputs'!J89&gt;'Model inputs'!AJ40),'Model inputs'!J89&gt;'Model inputs'!AJ40,IF(OR('Model inputs'!J89="",'Model inputs'!AJ40=""),"",'Model inputs'!J89&gt;'Model inputs'!AJ40))="",FALSE,IF(ISERROR('Model inputs'!J89&gt;'Model inputs'!AJ40),'Model inputs'!J89&gt;'Model inputs'!AJ40,IF(OR('Model inputs'!J89="",'Model inputs'!AJ40=""),"",'Model inputs'!J89&gt;'Model inputs'!AJ40))),'Model inputs'!I14*'Model inputs'!AJ37,0))</f>
        <v>13.224999999999998</v>
      </c>
      <c r="K13" s="15">
        <f>IF(IF(IF(ISERROR('Model inputs'!K89='Model inputs'!AJ40),'Model inputs'!K89='Model inputs'!AJ40,IF(OR('Model inputs'!K89="",'Model inputs'!AJ40=""),"",'Model inputs'!K89='Model inputs'!AJ40))="",FALSE,IF(ISERROR('Model inputs'!K89='Model inputs'!AJ40),'Model inputs'!K89='Model inputs'!AJ40,IF(OR('Model inputs'!K89="",'Model inputs'!AJ40=""),"",'Model inputs'!K89='Model inputs'!AJ40))),IF('Model inputs'!AJ41="","",'Model inputs'!AJ41),IF(IF(IF(ISERROR('Model inputs'!K89&gt;'Model inputs'!AJ40),'Model inputs'!K89&gt;'Model inputs'!AJ40,IF(OR('Model inputs'!K89="",'Model inputs'!AJ40=""),"",'Model inputs'!K89&gt;'Model inputs'!AJ40))="",FALSE,IF(ISERROR('Model inputs'!K89&gt;'Model inputs'!AJ40),'Model inputs'!K89&gt;'Model inputs'!AJ40,IF(OR('Model inputs'!K89="",'Model inputs'!AJ40=""),"",'Model inputs'!K89&gt;'Model inputs'!AJ40))),'Model inputs'!J14*'Model inputs'!AJ37,0))</f>
        <v>15.208749999999995</v>
      </c>
      <c r="L13" s="15">
        <f>IF(IF(IF(ISERROR('Model inputs'!L89='Model inputs'!AJ40),'Model inputs'!L89='Model inputs'!AJ40,IF(OR('Model inputs'!L89="",'Model inputs'!AJ40=""),"",'Model inputs'!L89='Model inputs'!AJ40))="",FALSE,IF(ISERROR('Model inputs'!L89='Model inputs'!AJ40),'Model inputs'!L89='Model inputs'!AJ40,IF(OR('Model inputs'!L89="",'Model inputs'!AJ40=""),"",'Model inputs'!L89='Model inputs'!AJ40))),IF('Model inputs'!AJ41="","",'Model inputs'!AJ41),IF(IF(IF(ISERROR('Model inputs'!L89&gt;'Model inputs'!AJ40),'Model inputs'!L89&gt;'Model inputs'!AJ40,IF(OR('Model inputs'!L89="",'Model inputs'!AJ40=""),"",'Model inputs'!L89&gt;'Model inputs'!AJ40))="",FALSE,IF(ISERROR('Model inputs'!L89&gt;'Model inputs'!AJ40),'Model inputs'!L89&gt;'Model inputs'!AJ40,IF(OR('Model inputs'!L89="",'Model inputs'!AJ40=""),"",'Model inputs'!L89&gt;'Model inputs'!AJ40))),'Model inputs'!K14*'Model inputs'!AJ37,0))</f>
        <v>17.490062499999993</v>
      </c>
      <c r="M13" s="15">
        <f>IF(IF(IF(ISERROR('Model inputs'!M89='Model inputs'!AJ40),'Model inputs'!M89='Model inputs'!AJ40,IF(OR('Model inputs'!M89="",'Model inputs'!AJ40=""),"",'Model inputs'!M89='Model inputs'!AJ40))="",FALSE,IF(ISERROR('Model inputs'!M89='Model inputs'!AJ40),'Model inputs'!M89='Model inputs'!AJ40,IF(OR('Model inputs'!M89="",'Model inputs'!AJ40=""),"",'Model inputs'!M89='Model inputs'!AJ40))),IF('Model inputs'!AJ41="","",'Model inputs'!AJ41),IF(IF(IF(ISERROR('Model inputs'!M89&gt;'Model inputs'!AJ40),'Model inputs'!M89&gt;'Model inputs'!AJ40,IF(OR('Model inputs'!M89="",'Model inputs'!AJ40=""),"",'Model inputs'!M89&gt;'Model inputs'!AJ40))="",FALSE,IF(ISERROR('Model inputs'!M89&gt;'Model inputs'!AJ40),'Model inputs'!M89&gt;'Model inputs'!AJ40,IF(OR('Model inputs'!M89="",'Model inputs'!AJ40=""),"",'Model inputs'!M89&gt;'Model inputs'!AJ40))),'Model inputs'!L14*'Model inputs'!AJ37,0))</f>
        <v>20.11357187499999</v>
      </c>
      <c r="N13" s="15">
        <f>IF(IF(IF(ISERROR('Model inputs'!N89='Model inputs'!AJ40),'Model inputs'!N89='Model inputs'!AJ40,IF(OR('Model inputs'!N89="",'Model inputs'!AJ40=""),"",'Model inputs'!N89='Model inputs'!AJ40))="",FALSE,IF(ISERROR('Model inputs'!N89='Model inputs'!AJ40),'Model inputs'!N89='Model inputs'!AJ40,IF(OR('Model inputs'!N89="",'Model inputs'!AJ40=""),"",'Model inputs'!N89='Model inputs'!AJ40))),IF('Model inputs'!AJ41="","",'Model inputs'!AJ41),IF(IF(IF(ISERROR('Model inputs'!N89&gt;'Model inputs'!AJ40),'Model inputs'!N89&gt;'Model inputs'!AJ40,IF(OR('Model inputs'!N89="",'Model inputs'!AJ40=""),"",'Model inputs'!N89&gt;'Model inputs'!AJ40))="",FALSE,IF(ISERROR('Model inputs'!N89&gt;'Model inputs'!AJ40),'Model inputs'!N89&gt;'Model inputs'!AJ40,IF(OR('Model inputs'!N89="",'Model inputs'!AJ40=""),"",'Model inputs'!N89&gt;'Model inputs'!AJ40))),'Model inputs'!M14*'Model inputs'!AJ37,0))</f>
        <v>23.13060765624999</v>
      </c>
      <c r="O13" s="15">
        <f>IF(IF(IF(ISERROR('Model inputs'!O89='Model inputs'!AJ40),'Model inputs'!O89='Model inputs'!AJ40,IF(OR('Model inputs'!O89="",'Model inputs'!AJ40=""),"",'Model inputs'!O89='Model inputs'!AJ40))="",FALSE,IF(ISERROR('Model inputs'!O89='Model inputs'!AJ40),'Model inputs'!O89='Model inputs'!AJ40,IF(OR('Model inputs'!O89="",'Model inputs'!AJ40=""),"",'Model inputs'!O89='Model inputs'!AJ40))),IF('Model inputs'!AJ41="","",'Model inputs'!AJ41),IF(IF(IF(ISERROR('Model inputs'!O89&gt;'Model inputs'!AJ40),'Model inputs'!O89&gt;'Model inputs'!AJ40,IF(OR('Model inputs'!O89="",'Model inputs'!AJ40=""),"",'Model inputs'!O89&gt;'Model inputs'!AJ40))="",FALSE,IF(ISERROR('Model inputs'!O89&gt;'Model inputs'!AJ40),'Model inputs'!O89&gt;'Model inputs'!AJ40,IF(OR('Model inputs'!O89="",'Model inputs'!AJ40=""),"",'Model inputs'!O89&gt;'Model inputs'!AJ40))),'Model inputs'!N14*'Model inputs'!AJ37,0))</f>
        <v>26.600198804687484</v>
      </c>
      <c r="P13" s="15">
        <f>IF(IF(IF(ISERROR('Model inputs'!P89='Model inputs'!AJ40),'Model inputs'!P89='Model inputs'!AJ40,IF(OR('Model inputs'!P89="",'Model inputs'!AJ40=""),"",'Model inputs'!P89='Model inputs'!AJ40))="",FALSE,IF(ISERROR('Model inputs'!P89='Model inputs'!AJ40),'Model inputs'!P89='Model inputs'!AJ40,IF(OR('Model inputs'!P89="",'Model inputs'!AJ40=""),"",'Model inputs'!P89='Model inputs'!AJ40))),IF('Model inputs'!AJ41="","",'Model inputs'!AJ41),IF(IF(IF(ISERROR('Model inputs'!P89&gt;'Model inputs'!AJ40),'Model inputs'!P89&gt;'Model inputs'!AJ40,IF(OR('Model inputs'!P89="",'Model inputs'!AJ40=""),"",'Model inputs'!P89&gt;'Model inputs'!AJ40))="",FALSE,IF(ISERROR('Model inputs'!P89&gt;'Model inputs'!AJ40),'Model inputs'!P89&gt;'Model inputs'!AJ40,IF(OR('Model inputs'!P89="",'Model inputs'!AJ40=""),"",'Model inputs'!P89&gt;'Model inputs'!AJ40))),'Model inputs'!O14*'Model inputs'!AJ37,0))</f>
        <v>30.590228625390605</v>
      </c>
      <c r="Q13" s="15">
        <f>IF(IF(IF(ISERROR('Model inputs'!Q89='Model inputs'!AJ40),'Model inputs'!Q89='Model inputs'!AJ40,IF(OR('Model inputs'!Q89="",'Model inputs'!AJ40=""),"",'Model inputs'!Q89='Model inputs'!AJ40))="",FALSE,IF(ISERROR('Model inputs'!Q89='Model inputs'!AJ40),'Model inputs'!Q89='Model inputs'!AJ40,IF(OR('Model inputs'!Q89="",'Model inputs'!AJ40=""),"",'Model inputs'!Q89='Model inputs'!AJ40))),IF('Model inputs'!AJ41="","",'Model inputs'!AJ41),IF(IF(IF(ISERROR('Model inputs'!Q89&gt;'Model inputs'!AJ40),'Model inputs'!Q89&gt;'Model inputs'!AJ40,IF(OR('Model inputs'!Q89="",'Model inputs'!AJ40=""),"",'Model inputs'!Q89&gt;'Model inputs'!AJ40))="",FALSE,IF(ISERROR('Model inputs'!Q89&gt;'Model inputs'!AJ40),'Model inputs'!Q89&gt;'Model inputs'!AJ40,IF(OR('Model inputs'!Q89="",'Model inputs'!AJ40=""),"",'Model inputs'!Q89&gt;'Model inputs'!AJ40))),'Model inputs'!P14*'Model inputs'!AJ37,0))</f>
        <v>35.178762919199194</v>
      </c>
      <c r="R13" s="15">
        <f>IF(IF(IF(ISERROR('Model inputs'!R89='Model inputs'!AJ40),'Model inputs'!R89='Model inputs'!AJ40,IF(OR('Model inputs'!R89="",'Model inputs'!AJ40=""),"",'Model inputs'!R89='Model inputs'!AJ40))="",FALSE,IF(ISERROR('Model inputs'!R89='Model inputs'!AJ40),'Model inputs'!R89='Model inputs'!AJ40,IF(OR('Model inputs'!R89="",'Model inputs'!AJ40=""),"",'Model inputs'!R89='Model inputs'!AJ40))),IF('Model inputs'!AJ41="","",'Model inputs'!AJ41),IF(IF(IF(ISERROR('Model inputs'!R89&gt;'Model inputs'!AJ40),'Model inputs'!R89&gt;'Model inputs'!AJ40,IF(OR('Model inputs'!R89="",'Model inputs'!AJ40=""),"",'Model inputs'!R89&gt;'Model inputs'!AJ40))="",FALSE,IF(ISERROR('Model inputs'!R89&gt;'Model inputs'!AJ40),'Model inputs'!R89&gt;'Model inputs'!AJ40,IF(OR('Model inputs'!R89="",'Model inputs'!AJ40=""),"",'Model inputs'!R89&gt;'Model inputs'!AJ40))),'Model inputs'!Q14*'Model inputs'!AJ37,0))</f>
        <v>40.45557735707907</v>
      </c>
      <c r="S13" s="15">
        <f>IF(IF(IF(ISERROR('Model inputs'!S89='Model inputs'!AJ40),'Model inputs'!S89='Model inputs'!AJ40,IF(OR('Model inputs'!S89="",'Model inputs'!AJ40=""),"",'Model inputs'!S89='Model inputs'!AJ40))="",FALSE,IF(ISERROR('Model inputs'!S89='Model inputs'!AJ40),'Model inputs'!S89='Model inputs'!AJ40,IF(OR('Model inputs'!S89="",'Model inputs'!AJ40=""),"",'Model inputs'!S89='Model inputs'!AJ40))),IF('Model inputs'!AJ41="","",'Model inputs'!AJ41),IF(IF(IF(ISERROR('Model inputs'!S89&gt;'Model inputs'!AJ40),'Model inputs'!S89&gt;'Model inputs'!AJ40,IF(OR('Model inputs'!S89="",'Model inputs'!AJ40=""),"",'Model inputs'!S89&gt;'Model inputs'!AJ40))="",FALSE,IF(ISERROR('Model inputs'!S89&gt;'Model inputs'!AJ40),'Model inputs'!S89&gt;'Model inputs'!AJ40,IF(OR('Model inputs'!S89="",'Model inputs'!AJ40=""),"",'Model inputs'!S89&gt;'Model inputs'!AJ40))),'Model inputs'!R14*'Model inputs'!AJ37,0))</f>
        <v>46.523913960640925</v>
      </c>
      <c r="T13" s="15">
        <f>IF(IF(IF(ISERROR('Model inputs'!T89='Model inputs'!AJ40),'Model inputs'!T89='Model inputs'!AJ40,IF(OR('Model inputs'!T89="",'Model inputs'!AJ40=""),"",'Model inputs'!T89='Model inputs'!AJ40))="",FALSE,IF(ISERROR('Model inputs'!T89='Model inputs'!AJ40),'Model inputs'!T89='Model inputs'!AJ40,IF(OR('Model inputs'!T89="",'Model inputs'!AJ40=""),"",'Model inputs'!T89='Model inputs'!AJ40))),IF('Model inputs'!AJ41="","",'Model inputs'!AJ41),IF(IF(IF(ISERROR('Model inputs'!T89&gt;'Model inputs'!AJ40),'Model inputs'!T89&gt;'Model inputs'!AJ40,IF(OR('Model inputs'!T89="",'Model inputs'!AJ40=""),"",'Model inputs'!T89&gt;'Model inputs'!AJ40))="",FALSE,IF(ISERROR('Model inputs'!T89&gt;'Model inputs'!AJ40),'Model inputs'!T89&gt;'Model inputs'!AJ40,IF(OR('Model inputs'!T89="",'Model inputs'!AJ40=""),"",'Model inputs'!T89&gt;'Model inputs'!AJ40))),'Model inputs'!S14*'Model inputs'!AJ37,0))</f>
        <v>53.50250105473706</v>
      </c>
      <c r="U13" s="15">
        <f>IF(IF(IF(ISERROR('Model inputs'!U89='Model inputs'!AJ40),'Model inputs'!U89='Model inputs'!AJ40,IF(OR('Model inputs'!U89="",'Model inputs'!AJ40=""),"",'Model inputs'!U89='Model inputs'!AJ40))="",FALSE,IF(ISERROR('Model inputs'!U89='Model inputs'!AJ40),'Model inputs'!U89='Model inputs'!AJ40,IF(OR('Model inputs'!U89="",'Model inputs'!AJ40=""),"",'Model inputs'!U89='Model inputs'!AJ40))),IF('Model inputs'!AJ41="","",'Model inputs'!AJ41),IF(IF(IF(ISERROR('Model inputs'!U89&gt;'Model inputs'!AJ40),'Model inputs'!U89&gt;'Model inputs'!AJ40,IF(OR('Model inputs'!U89="",'Model inputs'!AJ40=""),"",'Model inputs'!U89&gt;'Model inputs'!AJ40))="",FALSE,IF(ISERROR('Model inputs'!U89&gt;'Model inputs'!AJ40),'Model inputs'!U89&gt;'Model inputs'!AJ40,IF(OR('Model inputs'!U89="",'Model inputs'!AJ40=""),"",'Model inputs'!U89&gt;'Model inputs'!AJ40))),'Model inputs'!T14*'Model inputs'!AJ37,0))</f>
        <v>61.52787621294762</v>
      </c>
      <c r="V13" s="15">
        <f>IF(IF(IF(ISERROR('Model inputs'!V89='Model inputs'!AJ40),'Model inputs'!V89='Model inputs'!AJ40,IF(OR('Model inputs'!V89="",'Model inputs'!AJ40=""),"",'Model inputs'!V89='Model inputs'!AJ40))="",FALSE,IF(ISERROR('Model inputs'!V89='Model inputs'!AJ40),'Model inputs'!V89='Model inputs'!AJ40,IF(OR('Model inputs'!V89="",'Model inputs'!AJ40=""),"",'Model inputs'!V89='Model inputs'!AJ40))),IF('Model inputs'!AJ41="","",'Model inputs'!AJ41),IF(IF(IF(ISERROR('Model inputs'!V89&gt;'Model inputs'!AJ40),'Model inputs'!V89&gt;'Model inputs'!AJ40,IF(OR('Model inputs'!V89="",'Model inputs'!AJ40=""),"",'Model inputs'!V89&gt;'Model inputs'!AJ40))="",FALSE,IF(ISERROR('Model inputs'!V89&gt;'Model inputs'!AJ40),'Model inputs'!V89&gt;'Model inputs'!AJ40,IF(OR('Model inputs'!V89="",'Model inputs'!AJ40=""),"",'Model inputs'!V89&gt;'Model inputs'!AJ40))),'Model inputs'!U14*'Model inputs'!AJ37,0))</f>
        <v>70.75705764488976</v>
      </c>
      <c r="W13" s="15">
        <f>IF(IF(IF(ISERROR('Model inputs'!W89='Model inputs'!AJ40),'Model inputs'!W89='Model inputs'!AJ40,IF(OR('Model inputs'!W89="",'Model inputs'!AJ40=""),"",'Model inputs'!W89='Model inputs'!AJ40))="",FALSE,IF(ISERROR('Model inputs'!W89='Model inputs'!AJ40),'Model inputs'!W89='Model inputs'!AJ40,IF(OR('Model inputs'!W89="",'Model inputs'!AJ40=""),"",'Model inputs'!W89='Model inputs'!AJ40))),IF('Model inputs'!AJ41="","",'Model inputs'!AJ41),IF(IF(IF(ISERROR('Model inputs'!W89&gt;'Model inputs'!AJ40),'Model inputs'!W89&gt;'Model inputs'!AJ40,IF(OR('Model inputs'!W89="",'Model inputs'!AJ40=""),"",'Model inputs'!W89&gt;'Model inputs'!AJ40))="",FALSE,IF(ISERROR('Model inputs'!W89&gt;'Model inputs'!AJ40),'Model inputs'!W89&gt;'Model inputs'!AJ40,IF(OR('Model inputs'!W89="",'Model inputs'!AJ40=""),"",'Model inputs'!W89&gt;'Model inputs'!AJ40))),'Model inputs'!V14*'Model inputs'!AJ37,0))</f>
        <v>81.37061629162321</v>
      </c>
      <c r="X13" s="15">
        <f>IF(IF(IF(ISERROR('Model inputs'!X89='Model inputs'!AJ40),'Model inputs'!X89='Model inputs'!AJ40,IF(OR('Model inputs'!X89="",'Model inputs'!AJ40=""),"",'Model inputs'!X89='Model inputs'!AJ40))="",FALSE,IF(ISERROR('Model inputs'!X89='Model inputs'!AJ40),'Model inputs'!X89='Model inputs'!AJ40,IF(OR('Model inputs'!X89="",'Model inputs'!AJ40=""),"",'Model inputs'!X89='Model inputs'!AJ40))),IF('Model inputs'!AJ41="","",'Model inputs'!AJ41),IF(IF(IF(ISERROR('Model inputs'!X89&gt;'Model inputs'!AJ40),'Model inputs'!X89&gt;'Model inputs'!AJ40,IF(OR('Model inputs'!X89="",'Model inputs'!AJ40=""),"",'Model inputs'!X89&gt;'Model inputs'!AJ40))="",FALSE,IF(ISERROR('Model inputs'!X89&gt;'Model inputs'!AJ40),'Model inputs'!X89&gt;'Model inputs'!AJ40,IF(OR('Model inputs'!X89="",'Model inputs'!AJ40=""),"",'Model inputs'!X89&gt;'Model inputs'!AJ40))),'Model inputs'!W14*'Model inputs'!AJ37,0))</f>
        <v>93.57620873536669</v>
      </c>
      <c r="Y13" s="15">
        <f>IF(IF(IF(ISERROR('Model inputs'!Y89='Model inputs'!AJ40),'Model inputs'!Y89='Model inputs'!AJ40,IF(OR('Model inputs'!Y89="",'Model inputs'!AJ40=""),"",'Model inputs'!Y89='Model inputs'!AJ40))="",FALSE,IF(ISERROR('Model inputs'!Y89='Model inputs'!AJ40),'Model inputs'!Y89='Model inputs'!AJ40,IF(OR('Model inputs'!Y89="",'Model inputs'!AJ40=""),"",'Model inputs'!Y89='Model inputs'!AJ40))),IF('Model inputs'!AJ41="","",'Model inputs'!AJ41),IF(IF(IF(ISERROR('Model inputs'!Y89&gt;'Model inputs'!AJ40),'Model inputs'!Y89&gt;'Model inputs'!AJ40,IF(OR('Model inputs'!Y89="",'Model inputs'!AJ40=""),"",'Model inputs'!Y89&gt;'Model inputs'!AJ40))="",FALSE,IF(ISERROR('Model inputs'!Y89&gt;'Model inputs'!AJ40),'Model inputs'!Y89&gt;'Model inputs'!AJ40,IF(OR('Model inputs'!Y89="",'Model inputs'!AJ40=""),"",'Model inputs'!Y89&gt;'Model inputs'!AJ40))),'Model inputs'!X14*'Model inputs'!AJ37,0))</f>
        <v>107.61264004567168</v>
      </c>
      <c r="Z13" s="15">
        <f>IF(IF(IF(ISERROR('Model inputs'!Z89='Model inputs'!AJ40),'Model inputs'!Z89='Model inputs'!AJ40,IF(OR('Model inputs'!Z89="",'Model inputs'!AJ40=""),"",'Model inputs'!Z89='Model inputs'!AJ40))="",FALSE,IF(ISERROR('Model inputs'!Z89='Model inputs'!AJ40),'Model inputs'!Z89='Model inputs'!AJ40,IF(OR('Model inputs'!Z89="",'Model inputs'!AJ40=""),"",'Model inputs'!Z89='Model inputs'!AJ40))),IF('Model inputs'!AJ41="","",'Model inputs'!AJ41),IF(IF(IF(ISERROR('Model inputs'!Z89&gt;'Model inputs'!AJ40),'Model inputs'!Z89&gt;'Model inputs'!AJ40,IF(OR('Model inputs'!Z89="",'Model inputs'!AJ40=""),"",'Model inputs'!Z89&gt;'Model inputs'!AJ40))="",FALSE,IF(ISERROR('Model inputs'!Z89&gt;'Model inputs'!AJ40),'Model inputs'!Z89&gt;'Model inputs'!AJ40,IF(OR('Model inputs'!Z89="",'Model inputs'!AJ40=""),"",'Model inputs'!Z89&gt;'Model inputs'!AJ40))),'Model inputs'!Y14*'Model inputs'!AJ37,0))</f>
        <v>123.75453605252243</v>
      </c>
      <c r="AA13" s="15">
        <f>IF(IF(IF(ISERROR('Model inputs'!AA89='Model inputs'!AJ40),'Model inputs'!AA89='Model inputs'!AJ40,IF(OR('Model inputs'!AA89="",'Model inputs'!AJ40=""),"",'Model inputs'!AA89='Model inputs'!AJ40))="",FALSE,IF(ISERROR('Model inputs'!AA89='Model inputs'!AJ40),'Model inputs'!AA89='Model inputs'!AJ40,IF(OR('Model inputs'!AA89="",'Model inputs'!AJ40=""),"",'Model inputs'!AA89='Model inputs'!AJ40))),IF('Model inputs'!AJ41="","",'Model inputs'!AJ41),IF(IF(IF(ISERROR('Model inputs'!AA89&gt;'Model inputs'!AJ40),'Model inputs'!AA89&gt;'Model inputs'!AJ40,IF(OR('Model inputs'!AA89="",'Model inputs'!AJ40=""),"",'Model inputs'!AA89&gt;'Model inputs'!AJ40))="",FALSE,IF(ISERROR('Model inputs'!AA89&gt;'Model inputs'!AJ40),'Model inputs'!AA89&gt;'Model inputs'!AJ40,IF(OR('Model inputs'!AA89="",'Model inputs'!AJ40=""),"",'Model inputs'!AA89&gt;'Model inputs'!AJ40))),'Model inputs'!Z14*'Model inputs'!AJ37,0))</f>
        <v>142.31771646040076</v>
      </c>
    </row>
    <row r="14">
      <c r="A14" t="inlineStr" s="14">
        <is>
          <t xml:space="preserve">Haq CSC operators</t>
        </is>
      </c>
      <c r="B14" s="15">
        <f>IF(IF(IF(ISERROR('Model inputs'!B89&lt;'Model inputs'!AJ40),'Model inputs'!B89&lt;'Model inputs'!AJ40,IF(OR('Model inputs'!B89="",'Model inputs'!AJ40=""),"",'Model inputs'!B89&lt;'Model inputs'!AJ40))="",FALSE,IF(ISERROR('Model inputs'!B89&lt;'Model inputs'!AJ40),'Model inputs'!B89&lt;'Model inputs'!AJ40,IF(OR('Model inputs'!B89="",'Model inputs'!AJ40=""),"",'Model inputs'!B89&lt;'Model inputs'!AJ40))),0,IF(IF(IF(ISERROR('Model inputs'!B89='Model inputs'!AJ40),'Model inputs'!B89='Model inputs'!AJ40,IF(OR('Model inputs'!B89="",'Model inputs'!AJ40=""),"",'Model inputs'!B89='Model inputs'!AJ40))="",FALSE,IF(ISERROR('Model inputs'!B89='Model inputs'!AJ40),'Model inputs'!B89='Model inputs'!AJ40,IF(OR('Model inputs'!B89="",'Model inputs'!AJ40=""),"",'Model inputs'!B89='Model inputs'!AJ40))),IF('Model inputs'!AJ41="","",'Model inputs'!AJ41),'Model inputs'!AI14*(1+'Model inputs'!AJ37-'Model inputs'!AJ42)))</f>
        <v>0</v>
      </c>
      <c r="C14" s="15">
        <f>IF(IF(IF(ISERROR('Model inputs'!C89&lt;'Model inputs'!AJ40),'Model inputs'!C89&lt;'Model inputs'!AJ40,IF(OR('Model inputs'!C89="",'Model inputs'!AJ40=""),"",'Model inputs'!C89&lt;'Model inputs'!AJ40))="",FALSE,IF(ISERROR('Model inputs'!C89&lt;'Model inputs'!AJ40),'Model inputs'!C89&lt;'Model inputs'!AJ40,IF(OR('Model inputs'!C89="",'Model inputs'!AJ40=""),"",'Model inputs'!C89&lt;'Model inputs'!AJ40))),0,IF(IF(IF(ISERROR('Model inputs'!C89='Model inputs'!AJ40),'Model inputs'!C89='Model inputs'!AJ40,IF(OR('Model inputs'!C89="",'Model inputs'!AJ40=""),"",'Model inputs'!C89='Model inputs'!AJ40))="",FALSE,IF(ISERROR('Model inputs'!C89='Model inputs'!AJ40),'Model inputs'!C89='Model inputs'!AJ40,IF(OR('Model inputs'!C89="",'Model inputs'!AJ40=""),"",'Model inputs'!C89='Model inputs'!AJ40))),IF('Model inputs'!AJ41="","",'Model inputs'!AJ41),'Model inputs'!B14*(1+'Model inputs'!AJ37-'Model inputs'!AJ42)))</f>
        <v>0</v>
      </c>
      <c r="D14" s="15">
        <f>IF(IF(IF(ISERROR('Model inputs'!D89&lt;'Model inputs'!AJ40),'Model inputs'!D89&lt;'Model inputs'!AJ40,IF(OR('Model inputs'!D89="",'Model inputs'!AJ40=""),"",'Model inputs'!D89&lt;'Model inputs'!AJ40))="",FALSE,IF(ISERROR('Model inputs'!D89&lt;'Model inputs'!AJ40),'Model inputs'!D89&lt;'Model inputs'!AJ40,IF(OR('Model inputs'!D89="",'Model inputs'!AJ40=""),"",'Model inputs'!D89&lt;'Model inputs'!AJ40))),0,IF(IF(IF(ISERROR('Model inputs'!D89='Model inputs'!AJ40),'Model inputs'!D89='Model inputs'!AJ40,IF(OR('Model inputs'!D89="",'Model inputs'!AJ40=""),"",'Model inputs'!D89='Model inputs'!AJ40))="",FALSE,IF(ISERROR('Model inputs'!D89='Model inputs'!AJ40),'Model inputs'!D89='Model inputs'!AJ40,IF(OR('Model inputs'!D89="",'Model inputs'!AJ40=""),"",'Model inputs'!D89='Model inputs'!AJ40))),IF('Model inputs'!AJ41="","",'Model inputs'!AJ41),'Model inputs'!C14*(1+'Model inputs'!AJ37-'Model inputs'!AJ42)))</f>
        <v>0</v>
      </c>
      <c r="E14" s="15">
        <f>IF(IF(IF(ISERROR('Model inputs'!E89&lt;'Model inputs'!AJ40),'Model inputs'!E89&lt;'Model inputs'!AJ40,IF(OR('Model inputs'!E89="",'Model inputs'!AJ40=""),"",'Model inputs'!E89&lt;'Model inputs'!AJ40))="",FALSE,IF(ISERROR('Model inputs'!E89&lt;'Model inputs'!AJ40),'Model inputs'!E89&lt;'Model inputs'!AJ40,IF(OR('Model inputs'!E89="",'Model inputs'!AJ40=""),"",'Model inputs'!E89&lt;'Model inputs'!AJ40))),0,IF(IF(IF(ISERROR('Model inputs'!E89='Model inputs'!AJ40),'Model inputs'!E89='Model inputs'!AJ40,IF(OR('Model inputs'!E89="",'Model inputs'!AJ40=""),"",'Model inputs'!E89='Model inputs'!AJ40))="",FALSE,IF(ISERROR('Model inputs'!E89='Model inputs'!AJ40),'Model inputs'!E89='Model inputs'!AJ40,IF(OR('Model inputs'!E89="",'Model inputs'!AJ40=""),"",'Model inputs'!E89='Model inputs'!AJ40))),IF('Model inputs'!AJ41="","",'Model inputs'!AJ41),'Model inputs'!D14*(1+'Model inputs'!AJ37-'Model inputs'!AJ42)))</f>
        <v>0</v>
      </c>
      <c r="F14" s="15">
        <f>IF(IF(IF(ISERROR('Model inputs'!F89&lt;'Model inputs'!AJ40),'Model inputs'!F89&lt;'Model inputs'!AJ40,IF(OR('Model inputs'!F89="",'Model inputs'!AJ40=""),"",'Model inputs'!F89&lt;'Model inputs'!AJ40))="",FALSE,IF(ISERROR('Model inputs'!F89&lt;'Model inputs'!AJ40),'Model inputs'!F89&lt;'Model inputs'!AJ40,IF(OR('Model inputs'!F89="",'Model inputs'!AJ40=""),"",'Model inputs'!F89&lt;'Model inputs'!AJ40))),0,IF(IF(IF(ISERROR('Model inputs'!F89='Model inputs'!AJ40),'Model inputs'!F89='Model inputs'!AJ40,IF(OR('Model inputs'!F89="",'Model inputs'!AJ40=""),"",'Model inputs'!F89='Model inputs'!AJ40))="",FALSE,IF(ISERROR('Model inputs'!F89='Model inputs'!AJ40),'Model inputs'!F89='Model inputs'!AJ40,IF(OR('Model inputs'!F89="",'Model inputs'!AJ40=""),"",'Model inputs'!F89='Model inputs'!AJ40))),IF('Model inputs'!AJ41="","",'Model inputs'!AJ41),'Model inputs'!E14*(1+'Model inputs'!AJ37-'Model inputs'!AJ42)))</f>
        <v>0</v>
      </c>
      <c r="G14" s="15">
        <f>IF(IF(IF(ISERROR('Model inputs'!G89&lt;'Model inputs'!AJ40),'Model inputs'!G89&lt;'Model inputs'!AJ40,IF(OR('Model inputs'!G89="",'Model inputs'!AJ40=""),"",'Model inputs'!G89&lt;'Model inputs'!AJ40))="",FALSE,IF(ISERROR('Model inputs'!G89&lt;'Model inputs'!AJ40),'Model inputs'!G89&lt;'Model inputs'!AJ40,IF(OR('Model inputs'!G89="",'Model inputs'!AJ40=""),"",'Model inputs'!G89&lt;'Model inputs'!AJ40))),0,IF(IF(IF(ISERROR('Model inputs'!G89='Model inputs'!AJ40),'Model inputs'!G89='Model inputs'!AJ40,IF(OR('Model inputs'!G89="",'Model inputs'!AJ40=""),"",'Model inputs'!G89='Model inputs'!AJ40))="",FALSE,IF(ISERROR('Model inputs'!G89='Model inputs'!AJ40),'Model inputs'!G89='Model inputs'!AJ40,IF(OR('Model inputs'!G89="",'Model inputs'!AJ40=""),"",'Model inputs'!G89='Model inputs'!AJ40))),IF('Model inputs'!AJ41="","",'Model inputs'!AJ41),'Model inputs'!F14*(1+'Model inputs'!AJ37-'Model inputs'!AJ42)))</f>
        <v>50</v>
      </c>
      <c r="H14" s="15">
        <f>IF(IF(IF(ISERROR('Model inputs'!H89&lt;'Model inputs'!AJ40),'Model inputs'!H89&lt;'Model inputs'!AJ40,IF(OR('Model inputs'!H89="",'Model inputs'!AJ40=""),"",'Model inputs'!H89&lt;'Model inputs'!AJ40))="",FALSE,IF(ISERROR('Model inputs'!H89&lt;'Model inputs'!AJ40),'Model inputs'!H89&lt;'Model inputs'!AJ40,IF(OR('Model inputs'!H89="",'Model inputs'!AJ40=""),"",'Model inputs'!H89&lt;'Model inputs'!AJ40))),0,IF(IF(IF(ISERROR('Model inputs'!H89='Model inputs'!AJ40),'Model inputs'!H89='Model inputs'!AJ40,IF(OR('Model inputs'!H89="",'Model inputs'!AJ40=""),"",'Model inputs'!H89='Model inputs'!AJ40))="",FALSE,IF(ISERROR('Model inputs'!H89='Model inputs'!AJ40),'Model inputs'!H89='Model inputs'!AJ40,IF(OR('Model inputs'!H89="",'Model inputs'!AJ40=""),"",'Model inputs'!H89='Model inputs'!AJ40))),IF('Model inputs'!AJ41="","",'Model inputs'!AJ41),'Model inputs'!G14*(1+'Model inputs'!AJ37-'Model inputs'!AJ42)))</f>
        <v>57.49999999999999</v>
      </c>
      <c r="I14" s="15">
        <f>IF(IF(IF(ISERROR('Model inputs'!I89&lt;'Model inputs'!AJ40),'Model inputs'!I89&lt;'Model inputs'!AJ40,IF(OR('Model inputs'!I89="",'Model inputs'!AJ40=""),"",'Model inputs'!I89&lt;'Model inputs'!AJ40))="",FALSE,IF(ISERROR('Model inputs'!I89&lt;'Model inputs'!AJ40),'Model inputs'!I89&lt;'Model inputs'!AJ40,IF(OR('Model inputs'!I89="",'Model inputs'!AJ40=""),"",'Model inputs'!I89&lt;'Model inputs'!AJ40))),0,IF(IF(IF(ISERROR('Model inputs'!I89='Model inputs'!AJ40),'Model inputs'!I89='Model inputs'!AJ40,IF(OR('Model inputs'!I89="",'Model inputs'!AJ40=""),"",'Model inputs'!I89='Model inputs'!AJ40))="",FALSE,IF(ISERROR('Model inputs'!I89='Model inputs'!AJ40),'Model inputs'!I89='Model inputs'!AJ40,IF(OR('Model inputs'!I89="",'Model inputs'!AJ40=""),"",'Model inputs'!I89='Model inputs'!AJ40))),IF('Model inputs'!AJ41="","",'Model inputs'!AJ41),'Model inputs'!H14*(1+'Model inputs'!AJ37-'Model inputs'!AJ42)))</f>
        <v>66.12499999999999</v>
      </c>
      <c r="J14" s="15">
        <f>IF(IF(IF(ISERROR('Model inputs'!J89&lt;'Model inputs'!AJ40),'Model inputs'!J89&lt;'Model inputs'!AJ40,IF(OR('Model inputs'!J89="",'Model inputs'!AJ40=""),"",'Model inputs'!J89&lt;'Model inputs'!AJ40))="",FALSE,IF(ISERROR('Model inputs'!J89&lt;'Model inputs'!AJ40),'Model inputs'!J89&lt;'Model inputs'!AJ40,IF(OR('Model inputs'!J89="",'Model inputs'!AJ40=""),"",'Model inputs'!J89&lt;'Model inputs'!AJ40))),0,IF(IF(IF(ISERROR('Model inputs'!J89='Model inputs'!AJ40),'Model inputs'!J89='Model inputs'!AJ40,IF(OR('Model inputs'!J89="",'Model inputs'!AJ40=""),"",'Model inputs'!J89='Model inputs'!AJ40))="",FALSE,IF(ISERROR('Model inputs'!J89='Model inputs'!AJ40),'Model inputs'!J89='Model inputs'!AJ40,IF(OR('Model inputs'!J89="",'Model inputs'!AJ40=""),"",'Model inputs'!J89='Model inputs'!AJ40))),IF('Model inputs'!AJ41="","",'Model inputs'!AJ41),'Model inputs'!I14*(1+'Model inputs'!AJ37-'Model inputs'!AJ42)))</f>
        <v>76.04374999999997</v>
      </c>
      <c r="K14" s="15">
        <f>IF(IF(IF(ISERROR('Model inputs'!K89&lt;'Model inputs'!AJ40),'Model inputs'!K89&lt;'Model inputs'!AJ40,IF(OR('Model inputs'!K89="",'Model inputs'!AJ40=""),"",'Model inputs'!K89&lt;'Model inputs'!AJ40))="",FALSE,IF(ISERROR('Model inputs'!K89&lt;'Model inputs'!AJ40),'Model inputs'!K89&lt;'Model inputs'!AJ40,IF(OR('Model inputs'!K89="",'Model inputs'!AJ40=""),"",'Model inputs'!K89&lt;'Model inputs'!AJ40))),0,IF(IF(IF(ISERROR('Model inputs'!K89='Model inputs'!AJ40),'Model inputs'!K89='Model inputs'!AJ40,IF(OR('Model inputs'!K89="",'Model inputs'!AJ40=""),"",'Model inputs'!K89='Model inputs'!AJ40))="",FALSE,IF(ISERROR('Model inputs'!K89='Model inputs'!AJ40),'Model inputs'!K89='Model inputs'!AJ40,IF(OR('Model inputs'!K89="",'Model inputs'!AJ40=""),"",'Model inputs'!K89='Model inputs'!AJ40))),IF('Model inputs'!AJ41="","",'Model inputs'!AJ41),'Model inputs'!J14*(1+'Model inputs'!AJ37-'Model inputs'!AJ42)))</f>
        <v>87.45031249999997</v>
      </c>
      <c r="L14" s="15">
        <f>IF(IF(IF(ISERROR('Model inputs'!L89&lt;'Model inputs'!AJ40),'Model inputs'!L89&lt;'Model inputs'!AJ40,IF(OR('Model inputs'!L89="",'Model inputs'!AJ40=""),"",'Model inputs'!L89&lt;'Model inputs'!AJ40))="",FALSE,IF(ISERROR('Model inputs'!L89&lt;'Model inputs'!AJ40),'Model inputs'!L89&lt;'Model inputs'!AJ40,IF(OR('Model inputs'!L89="",'Model inputs'!AJ40=""),"",'Model inputs'!L89&lt;'Model inputs'!AJ40))),0,IF(IF(IF(ISERROR('Model inputs'!L89='Model inputs'!AJ40),'Model inputs'!L89='Model inputs'!AJ40,IF(OR('Model inputs'!L89="",'Model inputs'!AJ40=""),"",'Model inputs'!L89='Model inputs'!AJ40))="",FALSE,IF(ISERROR('Model inputs'!L89='Model inputs'!AJ40),'Model inputs'!L89='Model inputs'!AJ40,IF(OR('Model inputs'!L89="",'Model inputs'!AJ40=""),"",'Model inputs'!L89='Model inputs'!AJ40))),IF('Model inputs'!AJ41="","",'Model inputs'!AJ41),'Model inputs'!K14*(1+'Model inputs'!AJ37-'Model inputs'!AJ42)))</f>
        <v>100.56785937499995</v>
      </c>
      <c r="M14" s="15">
        <f>IF(IF(IF(ISERROR('Model inputs'!M89&lt;'Model inputs'!AJ40),'Model inputs'!M89&lt;'Model inputs'!AJ40,IF(OR('Model inputs'!M89="",'Model inputs'!AJ40=""),"",'Model inputs'!M89&lt;'Model inputs'!AJ40))="",FALSE,IF(ISERROR('Model inputs'!M89&lt;'Model inputs'!AJ40),'Model inputs'!M89&lt;'Model inputs'!AJ40,IF(OR('Model inputs'!M89="",'Model inputs'!AJ40=""),"",'Model inputs'!M89&lt;'Model inputs'!AJ40))),0,IF(IF(IF(ISERROR('Model inputs'!M89='Model inputs'!AJ40),'Model inputs'!M89='Model inputs'!AJ40,IF(OR('Model inputs'!M89="",'Model inputs'!AJ40=""),"",'Model inputs'!M89='Model inputs'!AJ40))="",FALSE,IF(ISERROR('Model inputs'!M89='Model inputs'!AJ40),'Model inputs'!M89='Model inputs'!AJ40,IF(OR('Model inputs'!M89="",'Model inputs'!AJ40=""),"",'Model inputs'!M89='Model inputs'!AJ40))),IF('Model inputs'!AJ41="","",'Model inputs'!AJ41),'Model inputs'!L14*(1+'Model inputs'!AJ37-'Model inputs'!AJ42)))</f>
        <v>115.65303828124993</v>
      </c>
      <c r="N14" s="15">
        <f>IF(IF(IF(ISERROR('Model inputs'!N89&lt;'Model inputs'!AJ40),'Model inputs'!N89&lt;'Model inputs'!AJ40,IF(OR('Model inputs'!N89="",'Model inputs'!AJ40=""),"",'Model inputs'!N89&lt;'Model inputs'!AJ40))="",FALSE,IF(ISERROR('Model inputs'!N89&lt;'Model inputs'!AJ40),'Model inputs'!N89&lt;'Model inputs'!AJ40,IF(OR('Model inputs'!N89="",'Model inputs'!AJ40=""),"",'Model inputs'!N89&lt;'Model inputs'!AJ40))),0,IF(IF(IF(ISERROR('Model inputs'!N89='Model inputs'!AJ40),'Model inputs'!N89='Model inputs'!AJ40,IF(OR('Model inputs'!N89="",'Model inputs'!AJ40=""),"",'Model inputs'!N89='Model inputs'!AJ40))="",FALSE,IF(ISERROR('Model inputs'!N89='Model inputs'!AJ40),'Model inputs'!N89='Model inputs'!AJ40,IF(OR('Model inputs'!N89="",'Model inputs'!AJ40=""),"",'Model inputs'!N89='Model inputs'!AJ40))),IF('Model inputs'!AJ41="","",'Model inputs'!AJ41),'Model inputs'!M14*(1+'Model inputs'!AJ37-'Model inputs'!AJ42)))</f>
        <v>133.0009940234374</v>
      </c>
      <c r="O14" s="15">
        <f>IF(IF(IF(ISERROR('Model inputs'!O89&lt;'Model inputs'!AJ40),'Model inputs'!O89&lt;'Model inputs'!AJ40,IF(OR('Model inputs'!O89="",'Model inputs'!AJ40=""),"",'Model inputs'!O89&lt;'Model inputs'!AJ40))="",FALSE,IF(ISERROR('Model inputs'!O89&lt;'Model inputs'!AJ40),'Model inputs'!O89&lt;'Model inputs'!AJ40,IF(OR('Model inputs'!O89="",'Model inputs'!AJ40=""),"",'Model inputs'!O89&lt;'Model inputs'!AJ40))),0,IF(IF(IF(ISERROR('Model inputs'!O89='Model inputs'!AJ40),'Model inputs'!O89='Model inputs'!AJ40,IF(OR('Model inputs'!O89="",'Model inputs'!AJ40=""),"",'Model inputs'!O89='Model inputs'!AJ40))="",FALSE,IF(ISERROR('Model inputs'!O89='Model inputs'!AJ40),'Model inputs'!O89='Model inputs'!AJ40,IF(OR('Model inputs'!O89="",'Model inputs'!AJ40=""),"",'Model inputs'!O89='Model inputs'!AJ40))),IF('Model inputs'!AJ41="","",'Model inputs'!AJ41),'Model inputs'!N14*(1+'Model inputs'!AJ37-'Model inputs'!AJ42)))</f>
        <v>152.951143126953</v>
      </c>
      <c r="P14" s="15">
        <f>IF(IF(IF(ISERROR('Model inputs'!P89&lt;'Model inputs'!AJ40),'Model inputs'!P89&lt;'Model inputs'!AJ40,IF(OR('Model inputs'!P89="",'Model inputs'!AJ40=""),"",'Model inputs'!P89&lt;'Model inputs'!AJ40))="",FALSE,IF(ISERROR('Model inputs'!P89&lt;'Model inputs'!AJ40),'Model inputs'!P89&lt;'Model inputs'!AJ40,IF(OR('Model inputs'!P89="",'Model inputs'!AJ40=""),"",'Model inputs'!P89&lt;'Model inputs'!AJ40))),0,IF(IF(IF(ISERROR('Model inputs'!P89='Model inputs'!AJ40),'Model inputs'!P89='Model inputs'!AJ40,IF(OR('Model inputs'!P89="",'Model inputs'!AJ40=""),"",'Model inputs'!P89='Model inputs'!AJ40))="",FALSE,IF(ISERROR('Model inputs'!P89='Model inputs'!AJ40),'Model inputs'!P89='Model inputs'!AJ40,IF(OR('Model inputs'!P89="",'Model inputs'!AJ40=""),"",'Model inputs'!P89='Model inputs'!AJ40))),IF('Model inputs'!AJ41="","",'Model inputs'!AJ41),'Model inputs'!O14*(1+'Model inputs'!AJ37-'Model inputs'!AJ42)))</f>
        <v>175.89381459599596</v>
      </c>
      <c r="Q14" s="15">
        <f>IF(IF(IF(ISERROR('Model inputs'!Q89&lt;'Model inputs'!AJ40),'Model inputs'!Q89&lt;'Model inputs'!AJ40,IF(OR('Model inputs'!Q89="",'Model inputs'!AJ40=""),"",'Model inputs'!Q89&lt;'Model inputs'!AJ40))="",FALSE,IF(ISERROR('Model inputs'!Q89&lt;'Model inputs'!AJ40),'Model inputs'!Q89&lt;'Model inputs'!AJ40,IF(OR('Model inputs'!Q89="",'Model inputs'!AJ40=""),"",'Model inputs'!Q89&lt;'Model inputs'!AJ40))),0,IF(IF(IF(ISERROR('Model inputs'!Q89='Model inputs'!AJ40),'Model inputs'!Q89='Model inputs'!AJ40,IF(OR('Model inputs'!Q89="",'Model inputs'!AJ40=""),"",'Model inputs'!Q89='Model inputs'!AJ40))="",FALSE,IF(ISERROR('Model inputs'!Q89='Model inputs'!AJ40),'Model inputs'!Q89='Model inputs'!AJ40,IF(OR('Model inputs'!Q89="",'Model inputs'!AJ40=""),"",'Model inputs'!Q89='Model inputs'!AJ40))),IF('Model inputs'!AJ41="","",'Model inputs'!AJ41),'Model inputs'!P14*(1+'Model inputs'!AJ37-'Model inputs'!AJ42)))</f>
        <v>202.27788678539534</v>
      </c>
      <c r="R14" s="15">
        <f>IF(IF(IF(ISERROR('Model inputs'!R89&lt;'Model inputs'!AJ40),'Model inputs'!R89&lt;'Model inputs'!AJ40,IF(OR('Model inputs'!R89="",'Model inputs'!AJ40=""),"",'Model inputs'!R89&lt;'Model inputs'!AJ40))="",FALSE,IF(ISERROR('Model inputs'!R89&lt;'Model inputs'!AJ40),'Model inputs'!R89&lt;'Model inputs'!AJ40,IF(OR('Model inputs'!R89="",'Model inputs'!AJ40=""),"",'Model inputs'!R89&lt;'Model inputs'!AJ40))),0,IF(IF(IF(ISERROR('Model inputs'!R89='Model inputs'!AJ40),'Model inputs'!R89='Model inputs'!AJ40,IF(OR('Model inputs'!R89="",'Model inputs'!AJ40=""),"",'Model inputs'!R89='Model inputs'!AJ40))="",FALSE,IF(ISERROR('Model inputs'!R89='Model inputs'!AJ40),'Model inputs'!R89='Model inputs'!AJ40,IF(OR('Model inputs'!R89="",'Model inputs'!AJ40=""),"",'Model inputs'!R89='Model inputs'!AJ40))),IF('Model inputs'!AJ41="","",'Model inputs'!AJ41),'Model inputs'!Q14*(1+'Model inputs'!AJ37-'Model inputs'!AJ42)))</f>
        <v>232.61956980320463</v>
      </c>
      <c r="S14" s="15">
        <f>IF(IF(IF(ISERROR('Model inputs'!S89&lt;'Model inputs'!AJ40),'Model inputs'!S89&lt;'Model inputs'!AJ40,IF(OR('Model inputs'!S89="",'Model inputs'!AJ40=""),"",'Model inputs'!S89&lt;'Model inputs'!AJ40))="",FALSE,IF(ISERROR('Model inputs'!S89&lt;'Model inputs'!AJ40),'Model inputs'!S89&lt;'Model inputs'!AJ40,IF(OR('Model inputs'!S89="",'Model inputs'!AJ40=""),"",'Model inputs'!S89&lt;'Model inputs'!AJ40))),0,IF(IF(IF(ISERROR('Model inputs'!S89='Model inputs'!AJ40),'Model inputs'!S89='Model inputs'!AJ40,IF(OR('Model inputs'!S89="",'Model inputs'!AJ40=""),"",'Model inputs'!S89='Model inputs'!AJ40))="",FALSE,IF(ISERROR('Model inputs'!S89='Model inputs'!AJ40),'Model inputs'!S89='Model inputs'!AJ40,IF(OR('Model inputs'!S89="",'Model inputs'!AJ40=""),"",'Model inputs'!S89='Model inputs'!AJ40))),IF('Model inputs'!AJ41="","",'Model inputs'!AJ41),'Model inputs'!R14*(1+'Model inputs'!AJ37-'Model inputs'!AJ42)))</f>
        <v>267.5125052736853</v>
      </c>
      <c r="T14" s="15">
        <f>IF(IF(IF(ISERROR('Model inputs'!T89&lt;'Model inputs'!AJ40),'Model inputs'!T89&lt;'Model inputs'!AJ40,IF(OR('Model inputs'!T89="",'Model inputs'!AJ40=""),"",'Model inputs'!T89&lt;'Model inputs'!AJ40))="",FALSE,IF(ISERROR('Model inputs'!T89&lt;'Model inputs'!AJ40),'Model inputs'!T89&lt;'Model inputs'!AJ40,IF(OR('Model inputs'!T89="",'Model inputs'!AJ40=""),"",'Model inputs'!T89&lt;'Model inputs'!AJ40))),0,IF(IF(IF(ISERROR('Model inputs'!T89='Model inputs'!AJ40),'Model inputs'!T89='Model inputs'!AJ40,IF(OR('Model inputs'!T89="",'Model inputs'!AJ40=""),"",'Model inputs'!T89='Model inputs'!AJ40))="",FALSE,IF(ISERROR('Model inputs'!T89='Model inputs'!AJ40),'Model inputs'!T89='Model inputs'!AJ40,IF(OR('Model inputs'!T89="",'Model inputs'!AJ40=""),"",'Model inputs'!T89='Model inputs'!AJ40))),IF('Model inputs'!AJ41="","",'Model inputs'!AJ41),'Model inputs'!S14*(1+'Model inputs'!AJ37-'Model inputs'!AJ42)))</f>
        <v>307.6393810647381</v>
      </c>
      <c r="U14" s="15">
        <f>IF(IF(IF(ISERROR('Model inputs'!U89&lt;'Model inputs'!AJ40),'Model inputs'!U89&lt;'Model inputs'!AJ40,IF(OR('Model inputs'!U89="",'Model inputs'!AJ40=""),"",'Model inputs'!U89&lt;'Model inputs'!AJ40))="",FALSE,IF(ISERROR('Model inputs'!U89&lt;'Model inputs'!AJ40),'Model inputs'!U89&lt;'Model inputs'!AJ40,IF(OR('Model inputs'!U89="",'Model inputs'!AJ40=""),"",'Model inputs'!U89&lt;'Model inputs'!AJ40))),0,IF(IF(IF(ISERROR('Model inputs'!U89='Model inputs'!AJ40),'Model inputs'!U89='Model inputs'!AJ40,IF(OR('Model inputs'!U89="",'Model inputs'!AJ40=""),"",'Model inputs'!U89='Model inputs'!AJ40))="",FALSE,IF(ISERROR('Model inputs'!U89='Model inputs'!AJ40),'Model inputs'!U89='Model inputs'!AJ40,IF(OR('Model inputs'!U89="",'Model inputs'!AJ40=""),"",'Model inputs'!U89='Model inputs'!AJ40))),IF('Model inputs'!AJ41="","",'Model inputs'!AJ41),'Model inputs'!T14*(1+'Model inputs'!AJ37-'Model inputs'!AJ42)))</f>
        <v>353.7852882244488</v>
      </c>
      <c r="V14" s="15">
        <f>IF(IF(IF(ISERROR('Model inputs'!V89&lt;'Model inputs'!AJ40),'Model inputs'!V89&lt;'Model inputs'!AJ40,IF(OR('Model inputs'!V89="",'Model inputs'!AJ40=""),"",'Model inputs'!V89&lt;'Model inputs'!AJ40))="",FALSE,IF(ISERROR('Model inputs'!V89&lt;'Model inputs'!AJ40),'Model inputs'!V89&lt;'Model inputs'!AJ40,IF(OR('Model inputs'!V89="",'Model inputs'!AJ40=""),"",'Model inputs'!V89&lt;'Model inputs'!AJ40))),0,IF(IF(IF(ISERROR('Model inputs'!V89='Model inputs'!AJ40),'Model inputs'!V89='Model inputs'!AJ40,IF(OR('Model inputs'!V89="",'Model inputs'!AJ40=""),"",'Model inputs'!V89='Model inputs'!AJ40))="",FALSE,IF(ISERROR('Model inputs'!V89='Model inputs'!AJ40),'Model inputs'!V89='Model inputs'!AJ40,IF(OR('Model inputs'!V89="",'Model inputs'!AJ40=""),"",'Model inputs'!V89='Model inputs'!AJ40))),IF('Model inputs'!AJ41="","",'Model inputs'!AJ41),'Model inputs'!U14*(1+'Model inputs'!AJ37-'Model inputs'!AJ42)))</f>
        <v>406.85308145811604</v>
      </c>
      <c r="W14" s="15">
        <f>IF(IF(IF(ISERROR('Model inputs'!W89&lt;'Model inputs'!AJ40),'Model inputs'!W89&lt;'Model inputs'!AJ40,IF(OR('Model inputs'!W89="",'Model inputs'!AJ40=""),"",'Model inputs'!W89&lt;'Model inputs'!AJ40))="",FALSE,IF(ISERROR('Model inputs'!W89&lt;'Model inputs'!AJ40),'Model inputs'!W89&lt;'Model inputs'!AJ40,IF(OR('Model inputs'!W89="",'Model inputs'!AJ40=""),"",'Model inputs'!W89&lt;'Model inputs'!AJ40))),0,IF(IF(IF(ISERROR('Model inputs'!W89='Model inputs'!AJ40),'Model inputs'!W89='Model inputs'!AJ40,IF(OR('Model inputs'!W89="",'Model inputs'!AJ40=""),"",'Model inputs'!W89='Model inputs'!AJ40))="",FALSE,IF(ISERROR('Model inputs'!W89='Model inputs'!AJ40),'Model inputs'!W89='Model inputs'!AJ40,IF(OR('Model inputs'!W89="",'Model inputs'!AJ40=""),"",'Model inputs'!W89='Model inputs'!AJ40))),IF('Model inputs'!AJ41="","",'Model inputs'!AJ41),'Model inputs'!V14*(1+'Model inputs'!AJ37-'Model inputs'!AJ42)))</f>
        <v>467.88104367683343</v>
      </c>
      <c r="X14" s="15">
        <f>IF(IF(IF(ISERROR('Model inputs'!X89&lt;'Model inputs'!AJ40),'Model inputs'!X89&lt;'Model inputs'!AJ40,IF(OR('Model inputs'!X89="",'Model inputs'!AJ40=""),"",'Model inputs'!X89&lt;'Model inputs'!AJ40))="",FALSE,IF(ISERROR('Model inputs'!X89&lt;'Model inputs'!AJ40),'Model inputs'!X89&lt;'Model inputs'!AJ40,IF(OR('Model inputs'!X89="",'Model inputs'!AJ40=""),"",'Model inputs'!X89&lt;'Model inputs'!AJ40))),0,IF(IF(IF(ISERROR('Model inputs'!X89='Model inputs'!AJ40),'Model inputs'!X89='Model inputs'!AJ40,IF(OR('Model inputs'!X89="",'Model inputs'!AJ40=""),"",'Model inputs'!X89='Model inputs'!AJ40))="",FALSE,IF(ISERROR('Model inputs'!X89='Model inputs'!AJ40),'Model inputs'!X89='Model inputs'!AJ40,IF(OR('Model inputs'!X89="",'Model inputs'!AJ40=""),"",'Model inputs'!X89='Model inputs'!AJ40))),IF('Model inputs'!AJ41="","",'Model inputs'!AJ41),'Model inputs'!W14*(1+'Model inputs'!AJ37-'Model inputs'!AJ42)))</f>
        <v>538.0632002283584</v>
      </c>
      <c r="Y14" s="15">
        <f>IF(IF(IF(ISERROR('Model inputs'!Y89&lt;'Model inputs'!AJ40),'Model inputs'!Y89&lt;'Model inputs'!AJ40,IF(OR('Model inputs'!Y89="",'Model inputs'!AJ40=""),"",'Model inputs'!Y89&lt;'Model inputs'!AJ40))="",FALSE,IF(ISERROR('Model inputs'!Y89&lt;'Model inputs'!AJ40),'Model inputs'!Y89&lt;'Model inputs'!AJ40,IF(OR('Model inputs'!Y89="",'Model inputs'!AJ40=""),"",'Model inputs'!Y89&lt;'Model inputs'!AJ40))),0,IF(IF(IF(ISERROR('Model inputs'!Y89='Model inputs'!AJ40),'Model inputs'!Y89='Model inputs'!AJ40,IF(OR('Model inputs'!Y89="",'Model inputs'!AJ40=""),"",'Model inputs'!Y89='Model inputs'!AJ40))="",FALSE,IF(ISERROR('Model inputs'!Y89='Model inputs'!AJ40),'Model inputs'!Y89='Model inputs'!AJ40,IF(OR('Model inputs'!Y89="",'Model inputs'!AJ40=""),"",'Model inputs'!Y89='Model inputs'!AJ40))),IF('Model inputs'!AJ41="","",'Model inputs'!AJ41),'Model inputs'!X14*(1+'Model inputs'!AJ37-'Model inputs'!AJ42)))</f>
        <v>618.7726802626121</v>
      </c>
      <c r="Z14" s="15">
        <f>IF(IF(IF(ISERROR('Model inputs'!Z89&lt;'Model inputs'!AJ40),'Model inputs'!Z89&lt;'Model inputs'!AJ40,IF(OR('Model inputs'!Z89="",'Model inputs'!AJ40=""),"",'Model inputs'!Z89&lt;'Model inputs'!AJ40))="",FALSE,IF(ISERROR('Model inputs'!Z89&lt;'Model inputs'!AJ40),'Model inputs'!Z89&lt;'Model inputs'!AJ40,IF(OR('Model inputs'!Z89="",'Model inputs'!AJ40=""),"",'Model inputs'!Z89&lt;'Model inputs'!AJ40))),0,IF(IF(IF(ISERROR('Model inputs'!Z89='Model inputs'!AJ40),'Model inputs'!Z89='Model inputs'!AJ40,IF(OR('Model inputs'!Z89="",'Model inputs'!AJ40=""),"",'Model inputs'!Z89='Model inputs'!AJ40))="",FALSE,IF(ISERROR('Model inputs'!Z89='Model inputs'!AJ40),'Model inputs'!Z89='Model inputs'!AJ40,IF(OR('Model inputs'!Z89="",'Model inputs'!AJ40=""),"",'Model inputs'!Z89='Model inputs'!AJ40))),IF('Model inputs'!AJ41="","",'Model inputs'!AJ41),'Model inputs'!Y14*(1+'Model inputs'!AJ37-'Model inputs'!AJ42)))</f>
        <v>711.5885823020038</v>
      </c>
      <c r="AA14" s="15">
        <f>IF(IF(IF(ISERROR('Model inputs'!AA89&lt;'Model inputs'!AJ40),'Model inputs'!AA89&lt;'Model inputs'!AJ40,IF(OR('Model inputs'!AA89="",'Model inputs'!AJ40=""),"",'Model inputs'!AA89&lt;'Model inputs'!AJ40))="",FALSE,IF(ISERROR('Model inputs'!AA89&lt;'Model inputs'!AJ40),'Model inputs'!AA89&lt;'Model inputs'!AJ40,IF(OR('Model inputs'!AA89="",'Model inputs'!AJ40=""),"",'Model inputs'!AA89&lt;'Model inputs'!AJ40))),0,IF(IF(IF(ISERROR('Model inputs'!AA89='Model inputs'!AJ40),'Model inputs'!AA89='Model inputs'!AJ40,IF(OR('Model inputs'!AA89="",'Model inputs'!AJ40=""),"",'Model inputs'!AA89='Model inputs'!AJ40))="",FALSE,IF(ISERROR('Model inputs'!AA89='Model inputs'!AJ40),'Model inputs'!AA89='Model inputs'!AJ40,IF(OR('Model inputs'!AA89="",'Model inputs'!AJ40=""),"",'Model inputs'!AA89='Model inputs'!AJ40))),IF('Model inputs'!AJ41="","",'Model inputs'!AJ41),'Model inputs'!Z14*(1+'Model inputs'!AJ37-'Model inputs'!AJ42)))</f>
        <v>818.3268696473043</v>
      </c>
      <c r="AB14" s="15">
        <f>IF(IF(IF(ISERROR('Model inputs'!AB89&lt;'Model inputs'!AJ40),'Model inputs'!AB89&lt;'Model inputs'!AJ40,IF(OR('Model inputs'!AB89="",'Model inputs'!AJ40=""),"",'Model inputs'!AB89&lt;'Model inputs'!AJ40))="",FALSE,IF(ISERROR('Model inputs'!AB89&lt;'Model inputs'!AJ40),'Model inputs'!AB89&lt;'Model inputs'!AJ40,IF(OR('Model inputs'!AB89="",'Model inputs'!AJ40=""),"",'Model inputs'!AB89&lt;'Model inputs'!AJ40))),0,IF(IF(IF(ISERROR('Model inputs'!AB89='Model inputs'!AJ40),'Model inputs'!AB89='Model inputs'!AJ40,IF(OR('Model inputs'!AB89="",'Model inputs'!AJ40=""),"",'Model inputs'!AB89='Model inputs'!AJ40))="",FALSE,IF(ISERROR('Model inputs'!AB89='Model inputs'!AJ40),'Model inputs'!AB89='Model inputs'!AJ40,IF(OR('Model inputs'!AB89="",'Model inputs'!AJ40=""),"",'Model inputs'!AB89='Model inputs'!AJ40))),IF('Model inputs'!AJ41="","",'Model inputs'!AJ41),0*(1+'Model inputs'!AJ37-'Model inputs'!AJ42)))</f>
        <v>0</v>
      </c>
      <c r="AC14" s="15">
        <f>IF(IF(IF(ISERROR('Model inputs'!AC89&lt;'Model inputs'!AJ40),'Model inputs'!AC89&lt;'Model inputs'!AJ40,IF(OR('Model inputs'!AC89="",'Model inputs'!AJ40=""),"",'Model inputs'!AC89&lt;'Model inputs'!AJ40))="",FALSE,IF(ISERROR('Model inputs'!AC89&lt;'Model inputs'!AJ40),'Model inputs'!AC89&lt;'Model inputs'!AJ40,IF(OR('Model inputs'!AC89="",'Model inputs'!AJ40=""),"",'Model inputs'!AC89&lt;'Model inputs'!AJ40))),0,IF(IF(IF(ISERROR('Model inputs'!AC89='Model inputs'!AJ40),'Model inputs'!AC89='Model inputs'!AJ40,IF(OR('Model inputs'!AC89="",'Model inputs'!AJ40=""),"",'Model inputs'!AC89='Model inputs'!AJ40))="",FALSE,IF(ISERROR('Model inputs'!AC89='Model inputs'!AJ40),'Model inputs'!AC89='Model inputs'!AJ40,IF(OR('Model inputs'!AC89="",'Model inputs'!AJ40=""),"",'Model inputs'!AC89='Model inputs'!AJ40))),IF('Model inputs'!AJ41="","",'Model inputs'!AJ41),'Model inputs'!AB14*(1+'Model inputs'!AJ37-'Model inputs'!AJ42)))</f>
        <v>0</v>
      </c>
      <c r="AD14" s="15">
        <f>IF(IF(IF(ISERROR('Model inputs'!AD89&lt;'Model inputs'!AJ40),'Model inputs'!AD89&lt;'Model inputs'!AJ40,IF(OR('Model inputs'!AD89="",'Model inputs'!AJ40=""),"",'Model inputs'!AD89&lt;'Model inputs'!AJ40))="",FALSE,IF(ISERROR('Model inputs'!AD89&lt;'Model inputs'!AJ40),'Model inputs'!AD89&lt;'Model inputs'!AJ40,IF(OR('Model inputs'!AD89="",'Model inputs'!AJ40=""),"",'Model inputs'!AD89&lt;'Model inputs'!AJ40))),0,IF(IF(IF(ISERROR('Model inputs'!AD89='Model inputs'!AJ40),'Model inputs'!AD89='Model inputs'!AJ40,IF(OR('Model inputs'!AD89="",'Model inputs'!AJ40=""),"",'Model inputs'!AD89='Model inputs'!AJ40))="",FALSE,IF(ISERROR('Model inputs'!AD89='Model inputs'!AJ40),'Model inputs'!AD89='Model inputs'!AJ40,IF(OR('Model inputs'!AD89="",'Model inputs'!AJ40=""),"",'Model inputs'!AD89='Model inputs'!AJ40))),IF('Model inputs'!AJ41="","",'Model inputs'!AJ41),'Model inputs'!AC14*(1+'Model inputs'!AJ37-'Model inputs'!AJ42)))</f>
        <v>0</v>
      </c>
      <c r="AE14" s="15">
        <f>IF(IF(IF(ISERROR('Model inputs'!AE89&lt;'Model inputs'!AJ40),'Model inputs'!AE89&lt;'Model inputs'!AJ40,IF(OR('Model inputs'!AE89="",'Model inputs'!AJ40=""),"",'Model inputs'!AE89&lt;'Model inputs'!AJ40))="",FALSE,IF(ISERROR('Model inputs'!AE89&lt;'Model inputs'!AJ40),'Model inputs'!AE89&lt;'Model inputs'!AJ40,IF(OR('Model inputs'!AE89="",'Model inputs'!AJ40=""),"",'Model inputs'!AE89&lt;'Model inputs'!AJ40))),0,IF(IF(IF(ISERROR('Model inputs'!AE89='Model inputs'!AJ40),'Model inputs'!AE89='Model inputs'!AJ40,IF(OR('Model inputs'!AE89="",'Model inputs'!AJ40=""),"",'Model inputs'!AE89='Model inputs'!AJ40))="",FALSE,IF(ISERROR('Model inputs'!AE89='Model inputs'!AJ40),'Model inputs'!AE89='Model inputs'!AJ40,IF(OR('Model inputs'!AE89="",'Model inputs'!AJ40=""),"",'Model inputs'!AE89='Model inputs'!AJ40))),IF('Model inputs'!AJ41="","",'Model inputs'!AJ41),'Model inputs'!AD14*(1+'Model inputs'!AJ37-'Model inputs'!AJ42)))</f>
        <v>0</v>
      </c>
      <c r="AF14" s="15">
        <f>IF(IF(IF(ISERROR('Model inputs'!AF89&lt;'Model inputs'!AJ40),'Model inputs'!AF89&lt;'Model inputs'!AJ40,IF(OR('Model inputs'!AF89="",'Model inputs'!AJ40=""),"",'Model inputs'!AF89&lt;'Model inputs'!AJ40))="",FALSE,IF(ISERROR('Model inputs'!AF89&lt;'Model inputs'!AJ40),'Model inputs'!AF89&lt;'Model inputs'!AJ40,IF(OR('Model inputs'!AF89="",'Model inputs'!AJ40=""),"",'Model inputs'!AF89&lt;'Model inputs'!AJ40))),0,IF(IF(IF(ISERROR('Model inputs'!AF89='Model inputs'!AJ40),'Model inputs'!AF89='Model inputs'!AJ40,IF(OR('Model inputs'!AF89="",'Model inputs'!AJ40=""),"",'Model inputs'!AF89='Model inputs'!AJ40))="",FALSE,IF(ISERROR('Model inputs'!AF89='Model inputs'!AJ40),'Model inputs'!AF89='Model inputs'!AJ40,IF(OR('Model inputs'!AF89="",'Model inputs'!AJ40=""),"",'Model inputs'!AF89='Model inputs'!AJ40))),IF('Model inputs'!AJ41="","",'Model inputs'!AJ41),'Model inputs'!AE14*(1+'Model inputs'!AJ37-'Model inputs'!AJ42)))</f>
        <v>0</v>
      </c>
      <c r="AG14" s="15">
        <f>IF(IF(IF(ISERROR('Model inputs'!AG89&lt;'Model inputs'!AJ40),'Model inputs'!AG89&lt;'Model inputs'!AJ40,IF(OR('Model inputs'!AG89="",'Model inputs'!AJ40=""),"",'Model inputs'!AG89&lt;'Model inputs'!AJ40))="",FALSE,IF(ISERROR('Model inputs'!AG89&lt;'Model inputs'!AJ40),'Model inputs'!AG89&lt;'Model inputs'!AJ40,IF(OR('Model inputs'!AG89="",'Model inputs'!AJ40=""),"",'Model inputs'!AG89&lt;'Model inputs'!AJ40))),0,IF(IF(IF(ISERROR('Model inputs'!AG89='Model inputs'!AJ40),'Model inputs'!AG89='Model inputs'!AJ40,IF(OR('Model inputs'!AG89="",'Model inputs'!AJ40=""),"",'Model inputs'!AG89='Model inputs'!AJ40))="",FALSE,IF(ISERROR('Model inputs'!AG89='Model inputs'!AJ40),'Model inputs'!AG89='Model inputs'!AJ40,IF(OR('Model inputs'!AG89="",'Model inputs'!AJ40=""),"",'Model inputs'!AG89='Model inputs'!AJ40))),IF('Model inputs'!AJ41="","",'Model inputs'!AJ41),'Model inputs'!AF14*(1+'Model inputs'!AJ37-'Model inputs'!AJ42)))</f>
        <v>0</v>
      </c>
      <c r="AH14" s="15">
        <f>IF(IF(IF(ISERROR('Model inputs'!AH89&lt;'Model inputs'!AJ40),'Model inputs'!AH89&lt;'Model inputs'!AJ40,IF(OR('Model inputs'!AH89="",'Model inputs'!AJ40=""),"",'Model inputs'!AH89&lt;'Model inputs'!AJ40))="",FALSE,IF(ISERROR('Model inputs'!AH89&lt;'Model inputs'!AJ40),'Model inputs'!AH89&lt;'Model inputs'!AJ40,IF(OR('Model inputs'!AH89="",'Model inputs'!AJ40=""),"",'Model inputs'!AH89&lt;'Model inputs'!AJ40))),0,IF(IF(IF(ISERROR('Model inputs'!AH89='Model inputs'!AJ40),'Model inputs'!AH89='Model inputs'!AJ40,IF(OR('Model inputs'!AH89="",'Model inputs'!AJ40=""),"",'Model inputs'!AH89='Model inputs'!AJ40))="",FALSE,IF(ISERROR('Model inputs'!AH89='Model inputs'!AJ40),'Model inputs'!AH89='Model inputs'!AJ40,IF(OR('Model inputs'!AH89="",'Model inputs'!AJ40=""),"",'Model inputs'!AH89='Model inputs'!AJ40))),IF('Model inputs'!AJ41="","",'Model inputs'!AJ41),'Model inputs'!AG14*(1+'Model inputs'!AJ37-'Model inputs'!AJ42)))</f>
        <v>0</v>
      </c>
      <c r="AI14" s="15">
        <f>IF(IF(IF(ISERROR('Model inputs'!AI89&lt;'Model inputs'!AJ40),'Model inputs'!AI89&lt;'Model inputs'!AJ40,IF(OR('Model inputs'!AI89="",'Model inputs'!AJ40=""),"",'Model inputs'!AI89&lt;'Model inputs'!AJ40))="",FALSE,IF(ISERROR('Model inputs'!AI89&lt;'Model inputs'!AJ40),'Model inputs'!AI89&lt;'Model inputs'!AJ40,IF(OR('Model inputs'!AI89="",'Model inputs'!AJ40=""),"",'Model inputs'!AI89&lt;'Model inputs'!AJ40))),0,IF(IF(IF(ISERROR('Model inputs'!AI89='Model inputs'!AJ40),'Model inputs'!AI89='Model inputs'!AJ40,IF(OR('Model inputs'!AI89="",'Model inputs'!AJ40=""),"",'Model inputs'!AI89='Model inputs'!AJ40))="",FALSE,IF(ISERROR('Model inputs'!AI89='Model inputs'!AJ40),'Model inputs'!AI89='Model inputs'!AJ40,IF(OR('Model inputs'!AI89="",'Model inputs'!AJ40=""),"",'Model inputs'!AI89='Model inputs'!AJ40))),IF('Model inputs'!AJ41="","",'Model inputs'!AJ41),'Model inputs'!AH14*(1+'Model inputs'!AJ37-'Model inputs'!AJ42)))</f>
        <v>0</v>
      </c>
    </row>
    <row r="15">
      <c r="A15" t="inlineStr" s="14">
        <is>
          <t xml:space="preserve">Haq CSC revenue</t>
        </is>
      </c>
      <c r="B15" s="9">
        <f>'Model inputs'!B14*('Model inputs'!AJ43+MAX('Model inputs'!AJ35-'Model inputs'!AJ38,0)*'Model inputs'!AJ36)</f>
        <v>0</v>
      </c>
      <c r="C15" s="9">
        <f>'Model inputs'!C14*('Model inputs'!AJ43+MAX('Model inputs'!AJ35-'Model inputs'!AJ38,0)*'Model inputs'!AJ36)</f>
        <v>0</v>
      </c>
      <c r="D15" s="9">
        <f>'Model inputs'!D14*('Model inputs'!AJ43+MAX('Model inputs'!AJ35-'Model inputs'!AJ38,0)*'Model inputs'!AJ36)</f>
        <v>0</v>
      </c>
      <c r="E15" s="9">
        <f>'Model inputs'!E14*('Model inputs'!AJ43+MAX('Model inputs'!AJ35-'Model inputs'!AJ38,0)*'Model inputs'!AJ36)</f>
        <v>0</v>
      </c>
      <c r="F15" s="9">
        <f>'Model inputs'!F14*('Model inputs'!AJ43+MAX('Model inputs'!AJ35-'Model inputs'!AJ38,0)*'Model inputs'!AJ36)</f>
        <v>0</v>
      </c>
      <c r="G15" s="9">
        <f>'Model inputs'!G14*('Model inputs'!AJ43+MAX('Model inputs'!AJ35-'Model inputs'!AJ38,0)*'Model inputs'!AJ36)</f>
        <v>74950</v>
      </c>
      <c r="H15" s="9">
        <f>'Model inputs'!H14*('Model inputs'!AJ43+MAX('Model inputs'!AJ35-'Model inputs'!AJ38,0)*'Model inputs'!AJ36)</f>
        <v>86192.49999999999</v>
      </c>
      <c r="I15" s="9">
        <f>'Model inputs'!I14*('Model inputs'!AJ43+MAX('Model inputs'!AJ35-'Model inputs'!AJ38,0)*'Model inputs'!AJ36)</f>
        <v>99121.37499999999</v>
      </c>
      <c r="J15" s="9">
        <f>'Model inputs'!J14*('Model inputs'!AJ43+MAX('Model inputs'!AJ35-'Model inputs'!AJ38,0)*'Model inputs'!AJ36)</f>
        <v>113989.58124999996</v>
      </c>
      <c r="K15" s="9">
        <f>'Model inputs'!K14*('Model inputs'!AJ43+MAX('Model inputs'!AJ35-'Model inputs'!AJ38,0)*'Model inputs'!AJ36)</f>
        <v>131088.01843749994</v>
      </c>
      <c r="L15" s="9">
        <f>'Model inputs'!L14*('Model inputs'!AJ43+MAX('Model inputs'!AJ35-'Model inputs'!AJ38,0)*'Model inputs'!AJ36)</f>
        <v>150751.22120312494</v>
      </c>
      <c r="M15" s="9">
        <f>'Model inputs'!M14*('Model inputs'!AJ43+MAX('Model inputs'!AJ35-'Model inputs'!AJ38,0)*'Model inputs'!AJ36)</f>
        <v>173363.90438359365</v>
      </c>
      <c r="N15" s="9">
        <f>'Model inputs'!N14*('Model inputs'!AJ43+MAX('Model inputs'!AJ35-'Model inputs'!AJ38,0)*'Model inputs'!AJ36)</f>
        <v>199368.4900411327</v>
      </c>
      <c r="O15" s="9">
        <f>'Model inputs'!O14*('Model inputs'!AJ43+MAX('Model inputs'!AJ35-'Model inputs'!AJ38,0)*'Model inputs'!AJ36)</f>
        <v>229273.76354730257</v>
      </c>
      <c r="P15" s="9">
        <f>'Model inputs'!P14*('Model inputs'!AJ43+MAX('Model inputs'!AJ35-'Model inputs'!AJ38,0)*'Model inputs'!AJ36)</f>
        <v>263664.82807939796</v>
      </c>
      <c r="Q15" s="9">
        <f>'Model inputs'!Q14*('Model inputs'!AJ43+MAX('Model inputs'!AJ35-'Model inputs'!AJ38,0)*'Model inputs'!AJ36)</f>
        <v>303214.5522913076</v>
      </c>
      <c r="R15" s="9">
        <f>'Model inputs'!R14*('Model inputs'!AJ43+MAX('Model inputs'!AJ35-'Model inputs'!AJ38,0)*'Model inputs'!AJ36)</f>
        <v>348696.73513500375</v>
      </c>
      <c r="S15" s="9">
        <f>'Model inputs'!S14*('Model inputs'!AJ43+MAX('Model inputs'!AJ35-'Model inputs'!AJ38,0)*'Model inputs'!AJ36)</f>
        <v>401001.24540525425</v>
      </c>
      <c r="T15" s="9">
        <f>'Model inputs'!T14*('Model inputs'!AJ43+MAX('Model inputs'!AJ35-'Model inputs'!AJ38,0)*'Model inputs'!AJ36)</f>
        <v>461151.43221604236</v>
      </c>
      <c r="U15" s="9">
        <f>'Model inputs'!U14*('Model inputs'!AJ43+MAX('Model inputs'!AJ35-'Model inputs'!AJ38,0)*'Model inputs'!AJ36)</f>
        <v>530324.1470484487</v>
      </c>
      <c r="V15" s="9">
        <f>'Model inputs'!V14*('Model inputs'!AJ43+MAX('Model inputs'!AJ35-'Model inputs'!AJ38,0)*'Model inputs'!AJ36)</f>
        <v>609872.7691057159</v>
      </c>
      <c r="W15" s="9">
        <f>'Model inputs'!W14*('Model inputs'!AJ43+MAX('Model inputs'!AJ35-'Model inputs'!AJ38,0)*'Model inputs'!AJ36)</f>
        <v>701353.6844715733</v>
      </c>
      <c r="X15" s="9">
        <f>'Model inputs'!X14*('Model inputs'!AJ43+MAX('Model inputs'!AJ35-'Model inputs'!AJ38,0)*'Model inputs'!AJ36)</f>
        <v>806556.7371423092</v>
      </c>
      <c r="Y15" s="9">
        <f>'Model inputs'!Y14*('Model inputs'!AJ43+MAX('Model inputs'!AJ35-'Model inputs'!AJ38,0)*'Model inputs'!AJ36)</f>
        <v>927540.2477136555</v>
      </c>
      <c r="Z15" s="9">
        <f>'Model inputs'!Z14*('Model inputs'!AJ43+MAX('Model inputs'!AJ35-'Model inputs'!AJ38,0)*'Model inputs'!AJ36)</f>
        <v>1066671.2848707037</v>
      </c>
      <c r="AA15" s="9">
        <f>'Model inputs'!AA14*('Model inputs'!AJ43+MAX('Model inputs'!AJ35-'Model inputs'!AJ38,0)*'Model inputs'!AJ36)</f>
        <v>1226671.977601309</v>
      </c>
      <c r="AB15" s="9">
        <f>'Model inputs'!AB14*('Model inputs'!AJ43+MAX('Model inputs'!AJ35-'Model inputs'!AJ38,0)*'Model inputs'!AJ36)</f>
        <v>0</v>
      </c>
      <c r="AC15" s="9">
        <f>'Model inputs'!AC14*('Model inputs'!AJ43+MAX('Model inputs'!AJ35-'Model inputs'!AJ38,0)*'Model inputs'!AJ36)</f>
        <v>0</v>
      </c>
      <c r="AD15" s="9">
        <f>'Model inputs'!AD14*('Model inputs'!AJ43+MAX('Model inputs'!AJ35-'Model inputs'!AJ38,0)*'Model inputs'!AJ36)</f>
        <v>0</v>
      </c>
      <c r="AE15" s="9">
        <f>'Model inputs'!AE14*('Model inputs'!AJ43+MAX('Model inputs'!AJ35-'Model inputs'!AJ38,0)*'Model inputs'!AJ36)</f>
        <v>0</v>
      </c>
      <c r="AF15" s="9">
        <f>'Model inputs'!AF14*('Model inputs'!AJ43+MAX('Model inputs'!AJ35-'Model inputs'!AJ38,0)*'Model inputs'!AJ36)</f>
        <v>0</v>
      </c>
      <c r="AG15" s="9">
        <f>'Model inputs'!AG14*('Model inputs'!AJ43+MAX('Model inputs'!AJ35-'Model inputs'!AJ38,0)*'Model inputs'!AJ36)</f>
        <v>0</v>
      </c>
      <c r="AH15" s="9">
        <f>'Model inputs'!AH14*('Model inputs'!AJ43+MAX('Model inputs'!AJ35-'Model inputs'!AJ38,0)*'Model inputs'!AJ36)</f>
        <v>0</v>
      </c>
      <c r="AI15" s="9">
        <f>'Model inputs'!AI14*('Model inputs'!AJ43+MAX('Model inputs'!AJ35-'Model inputs'!AJ38,0)*'Model inputs'!AJ36)</f>
        <v>0</v>
      </c>
    </row>
    <row r="16">
      <c r="A16" t="inlineStr" s="14">
        <is>
          <t xml:space="preserve">Haq CSR checks</t>
        </is>
      </c>
      <c r="B16" s="15">
        <f>'Model inputs'!B17*'Model inputs'!AJ45/12</f>
        <v>0</v>
      </c>
      <c r="C16" s="15">
        <f>'Model inputs'!C17*'Model inputs'!AJ45/12</f>
        <v>0</v>
      </c>
      <c r="D16" s="15">
        <f>'Model inputs'!D17*'Model inputs'!AJ45/12</f>
        <v>0</v>
      </c>
      <c r="E16" s="15">
        <f>'Model inputs'!E17*'Model inputs'!AJ45/12</f>
        <v>0</v>
      </c>
      <c r="F16" s="15">
        <f>'Model inputs'!F17*'Model inputs'!AJ45/12</f>
        <v>0</v>
      </c>
      <c r="G16" s="15">
        <f>'Model inputs'!G17*'Model inputs'!AJ45/12</f>
        <v>0</v>
      </c>
      <c r="H16" s="15">
        <f>'Model inputs'!H17*'Model inputs'!AJ45/12</f>
        <v>0</v>
      </c>
      <c r="I16" s="15">
        <f>'Model inputs'!I17*'Model inputs'!AJ45/12</f>
        <v>2083.333333333333</v>
      </c>
      <c r="J16" s="15">
        <f>'Model inputs'!J17*'Model inputs'!AJ45/12</f>
        <v>2083.333333333333</v>
      </c>
      <c r="K16" s="15">
        <f>'Model inputs'!K17*'Model inputs'!AJ45/12</f>
        <v>2083.333333333333</v>
      </c>
      <c r="L16" s="15">
        <f>'Model inputs'!L17*'Model inputs'!AJ45/12</f>
        <v>4166.666666666666</v>
      </c>
      <c r="M16" s="15">
        <f>'Model inputs'!M17*'Model inputs'!AJ45/12</f>
        <v>4166.666666666666</v>
      </c>
      <c r="N16" s="15">
        <f>'Model inputs'!N17*'Model inputs'!AJ45/12</f>
        <v>4166.666666666666</v>
      </c>
      <c r="O16" s="15">
        <f>'Model inputs'!O17*'Model inputs'!AJ45/12</f>
        <v>6250</v>
      </c>
      <c r="P16" s="15">
        <f>'Model inputs'!P17*'Model inputs'!AJ45/12</f>
        <v>6250</v>
      </c>
      <c r="Q16" s="15">
        <f>'Model inputs'!Q17*'Model inputs'!AJ45/12</f>
        <v>6250</v>
      </c>
      <c r="R16" s="15">
        <f>'Model inputs'!R17*'Model inputs'!AJ45/12</f>
        <v>8333.333333333332</v>
      </c>
      <c r="S16" s="15">
        <f>'Model inputs'!S17*'Model inputs'!AJ45/12</f>
        <v>8333.333333333332</v>
      </c>
      <c r="T16" s="15">
        <f>'Model inputs'!T17*'Model inputs'!AJ45/12</f>
        <v>8333.333333333332</v>
      </c>
      <c r="U16" s="15">
        <f>'Model inputs'!U17*'Model inputs'!AJ45/12</f>
        <v>10416.666666666666</v>
      </c>
      <c r="V16" s="15">
        <f>'Model inputs'!V17*'Model inputs'!AJ45/12</f>
        <v>10416.666666666666</v>
      </c>
      <c r="W16" s="15">
        <f>'Model inputs'!W17*'Model inputs'!AJ45/12</f>
        <v>10416.666666666666</v>
      </c>
      <c r="X16" s="15">
        <f>'Model inputs'!X17*'Model inputs'!AJ45/12</f>
        <v>12500</v>
      </c>
      <c r="Y16" s="15">
        <f>'Model inputs'!Y17*'Model inputs'!AJ45/12</f>
        <v>12500</v>
      </c>
      <c r="Z16" s="15">
        <f>'Model inputs'!Z17*'Model inputs'!AJ45/12</f>
        <v>14583.333333333332</v>
      </c>
      <c r="AA16" s="15">
        <f>'Model inputs'!AA17*'Model inputs'!AJ45/12</f>
        <v>16666.666666666664</v>
      </c>
      <c r="AB16" s="15">
        <f>'Model inputs'!AB17*'Model inputs'!AJ45/12</f>
        <v>0</v>
      </c>
      <c r="AC16" s="15">
        <f>'Model inputs'!AC17*'Model inputs'!AJ45/12</f>
        <v>0</v>
      </c>
      <c r="AD16" s="15">
        <f>'Model inputs'!AD17*'Model inputs'!AJ45/12</f>
        <v>0</v>
      </c>
      <c r="AE16" s="15">
        <f>'Model inputs'!AE17*'Model inputs'!AJ45/12</f>
        <v>0</v>
      </c>
      <c r="AF16" s="15">
        <f>'Model inputs'!AF17*'Model inputs'!AJ45/12</f>
        <v>0</v>
      </c>
      <c r="AG16" s="15">
        <f>'Model inputs'!AG17*'Model inputs'!AJ45/12</f>
        <v>0</v>
      </c>
      <c r="AH16" s="15">
        <f>'Model inputs'!AH17*'Model inputs'!AJ45/12</f>
        <v>0</v>
      </c>
      <c r="AI16" s="15">
        <f>'Model inputs'!AI17*'Model inputs'!AJ45/12</f>
        <v>0</v>
      </c>
    </row>
    <row r="17">
      <c r="A17" t="inlineStr" s="14">
        <is>
          <t xml:space="preserve">Haq CSR districts</t>
        </is>
      </c>
      <c r="B17" s="15">
        <f>IF(IF(IF(ISERROR('Model inputs'!B89&gt;=24),'Model inputs'!B89&gt;=24,IF('Model inputs'!B89="","",'Model inputs'!B89&gt;=24))="",FALSE,IF(ISERROR('Model inputs'!B89&gt;=24),'Model inputs'!B89&gt;=24,IF('Model inputs'!B89="","",'Model inputs'!B89&gt;=24))),IF('Model inputs'!AJ51="","",'Model inputs'!AJ51),IF(IF(IF(ISERROR('Model inputs'!B89&gt;=23),'Model inputs'!B89&gt;=23,IF('Model inputs'!B89="","",'Model inputs'!B89&gt;=23))="",FALSE,IF(ISERROR('Model inputs'!B89&gt;=23),'Model inputs'!B89&gt;=23,IF('Model inputs'!B89="","",'Model inputs'!B89&gt;=23))),IF('Model inputs'!AJ50="","",'Model inputs'!AJ50),IF(IF(IF(ISERROR('Model inputs'!B89&gt;=21),'Model inputs'!B89&gt;=21,IF('Model inputs'!B89="","",'Model inputs'!B89&gt;=21))="",FALSE,IF(ISERROR('Model inputs'!B89&gt;=21),'Model inputs'!B89&gt;=21,IF('Model inputs'!B89="","",'Model inputs'!B89&gt;=21))),IF('Model inputs'!AJ49="","",'Model inputs'!AJ49),IF(IF(IF(ISERROR('Model inputs'!B89&gt;=18),'Model inputs'!B89&gt;=18,IF('Model inputs'!B89="","",'Model inputs'!B89&gt;=18))="",FALSE,IF(ISERROR('Model inputs'!B89&gt;=18),'Model inputs'!B89&gt;=18,IF('Model inputs'!B89="","",'Model inputs'!B89&gt;=18))),IF('Model inputs'!AJ48="","",'Model inputs'!AJ48),IF(IF(IF(ISERROR('Model inputs'!B89&gt;=15),'Model inputs'!B89&gt;=15,IF('Model inputs'!B89="","",'Model inputs'!B89&gt;=15))="",FALSE,IF(ISERROR('Model inputs'!B89&gt;=15),'Model inputs'!B89&gt;=15,IF('Model inputs'!B89="","",'Model inputs'!B89&gt;=15))),IF('Model inputs'!AJ47="","",'Model inputs'!AJ47),IF(IF(IF(ISERROR('Model inputs'!B89&gt;=12),'Model inputs'!B89&gt;=12,IF('Model inputs'!B89="","",'Model inputs'!B89&gt;=12))="",FALSE,IF(ISERROR('Model inputs'!B89&gt;=12),'Model inputs'!B89&gt;=12,IF('Model inputs'!B89="","",'Model inputs'!B89&gt;=12))),IF('Model inputs'!AJ46="","",'Model inputs'!AJ46),IF(IF(IF(ISERROR('Model inputs'!B89&gt;=9),'Model inputs'!B89&gt;=9,IF('Model inputs'!B89="","",'Model inputs'!B89&gt;=9))="",FALSE,IF(ISERROR('Model inputs'!B89&gt;=9),'Model inputs'!B89&gt;=9,IF('Model inputs'!B89="","",'Model inputs'!B89&gt;=9))),IF('Model inputs'!AJ53="","",'Model inputs'!AJ53),IF(IF(IF(ISERROR('Model inputs'!B89&gt;=6),'Model inputs'!B89&gt;=6,IF('Model inputs'!B89="","",'Model inputs'!B89&gt;=6))="",FALSE,IF(ISERROR('Model inputs'!B89&gt;=6),'Model inputs'!B89&gt;=6,IF('Model inputs'!B89="","",'Model inputs'!B89&gt;=6))),IF('Model inputs'!AJ52="","",'Model inputs'!AJ52),0))))))))</f>
        <v>0</v>
      </c>
      <c r="C17" s="15">
        <f>IF(IF(IF(ISERROR('Model inputs'!C89&gt;=24),'Model inputs'!C89&gt;=24,IF('Model inputs'!C89="","",'Model inputs'!C89&gt;=24))="",FALSE,IF(ISERROR('Model inputs'!C89&gt;=24),'Model inputs'!C89&gt;=24,IF('Model inputs'!C89="","",'Model inputs'!C89&gt;=24))),IF('Model inputs'!AJ51="","",'Model inputs'!AJ51),IF(IF(IF(ISERROR('Model inputs'!C89&gt;=23),'Model inputs'!C89&gt;=23,IF('Model inputs'!C89="","",'Model inputs'!C89&gt;=23))="",FALSE,IF(ISERROR('Model inputs'!C89&gt;=23),'Model inputs'!C89&gt;=23,IF('Model inputs'!C89="","",'Model inputs'!C89&gt;=23))),IF('Model inputs'!AJ50="","",'Model inputs'!AJ50),IF(IF(IF(ISERROR('Model inputs'!C89&gt;=21),'Model inputs'!C89&gt;=21,IF('Model inputs'!C89="","",'Model inputs'!C89&gt;=21))="",FALSE,IF(ISERROR('Model inputs'!C89&gt;=21),'Model inputs'!C89&gt;=21,IF('Model inputs'!C89="","",'Model inputs'!C89&gt;=21))),IF('Model inputs'!AJ49="","",'Model inputs'!AJ49),IF(IF(IF(ISERROR('Model inputs'!C89&gt;=18),'Model inputs'!C89&gt;=18,IF('Model inputs'!C89="","",'Model inputs'!C89&gt;=18))="",FALSE,IF(ISERROR('Model inputs'!C89&gt;=18),'Model inputs'!C89&gt;=18,IF('Model inputs'!C89="","",'Model inputs'!C89&gt;=18))),IF('Model inputs'!AJ48="","",'Model inputs'!AJ48),IF(IF(IF(ISERROR('Model inputs'!C89&gt;=15),'Model inputs'!C89&gt;=15,IF('Model inputs'!C89="","",'Model inputs'!C89&gt;=15))="",FALSE,IF(ISERROR('Model inputs'!C89&gt;=15),'Model inputs'!C89&gt;=15,IF('Model inputs'!C89="","",'Model inputs'!C89&gt;=15))),IF('Model inputs'!AJ47="","",'Model inputs'!AJ47),IF(IF(IF(ISERROR('Model inputs'!C89&gt;=12),'Model inputs'!C89&gt;=12,IF('Model inputs'!C89="","",'Model inputs'!C89&gt;=12))="",FALSE,IF(ISERROR('Model inputs'!C89&gt;=12),'Model inputs'!C89&gt;=12,IF('Model inputs'!C89="","",'Model inputs'!C89&gt;=12))),IF('Model inputs'!AJ46="","",'Model inputs'!AJ46),IF(IF(IF(ISERROR('Model inputs'!C89&gt;=9),'Model inputs'!C89&gt;=9,IF('Model inputs'!C89="","",'Model inputs'!C89&gt;=9))="",FALSE,IF(ISERROR('Model inputs'!C89&gt;=9),'Model inputs'!C89&gt;=9,IF('Model inputs'!C89="","",'Model inputs'!C89&gt;=9))),IF('Model inputs'!AJ53="","",'Model inputs'!AJ53),IF(IF(IF(ISERROR('Model inputs'!C89&gt;=6),'Model inputs'!C89&gt;=6,IF('Model inputs'!C89="","",'Model inputs'!C89&gt;=6))="",FALSE,IF(ISERROR('Model inputs'!C89&gt;=6),'Model inputs'!C89&gt;=6,IF('Model inputs'!C89="","",'Model inputs'!C89&gt;=6))),IF('Model inputs'!AJ52="","",'Model inputs'!AJ52),0))))))))</f>
        <v>0</v>
      </c>
      <c r="D17" s="15">
        <f>IF(IF(IF(ISERROR('Model inputs'!D89&gt;=24),'Model inputs'!D89&gt;=24,IF('Model inputs'!D89="","",'Model inputs'!D89&gt;=24))="",FALSE,IF(ISERROR('Model inputs'!D89&gt;=24),'Model inputs'!D89&gt;=24,IF('Model inputs'!D89="","",'Model inputs'!D89&gt;=24))),IF('Model inputs'!AJ51="","",'Model inputs'!AJ51),IF(IF(IF(ISERROR('Model inputs'!D89&gt;=23),'Model inputs'!D89&gt;=23,IF('Model inputs'!D89="","",'Model inputs'!D89&gt;=23))="",FALSE,IF(ISERROR('Model inputs'!D89&gt;=23),'Model inputs'!D89&gt;=23,IF('Model inputs'!D89="","",'Model inputs'!D89&gt;=23))),IF('Model inputs'!AJ50="","",'Model inputs'!AJ50),IF(IF(IF(ISERROR('Model inputs'!D89&gt;=21),'Model inputs'!D89&gt;=21,IF('Model inputs'!D89="","",'Model inputs'!D89&gt;=21))="",FALSE,IF(ISERROR('Model inputs'!D89&gt;=21),'Model inputs'!D89&gt;=21,IF('Model inputs'!D89="","",'Model inputs'!D89&gt;=21))),IF('Model inputs'!AJ49="","",'Model inputs'!AJ49),IF(IF(IF(ISERROR('Model inputs'!D89&gt;=18),'Model inputs'!D89&gt;=18,IF('Model inputs'!D89="","",'Model inputs'!D89&gt;=18))="",FALSE,IF(ISERROR('Model inputs'!D89&gt;=18),'Model inputs'!D89&gt;=18,IF('Model inputs'!D89="","",'Model inputs'!D89&gt;=18))),IF('Model inputs'!AJ48="","",'Model inputs'!AJ48),IF(IF(IF(ISERROR('Model inputs'!D89&gt;=15),'Model inputs'!D89&gt;=15,IF('Model inputs'!D89="","",'Model inputs'!D89&gt;=15))="",FALSE,IF(ISERROR('Model inputs'!D89&gt;=15),'Model inputs'!D89&gt;=15,IF('Model inputs'!D89="","",'Model inputs'!D89&gt;=15))),IF('Model inputs'!AJ47="","",'Model inputs'!AJ47),IF(IF(IF(ISERROR('Model inputs'!D89&gt;=12),'Model inputs'!D89&gt;=12,IF('Model inputs'!D89="","",'Model inputs'!D89&gt;=12))="",FALSE,IF(ISERROR('Model inputs'!D89&gt;=12),'Model inputs'!D89&gt;=12,IF('Model inputs'!D89="","",'Model inputs'!D89&gt;=12))),IF('Model inputs'!AJ46="","",'Model inputs'!AJ46),IF(IF(IF(ISERROR('Model inputs'!D89&gt;=9),'Model inputs'!D89&gt;=9,IF('Model inputs'!D89="","",'Model inputs'!D89&gt;=9))="",FALSE,IF(ISERROR('Model inputs'!D89&gt;=9),'Model inputs'!D89&gt;=9,IF('Model inputs'!D89="","",'Model inputs'!D89&gt;=9))),IF('Model inputs'!AJ53="","",'Model inputs'!AJ53),IF(IF(IF(ISERROR('Model inputs'!D89&gt;=6),'Model inputs'!D89&gt;=6,IF('Model inputs'!D89="","",'Model inputs'!D89&gt;=6))="",FALSE,IF(ISERROR('Model inputs'!D89&gt;=6),'Model inputs'!D89&gt;=6,IF('Model inputs'!D89="","",'Model inputs'!D89&gt;=6))),IF('Model inputs'!AJ52="","",'Model inputs'!AJ52),0))))))))</f>
        <v>0</v>
      </c>
      <c r="E17" s="15">
        <f>IF(IF(IF(ISERROR('Model inputs'!E89&gt;=24),'Model inputs'!E89&gt;=24,IF('Model inputs'!E89="","",'Model inputs'!E89&gt;=24))="",FALSE,IF(ISERROR('Model inputs'!E89&gt;=24),'Model inputs'!E89&gt;=24,IF('Model inputs'!E89="","",'Model inputs'!E89&gt;=24))),IF('Model inputs'!AJ51="","",'Model inputs'!AJ51),IF(IF(IF(ISERROR('Model inputs'!E89&gt;=23),'Model inputs'!E89&gt;=23,IF('Model inputs'!E89="","",'Model inputs'!E89&gt;=23))="",FALSE,IF(ISERROR('Model inputs'!E89&gt;=23),'Model inputs'!E89&gt;=23,IF('Model inputs'!E89="","",'Model inputs'!E89&gt;=23))),IF('Model inputs'!AJ50="","",'Model inputs'!AJ50),IF(IF(IF(ISERROR('Model inputs'!E89&gt;=21),'Model inputs'!E89&gt;=21,IF('Model inputs'!E89="","",'Model inputs'!E89&gt;=21))="",FALSE,IF(ISERROR('Model inputs'!E89&gt;=21),'Model inputs'!E89&gt;=21,IF('Model inputs'!E89="","",'Model inputs'!E89&gt;=21))),IF('Model inputs'!AJ49="","",'Model inputs'!AJ49),IF(IF(IF(ISERROR('Model inputs'!E89&gt;=18),'Model inputs'!E89&gt;=18,IF('Model inputs'!E89="","",'Model inputs'!E89&gt;=18))="",FALSE,IF(ISERROR('Model inputs'!E89&gt;=18),'Model inputs'!E89&gt;=18,IF('Model inputs'!E89="","",'Model inputs'!E89&gt;=18))),IF('Model inputs'!AJ48="","",'Model inputs'!AJ48),IF(IF(IF(ISERROR('Model inputs'!E89&gt;=15),'Model inputs'!E89&gt;=15,IF('Model inputs'!E89="","",'Model inputs'!E89&gt;=15))="",FALSE,IF(ISERROR('Model inputs'!E89&gt;=15),'Model inputs'!E89&gt;=15,IF('Model inputs'!E89="","",'Model inputs'!E89&gt;=15))),IF('Model inputs'!AJ47="","",'Model inputs'!AJ47),IF(IF(IF(ISERROR('Model inputs'!E89&gt;=12),'Model inputs'!E89&gt;=12,IF('Model inputs'!E89="","",'Model inputs'!E89&gt;=12))="",FALSE,IF(ISERROR('Model inputs'!E89&gt;=12),'Model inputs'!E89&gt;=12,IF('Model inputs'!E89="","",'Model inputs'!E89&gt;=12))),IF('Model inputs'!AJ46="","",'Model inputs'!AJ46),IF(IF(IF(ISERROR('Model inputs'!E89&gt;=9),'Model inputs'!E89&gt;=9,IF('Model inputs'!E89="","",'Model inputs'!E89&gt;=9))="",FALSE,IF(ISERROR('Model inputs'!E89&gt;=9),'Model inputs'!E89&gt;=9,IF('Model inputs'!E89="","",'Model inputs'!E89&gt;=9))),IF('Model inputs'!AJ53="","",'Model inputs'!AJ53),IF(IF(IF(ISERROR('Model inputs'!E89&gt;=6),'Model inputs'!E89&gt;=6,IF('Model inputs'!E89="","",'Model inputs'!E89&gt;=6))="",FALSE,IF(ISERROR('Model inputs'!E89&gt;=6),'Model inputs'!E89&gt;=6,IF('Model inputs'!E89="","",'Model inputs'!E89&gt;=6))),IF('Model inputs'!AJ52="","",'Model inputs'!AJ52),0))))))))</f>
        <v>0</v>
      </c>
      <c r="F17" s="15">
        <f>IF(IF(IF(ISERROR('Model inputs'!F89&gt;=24),'Model inputs'!F89&gt;=24,IF('Model inputs'!F89="","",'Model inputs'!F89&gt;=24))="",FALSE,IF(ISERROR('Model inputs'!F89&gt;=24),'Model inputs'!F89&gt;=24,IF('Model inputs'!F89="","",'Model inputs'!F89&gt;=24))),IF('Model inputs'!AJ51="","",'Model inputs'!AJ51),IF(IF(IF(ISERROR('Model inputs'!F89&gt;=23),'Model inputs'!F89&gt;=23,IF('Model inputs'!F89="","",'Model inputs'!F89&gt;=23))="",FALSE,IF(ISERROR('Model inputs'!F89&gt;=23),'Model inputs'!F89&gt;=23,IF('Model inputs'!F89="","",'Model inputs'!F89&gt;=23))),IF('Model inputs'!AJ50="","",'Model inputs'!AJ50),IF(IF(IF(ISERROR('Model inputs'!F89&gt;=21),'Model inputs'!F89&gt;=21,IF('Model inputs'!F89="","",'Model inputs'!F89&gt;=21))="",FALSE,IF(ISERROR('Model inputs'!F89&gt;=21),'Model inputs'!F89&gt;=21,IF('Model inputs'!F89="","",'Model inputs'!F89&gt;=21))),IF('Model inputs'!AJ49="","",'Model inputs'!AJ49),IF(IF(IF(ISERROR('Model inputs'!F89&gt;=18),'Model inputs'!F89&gt;=18,IF('Model inputs'!F89="","",'Model inputs'!F89&gt;=18))="",FALSE,IF(ISERROR('Model inputs'!F89&gt;=18),'Model inputs'!F89&gt;=18,IF('Model inputs'!F89="","",'Model inputs'!F89&gt;=18))),IF('Model inputs'!AJ48="","",'Model inputs'!AJ48),IF(IF(IF(ISERROR('Model inputs'!F89&gt;=15),'Model inputs'!F89&gt;=15,IF('Model inputs'!F89="","",'Model inputs'!F89&gt;=15))="",FALSE,IF(ISERROR('Model inputs'!F89&gt;=15),'Model inputs'!F89&gt;=15,IF('Model inputs'!F89="","",'Model inputs'!F89&gt;=15))),IF('Model inputs'!AJ47="","",'Model inputs'!AJ47),IF(IF(IF(ISERROR('Model inputs'!F89&gt;=12),'Model inputs'!F89&gt;=12,IF('Model inputs'!F89="","",'Model inputs'!F89&gt;=12))="",FALSE,IF(ISERROR('Model inputs'!F89&gt;=12),'Model inputs'!F89&gt;=12,IF('Model inputs'!F89="","",'Model inputs'!F89&gt;=12))),IF('Model inputs'!AJ46="","",'Model inputs'!AJ46),IF(IF(IF(ISERROR('Model inputs'!F89&gt;=9),'Model inputs'!F89&gt;=9,IF('Model inputs'!F89="","",'Model inputs'!F89&gt;=9))="",FALSE,IF(ISERROR('Model inputs'!F89&gt;=9),'Model inputs'!F89&gt;=9,IF('Model inputs'!F89="","",'Model inputs'!F89&gt;=9))),IF('Model inputs'!AJ53="","",'Model inputs'!AJ53),IF(IF(IF(ISERROR('Model inputs'!F89&gt;=6),'Model inputs'!F89&gt;=6,IF('Model inputs'!F89="","",'Model inputs'!F89&gt;=6))="",FALSE,IF(ISERROR('Model inputs'!F89&gt;=6),'Model inputs'!F89&gt;=6,IF('Model inputs'!F89="","",'Model inputs'!F89&gt;=6))),IF('Model inputs'!AJ52="","",'Model inputs'!AJ52),0))))))))</f>
        <v>0</v>
      </c>
      <c r="G17" s="15">
        <f>IF(IF(IF(ISERROR('Model inputs'!G89&gt;=24),'Model inputs'!G89&gt;=24,IF('Model inputs'!G89="","",'Model inputs'!G89&gt;=24))="",FALSE,IF(ISERROR('Model inputs'!G89&gt;=24),'Model inputs'!G89&gt;=24,IF('Model inputs'!G89="","",'Model inputs'!G89&gt;=24))),IF('Model inputs'!AJ51="","",'Model inputs'!AJ51),IF(IF(IF(ISERROR('Model inputs'!G89&gt;=23),'Model inputs'!G89&gt;=23,IF('Model inputs'!G89="","",'Model inputs'!G89&gt;=23))="",FALSE,IF(ISERROR('Model inputs'!G89&gt;=23),'Model inputs'!G89&gt;=23,IF('Model inputs'!G89="","",'Model inputs'!G89&gt;=23))),IF('Model inputs'!AJ50="","",'Model inputs'!AJ50),IF(IF(IF(ISERROR('Model inputs'!G89&gt;=21),'Model inputs'!G89&gt;=21,IF('Model inputs'!G89="","",'Model inputs'!G89&gt;=21))="",FALSE,IF(ISERROR('Model inputs'!G89&gt;=21),'Model inputs'!G89&gt;=21,IF('Model inputs'!G89="","",'Model inputs'!G89&gt;=21))),IF('Model inputs'!AJ49="","",'Model inputs'!AJ49),IF(IF(IF(ISERROR('Model inputs'!G89&gt;=18),'Model inputs'!G89&gt;=18,IF('Model inputs'!G89="","",'Model inputs'!G89&gt;=18))="",FALSE,IF(ISERROR('Model inputs'!G89&gt;=18),'Model inputs'!G89&gt;=18,IF('Model inputs'!G89="","",'Model inputs'!G89&gt;=18))),IF('Model inputs'!AJ48="","",'Model inputs'!AJ48),IF(IF(IF(ISERROR('Model inputs'!G89&gt;=15),'Model inputs'!G89&gt;=15,IF('Model inputs'!G89="","",'Model inputs'!G89&gt;=15))="",FALSE,IF(ISERROR('Model inputs'!G89&gt;=15),'Model inputs'!G89&gt;=15,IF('Model inputs'!G89="","",'Model inputs'!G89&gt;=15))),IF('Model inputs'!AJ47="","",'Model inputs'!AJ47),IF(IF(IF(ISERROR('Model inputs'!G89&gt;=12),'Model inputs'!G89&gt;=12,IF('Model inputs'!G89="","",'Model inputs'!G89&gt;=12))="",FALSE,IF(ISERROR('Model inputs'!G89&gt;=12),'Model inputs'!G89&gt;=12,IF('Model inputs'!G89="","",'Model inputs'!G89&gt;=12))),IF('Model inputs'!AJ46="","",'Model inputs'!AJ46),IF(IF(IF(ISERROR('Model inputs'!G89&gt;=9),'Model inputs'!G89&gt;=9,IF('Model inputs'!G89="","",'Model inputs'!G89&gt;=9))="",FALSE,IF(ISERROR('Model inputs'!G89&gt;=9),'Model inputs'!G89&gt;=9,IF('Model inputs'!G89="","",'Model inputs'!G89&gt;=9))),IF('Model inputs'!AJ53="","",'Model inputs'!AJ53),IF(IF(IF(ISERROR('Model inputs'!G89&gt;=6),'Model inputs'!G89&gt;=6,IF('Model inputs'!G89="","",'Model inputs'!G89&gt;=6))="",FALSE,IF(ISERROR('Model inputs'!G89&gt;=6),'Model inputs'!G89&gt;=6,IF('Model inputs'!G89="","",'Model inputs'!G89&gt;=6))),IF('Model inputs'!AJ52="","",'Model inputs'!AJ52),0))))))))</f>
        <v>0</v>
      </c>
      <c r="H17" s="15">
        <f>IF(IF(IF(ISERROR('Model inputs'!H89&gt;=24),'Model inputs'!H89&gt;=24,IF('Model inputs'!H89="","",'Model inputs'!H89&gt;=24))="",FALSE,IF(ISERROR('Model inputs'!H89&gt;=24),'Model inputs'!H89&gt;=24,IF('Model inputs'!H89="","",'Model inputs'!H89&gt;=24))),IF('Model inputs'!AJ51="","",'Model inputs'!AJ51),IF(IF(IF(ISERROR('Model inputs'!H89&gt;=23),'Model inputs'!H89&gt;=23,IF('Model inputs'!H89="","",'Model inputs'!H89&gt;=23))="",FALSE,IF(ISERROR('Model inputs'!H89&gt;=23),'Model inputs'!H89&gt;=23,IF('Model inputs'!H89="","",'Model inputs'!H89&gt;=23))),IF('Model inputs'!AJ50="","",'Model inputs'!AJ50),IF(IF(IF(ISERROR('Model inputs'!H89&gt;=21),'Model inputs'!H89&gt;=21,IF('Model inputs'!H89="","",'Model inputs'!H89&gt;=21))="",FALSE,IF(ISERROR('Model inputs'!H89&gt;=21),'Model inputs'!H89&gt;=21,IF('Model inputs'!H89="","",'Model inputs'!H89&gt;=21))),IF('Model inputs'!AJ49="","",'Model inputs'!AJ49),IF(IF(IF(ISERROR('Model inputs'!H89&gt;=18),'Model inputs'!H89&gt;=18,IF('Model inputs'!H89="","",'Model inputs'!H89&gt;=18))="",FALSE,IF(ISERROR('Model inputs'!H89&gt;=18),'Model inputs'!H89&gt;=18,IF('Model inputs'!H89="","",'Model inputs'!H89&gt;=18))),IF('Model inputs'!AJ48="","",'Model inputs'!AJ48),IF(IF(IF(ISERROR('Model inputs'!H89&gt;=15),'Model inputs'!H89&gt;=15,IF('Model inputs'!H89="","",'Model inputs'!H89&gt;=15))="",FALSE,IF(ISERROR('Model inputs'!H89&gt;=15),'Model inputs'!H89&gt;=15,IF('Model inputs'!H89="","",'Model inputs'!H89&gt;=15))),IF('Model inputs'!AJ47="","",'Model inputs'!AJ47),IF(IF(IF(ISERROR('Model inputs'!H89&gt;=12),'Model inputs'!H89&gt;=12,IF('Model inputs'!H89="","",'Model inputs'!H89&gt;=12))="",FALSE,IF(ISERROR('Model inputs'!H89&gt;=12),'Model inputs'!H89&gt;=12,IF('Model inputs'!H89="","",'Model inputs'!H89&gt;=12))),IF('Model inputs'!AJ46="","",'Model inputs'!AJ46),IF(IF(IF(ISERROR('Model inputs'!H89&gt;=9),'Model inputs'!H89&gt;=9,IF('Model inputs'!H89="","",'Model inputs'!H89&gt;=9))="",FALSE,IF(ISERROR('Model inputs'!H89&gt;=9),'Model inputs'!H89&gt;=9,IF('Model inputs'!H89="","",'Model inputs'!H89&gt;=9))),IF('Model inputs'!AJ53="","",'Model inputs'!AJ53),IF(IF(IF(ISERROR('Model inputs'!H89&gt;=6),'Model inputs'!H89&gt;=6,IF('Model inputs'!H89="","",'Model inputs'!H89&gt;=6))="",FALSE,IF(ISERROR('Model inputs'!H89&gt;=6),'Model inputs'!H89&gt;=6,IF('Model inputs'!H89="","",'Model inputs'!H89&gt;=6))),IF('Model inputs'!AJ52="","",'Model inputs'!AJ52),0))))))))</f>
        <v>0</v>
      </c>
      <c r="I17" s="15">
        <f>IF(IF(IF(ISERROR('Model inputs'!I89&gt;=24),'Model inputs'!I89&gt;=24,IF('Model inputs'!I89="","",'Model inputs'!I89&gt;=24))="",FALSE,IF(ISERROR('Model inputs'!I89&gt;=24),'Model inputs'!I89&gt;=24,IF('Model inputs'!I89="","",'Model inputs'!I89&gt;=24))),IF('Model inputs'!AJ51="","",'Model inputs'!AJ51),IF(IF(IF(ISERROR('Model inputs'!I89&gt;=23),'Model inputs'!I89&gt;=23,IF('Model inputs'!I89="","",'Model inputs'!I89&gt;=23))="",FALSE,IF(ISERROR('Model inputs'!I89&gt;=23),'Model inputs'!I89&gt;=23,IF('Model inputs'!I89="","",'Model inputs'!I89&gt;=23))),IF('Model inputs'!AJ50="","",'Model inputs'!AJ50),IF(IF(IF(ISERROR('Model inputs'!I89&gt;=21),'Model inputs'!I89&gt;=21,IF('Model inputs'!I89="","",'Model inputs'!I89&gt;=21))="",FALSE,IF(ISERROR('Model inputs'!I89&gt;=21),'Model inputs'!I89&gt;=21,IF('Model inputs'!I89="","",'Model inputs'!I89&gt;=21))),IF('Model inputs'!AJ49="","",'Model inputs'!AJ49),IF(IF(IF(ISERROR('Model inputs'!I89&gt;=18),'Model inputs'!I89&gt;=18,IF('Model inputs'!I89="","",'Model inputs'!I89&gt;=18))="",FALSE,IF(ISERROR('Model inputs'!I89&gt;=18),'Model inputs'!I89&gt;=18,IF('Model inputs'!I89="","",'Model inputs'!I89&gt;=18))),IF('Model inputs'!AJ48="","",'Model inputs'!AJ48),IF(IF(IF(ISERROR('Model inputs'!I89&gt;=15),'Model inputs'!I89&gt;=15,IF('Model inputs'!I89="","",'Model inputs'!I89&gt;=15))="",FALSE,IF(ISERROR('Model inputs'!I89&gt;=15),'Model inputs'!I89&gt;=15,IF('Model inputs'!I89="","",'Model inputs'!I89&gt;=15))),IF('Model inputs'!AJ47="","",'Model inputs'!AJ47),IF(IF(IF(ISERROR('Model inputs'!I89&gt;=12),'Model inputs'!I89&gt;=12,IF('Model inputs'!I89="","",'Model inputs'!I89&gt;=12))="",FALSE,IF(ISERROR('Model inputs'!I89&gt;=12),'Model inputs'!I89&gt;=12,IF('Model inputs'!I89="","",'Model inputs'!I89&gt;=12))),IF('Model inputs'!AJ46="","",'Model inputs'!AJ46),IF(IF(IF(ISERROR('Model inputs'!I89&gt;=9),'Model inputs'!I89&gt;=9,IF('Model inputs'!I89="","",'Model inputs'!I89&gt;=9))="",FALSE,IF(ISERROR('Model inputs'!I89&gt;=9),'Model inputs'!I89&gt;=9,IF('Model inputs'!I89="","",'Model inputs'!I89&gt;=9))),IF('Model inputs'!AJ53="","",'Model inputs'!AJ53),IF(IF(IF(ISERROR('Model inputs'!I89&gt;=6),'Model inputs'!I89&gt;=6,IF('Model inputs'!I89="","",'Model inputs'!I89&gt;=6))="",FALSE,IF(ISERROR('Model inputs'!I89&gt;=6),'Model inputs'!I89&gt;=6,IF('Model inputs'!I89="","",'Model inputs'!I89&gt;=6))),IF('Model inputs'!AJ52="","",'Model inputs'!AJ52),0))))))))</f>
        <v>1</v>
      </c>
      <c r="J17" s="15">
        <f>IF(IF(IF(ISERROR('Model inputs'!J89&gt;=24),'Model inputs'!J89&gt;=24,IF('Model inputs'!J89="","",'Model inputs'!J89&gt;=24))="",FALSE,IF(ISERROR('Model inputs'!J89&gt;=24),'Model inputs'!J89&gt;=24,IF('Model inputs'!J89="","",'Model inputs'!J89&gt;=24))),IF('Model inputs'!AJ51="","",'Model inputs'!AJ51),IF(IF(IF(ISERROR('Model inputs'!J89&gt;=23),'Model inputs'!J89&gt;=23,IF('Model inputs'!J89="","",'Model inputs'!J89&gt;=23))="",FALSE,IF(ISERROR('Model inputs'!J89&gt;=23),'Model inputs'!J89&gt;=23,IF('Model inputs'!J89="","",'Model inputs'!J89&gt;=23))),IF('Model inputs'!AJ50="","",'Model inputs'!AJ50),IF(IF(IF(ISERROR('Model inputs'!J89&gt;=21),'Model inputs'!J89&gt;=21,IF('Model inputs'!J89="","",'Model inputs'!J89&gt;=21))="",FALSE,IF(ISERROR('Model inputs'!J89&gt;=21),'Model inputs'!J89&gt;=21,IF('Model inputs'!J89="","",'Model inputs'!J89&gt;=21))),IF('Model inputs'!AJ49="","",'Model inputs'!AJ49),IF(IF(IF(ISERROR('Model inputs'!J89&gt;=18),'Model inputs'!J89&gt;=18,IF('Model inputs'!J89="","",'Model inputs'!J89&gt;=18))="",FALSE,IF(ISERROR('Model inputs'!J89&gt;=18),'Model inputs'!J89&gt;=18,IF('Model inputs'!J89="","",'Model inputs'!J89&gt;=18))),IF('Model inputs'!AJ48="","",'Model inputs'!AJ48),IF(IF(IF(ISERROR('Model inputs'!J89&gt;=15),'Model inputs'!J89&gt;=15,IF('Model inputs'!J89="","",'Model inputs'!J89&gt;=15))="",FALSE,IF(ISERROR('Model inputs'!J89&gt;=15),'Model inputs'!J89&gt;=15,IF('Model inputs'!J89="","",'Model inputs'!J89&gt;=15))),IF('Model inputs'!AJ47="","",'Model inputs'!AJ47),IF(IF(IF(ISERROR('Model inputs'!J89&gt;=12),'Model inputs'!J89&gt;=12,IF('Model inputs'!J89="","",'Model inputs'!J89&gt;=12))="",FALSE,IF(ISERROR('Model inputs'!J89&gt;=12),'Model inputs'!J89&gt;=12,IF('Model inputs'!J89="","",'Model inputs'!J89&gt;=12))),IF('Model inputs'!AJ46="","",'Model inputs'!AJ46),IF(IF(IF(ISERROR('Model inputs'!J89&gt;=9),'Model inputs'!J89&gt;=9,IF('Model inputs'!J89="","",'Model inputs'!J89&gt;=9))="",FALSE,IF(ISERROR('Model inputs'!J89&gt;=9),'Model inputs'!J89&gt;=9,IF('Model inputs'!J89="","",'Model inputs'!J89&gt;=9))),IF('Model inputs'!AJ53="","",'Model inputs'!AJ53),IF(IF(IF(ISERROR('Model inputs'!J89&gt;=6),'Model inputs'!J89&gt;=6,IF('Model inputs'!J89="","",'Model inputs'!J89&gt;=6))="",FALSE,IF(ISERROR('Model inputs'!J89&gt;=6),'Model inputs'!J89&gt;=6,IF('Model inputs'!J89="","",'Model inputs'!J89&gt;=6))),IF('Model inputs'!AJ52="","",'Model inputs'!AJ52),0))))))))</f>
        <v>1</v>
      </c>
      <c r="K17" s="15">
        <f>IF(IF(IF(ISERROR('Model inputs'!K89&gt;=24),'Model inputs'!K89&gt;=24,IF('Model inputs'!K89="","",'Model inputs'!K89&gt;=24))="",FALSE,IF(ISERROR('Model inputs'!K89&gt;=24),'Model inputs'!K89&gt;=24,IF('Model inputs'!K89="","",'Model inputs'!K89&gt;=24))),IF('Model inputs'!AJ51="","",'Model inputs'!AJ51),IF(IF(IF(ISERROR('Model inputs'!K89&gt;=23),'Model inputs'!K89&gt;=23,IF('Model inputs'!K89="","",'Model inputs'!K89&gt;=23))="",FALSE,IF(ISERROR('Model inputs'!K89&gt;=23),'Model inputs'!K89&gt;=23,IF('Model inputs'!K89="","",'Model inputs'!K89&gt;=23))),IF('Model inputs'!AJ50="","",'Model inputs'!AJ50),IF(IF(IF(ISERROR('Model inputs'!K89&gt;=21),'Model inputs'!K89&gt;=21,IF('Model inputs'!K89="","",'Model inputs'!K89&gt;=21))="",FALSE,IF(ISERROR('Model inputs'!K89&gt;=21),'Model inputs'!K89&gt;=21,IF('Model inputs'!K89="","",'Model inputs'!K89&gt;=21))),IF('Model inputs'!AJ49="","",'Model inputs'!AJ49),IF(IF(IF(ISERROR('Model inputs'!K89&gt;=18),'Model inputs'!K89&gt;=18,IF('Model inputs'!K89="","",'Model inputs'!K89&gt;=18))="",FALSE,IF(ISERROR('Model inputs'!K89&gt;=18),'Model inputs'!K89&gt;=18,IF('Model inputs'!K89="","",'Model inputs'!K89&gt;=18))),IF('Model inputs'!AJ48="","",'Model inputs'!AJ48),IF(IF(IF(ISERROR('Model inputs'!K89&gt;=15),'Model inputs'!K89&gt;=15,IF('Model inputs'!K89="","",'Model inputs'!K89&gt;=15))="",FALSE,IF(ISERROR('Model inputs'!K89&gt;=15),'Model inputs'!K89&gt;=15,IF('Model inputs'!K89="","",'Model inputs'!K89&gt;=15))),IF('Model inputs'!AJ47="","",'Model inputs'!AJ47),IF(IF(IF(ISERROR('Model inputs'!K89&gt;=12),'Model inputs'!K89&gt;=12,IF('Model inputs'!K89="","",'Model inputs'!K89&gt;=12))="",FALSE,IF(ISERROR('Model inputs'!K89&gt;=12),'Model inputs'!K89&gt;=12,IF('Model inputs'!K89="","",'Model inputs'!K89&gt;=12))),IF('Model inputs'!AJ46="","",'Model inputs'!AJ46),IF(IF(IF(ISERROR('Model inputs'!K89&gt;=9),'Model inputs'!K89&gt;=9,IF('Model inputs'!K89="","",'Model inputs'!K89&gt;=9))="",FALSE,IF(ISERROR('Model inputs'!K89&gt;=9),'Model inputs'!K89&gt;=9,IF('Model inputs'!K89="","",'Model inputs'!K89&gt;=9))),IF('Model inputs'!AJ53="","",'Model inputs'!AJ53),IF(IF(IF(ISERROR('Model inputs'!K89&gt;=6),'Model inputs'!K89&gt;=6,IF('Model inputs'!K89="","",'Model inputs'!K89&gt;=6))="",FALSE,IF(ISERROR('Model inputs'!K89&gt;=6),'Model inputs'!K89&gt;=6,IF('Model inputs'!K89="","",'Model inputs'!K89&gt;=6))),IF('Model inputs'!AJ52="","",'Model inputs'!AJ52),0))))))))</f>
        <v>1</v>
      </c>
      <c r="L17" s="15">
        <f>IF(IF(IF(ISERROR('Model inputs'!L89&gt;=24),'Model inputs'!L89&gt;=24,IF('Model inputs'!L89="","",'Model inputs'!L89&gt;=24))="",FALSE,IF(ISERROR('Model inputs'!L89&gt;=24),'Model inputs'!L89&gt;=24,IF('Model inputs'!L89="","",'Model inputs'!L89&gt;=24))),IF('Model inputs'!AJ51="","",'Model inputs'!AJ51),IF(IF(IF(ISERROR('Model inputs'!L89&gt;=23),'Model inputs'!L89&gt;=23,IF('Model inputs'!L89="","",'Model inputs'!L89&gt;=23))="",FALSE,IF(ISERROR('Model inputs'!L89&gt;=23),'Model inputs'!L89&gt;=23,IF('Model inputs'!L89="","",'Model inputs'!L89&gt;=23))),IF('Model inputs'!AJ50="","",'Model inputs'!AJ50),IF(IF(IF(ISERROR('Model inputs'!L89&gt;=21),'Model inputs'!L89&gt;=21,IF('Model inputs'!L89="","",'Model inputs'!L89&gt;=21))="",FALSE,IF(ISERROR('Model inputs'!L89&gt;=21),'Model inputs'!L89&gt;=21,IF('Model inputs'!L89="","",'Model inputs'!L89&gt;=21))),IF('Model inputs'!AJ49="","",'Model inputs'!AJ49),IF(IF(IF(ISERROR('Model inputs'!L89&gt;=18),'Model inputs'!L89&gt;=18,IF('Model inputs'!L89="","",'Model inputs'!L89&gt;=18))="",FALSE,IF(ISERROR('Model inputs'!L89&gt;=18),'Model inputs'!L89&gt;=18,IF('Model inputs'!L89="","",'Model inputs'!L89&gt;=18))),IF('Model inputs'!AJ48="","",'Model inputs'!AJ48),IF(IF(IF(ISERROR('Model inputs'!L89&gt;=15),'Model inputs'!L89&gt;=15,IF('Model inputs'!L89="","",'Model inputs'!L89&gt;=15))="",FALSE,IF(ISERROR('Model inputs'!L89&gt;=15),'Model inputs'!L89&gt;=15,IF('Model inputs'!L89="","",'Model inputs'!L89&gt;=15))),IF('Model inputs'!AJ47="","",'Model inputs'!AJ47),IF(IF(IF(ISERROR('Model inputs'!L89&gt;=12),'Model inputs'!L89&gt;=12,IF('Model inputs'!L89="","",'Model inputs'!L89&gt;=12))="",FALSE,IF(ISERROR('Model inputs'!L89&gt;=12),'Model inputs'!L89&gt;=12,IF('Model inputs'!L89="","",'Model inputs'!L89&gt;=12))),IF('Model inputs'!AJ46="","",'Model inputs'!AJ46),IF(IF(IF(ISERROR('Model inputs'!L89&gt;=9),'Model inputs'!L89&gt;=9,IF('Model inputs'!L89="","",'Model inputs'!L89&gt;=9))="",FALSE,IF(ISERROR('Model inputs'!L89&gt;=9),'Model inputs'!L89&gt;=9,IF('Model inputs'!L89="","",'Model inputs'!L89&gt;=9))),IF('Model inputs'!AJ53="","",'Model inputs'!AJ53),IF(IF(IF(ISERROR('Model inputs'!L89&gt;=6),'Model inputs'!L89&gt;=6,IF('Model inputs'!L89="","",'Model inputs'!L89&gt;=6))="",FALSE,IF(ISERROR('Model inputs'!L89&gt;=6),'Model inputs'!L89&gt;=6,IF('Model inputs'!L89="","",'Model inputs'!L89&gt;=6))),IF('Model inputs'!AJ52="","",'Model inputs'!AJ52),0))))))))</f>
        <v>2</v>
      </c>
      <c r="M17" s="15">
        <f>IF(IF(IF(ISERROR('Model inputs'!M89&gt;=24),'Model inputs'!M89&gt;=24,IF('Model inputs'!M89="","",'Model inputs'!M89&gt;=24))="",FALSE,IF(ISERROR('Model inputs'!M89&gt;=24),'Model inputs'!M89&gt;=24,IF('Model inputs'!M89="","",'Model inputs'!M89&gt;=24))),IF('Model inputs'!AJ51="","",'Model inputs'!AJ51),IF(IF(IF(ISERROR('Model inputs'!M89&gt;=23),'Model inputs'!M89&gt;=23,IF('Model inputs'!M89="","",'Model inputs'!M89&gt;=23))="",FALSE,IF(ISERROR('Model inputs'!M89&gt;=23),'Model inputs'!M89&gt;=23,IF('Model inputs'!M89="","",'Model inputs'!M89&gt;=23))),IF('Model inputs'!AJ50="","",'Model inputs'!AJ50),IF(IF(IF(ISERROR('Model inputs'!M89&gt;=21),'Model inputs'!M89&gt;=21,IF('Model inputs'!M89="","",'Model inputs'!M89&gt;=21))="",FALSE,IF(ISERROR('Model inputs'!M89&gt;=21),'Model inputs'!M89&gt;=21,IF('Model inputs'!M89="","",'Model inputs'!M89&gt;=21))),IF('Model inputs'!AJ49="","",'Model inputs'!AJ49),IF(IF(IF(ISERROR('Model inputs'!M89&gt;=18),'Model inputs'!M89&gt;=18,IF('Model inputs'!M89="","",'Model inputs'!M89&gt;=18))="",FALSE,IF(ISERROR('Model inputs'!M89&gt;=18),'Model inputs'!M89&gt;=18,IF('Model inputs'!M89="","",'Model inputs'!M89&gt;=18))),IF('Model inputs'!AJ48="","",'Model inputs'!AJ48),IF(IF(IF(ISERROR('Model inputs'!M89&gt;=15),'Model inputs'!M89&gt;=15,IF('Model inputs'!M89="","",'Model inputs'!M89&gt;=15))="",FALSE,IF(ISERROR('Model inputs'!M89&gt;=15),'Model inputs'!M89&gt;=15,IF('Model inputs'!M89="","",'Model inputs'!M89&gt;=15))),IF('Model inputs'!AJ47="","",'Model inputs'!AJ47),IF(IF(IF(ISERROR('Model inputs'!M89&gt;=12),'Model inputs'!M89&gt;=12,IF('Model inputs'!M89="","",'Model inputs'!M89&gt;=12))="",FALSE,IF(ISERROR('Model inputs'!M89&gt;=12),'Model inputs'!M89&gt;=12,IF('Model inputs'!M89="","",'Model inputs'!M89&gt;=12))),IF('Model inputs'!AJ46="","",'Model inputs'!AJ46),IF(IF(IF(ISERROR('Model inputs'!M89&gt;=9),'Model inputs'!M89&gt;=9,IF('Model inputs'!M89="","",'Model inputs'!M89&gt;=9))="",FALSE,IF(ISERROR('Model inputs'!M89&gt;=9),'Model inputs'!M89&gt;=9,IF('Model inputs'!M89="","",'Model inputs'!M89&gt;=9))),IF('Model inputs'!AJ53="","",'Model inputs'!AJ53),IF(IF(IF(ISERROR('Model inputs'!M89&gt;=6),'Model inputs'!M89&gt;=6,IF('Model inputs'!M89="","",'Model inputs'!M89&gt;=6))="",FALSE,IF(ISERROR('Model inputs'!M89&gt;=6),'Model inputs'!M89&gt;=6,IF('Model inputs'!M89="","",'Model inputs'!M89&gt;=6))),IF('Model inputs'!AJ52="","",'Model inputs'!AJ52),0))))))))</f>
        <v>2</v>
      </c>
      <c r="N17" s="15">
        <f>IF(IF(IF(ISERROR('Model inputs'!N89&gt;=24),'Model inputs'!N89&gt;=24,IF('Model inputs'!N89="","",'Model inputs'!N89&gt;=24))="",FALSE,IF(ISERROR('Model inputs'!N89&gt;=24),'Model inputs'!N89&gt;=24,IF('Model inputs'!N89="","",'Model inputs'!N89&gt;=24))),IF('Model inputs'!AJ51="","",'Model inputs'!AJ51),IF(IF(IF(ISERROR('Model inputs'!N89&gt;=23),'Model inputs'!N89&gt;=23,IF('Model inputs'!N89="","",'Model inputs'!N89&gt;=23))="",FALSE,IF(ISERROR('Model inputs'!N89&gt;=23),'Model inputs'!N89&gt;=23,IF('Model inputs'!N89="","",'Model inputs'!N89&gt;=23))),IF('Model inputs'!AJ50="","",'Model inputs'!AJ50),IF(IF(IF(ISERROR('Model inputs'!N89&gt;=21),'Model inputs'!N89&gt;=21,IF('Model inputs'!N89="","",'Model inputs'!N89&gt;=21))="",FALSE,IF(ISERROR('Model inputs'!N89&gt;=21),'Model inputs'!N89&gt;=21,IF('Model inputs'!N89="","",'Model inputs'!N89&gt;=21))),IF('Model inputs'!AJ49="","",'Model inputs'!AJ49),IF(IF(IF(ISERROR('Model inputs'!N89&gt;=18),'Model inputs'!N89&gt;=18,IF('Model inputs'!N89="","",'Model inputs'!N89&gt;=18))="",FALSE,IF(ISERROR('Model inputs'!N89&gt;=18),'Model inputs'!N89&gt;=18,IF('Model inputs'!N89="","",'Model inputs'!N89&gt;=18))),IF('Model inputs'!AJ48="","",'Model inputs'!AJ48),IF(IF(IF(ISERROR('Model inputs'!N89&gt;=15),'Model inputs'!N89&gt;=15,IF('Model inputs'!N89="","",'Model inputs'!N89&gt;=15))="",FALSE,IF(ISERROR('Model inputs'!N89&gt;=15),'Model inputs'!N89&gt;=15,IF('Model inputs'!N89="","",'Model inputs'!N89&gt;=15))),IF('Model inputs'!AJ47="","",'Model inputs'!AJ47),IF(IF(IF(ISERROR('Model inputs'!N89&gt;=12),'Model inputs'!N89&gt;=12,IF('Model inputs'!N89="","",'Model inputs'!N89&gt;=12))="",FALSE,IF(ISERROR('Model inputs'!N89&gt;=12),'Model inputs'!N89&gt;=12,IF('Model inputs'!N89="","",'Model inputs'!N89&gt;=12))),IF('Model inputs'!AJ46="","",'Model inputs'!AJ46),IF(IF(IF(ISERROR('Model inputs'!N89&gt;=9),'Model inputs'!N89&gt;=9,IF('Model inputs'!N89="","",'Model inputs'!N89&gt;=9))="",FALSE,IF(ISERROR('Model inputs'!N89&gt;=9),'Model inputs'!N89&gt;=9,IF('Model inputs'!N89="","",'Model inputs'!N89&gt;=9))),IF('Model inputs'!AJ53="","",'Model inputs'!AJ53),IF(IF(IF(ISERROR('Model inputs'!N89&gt;=6),'Model inputs'!N89&gt;=6,IF('Model inputs'!N89="","",'Model inputs'!N89&gt;=6))="",FALSE,IF(ISERROR('Model inputs'!N89&gt;=6),'Model inputs'!N89&gt;=6,IF('Model inputs'!N89="","",'Model inputs'!N89&gt;=6))),IF('Model inputs'!AJ52="","",'Model inputs'!AJ52),0))))))))</f>
        <v>2</v>
      </c>
      <c r="O17" s="15">
        <f>IF(IF(IF(ISERROR('Model inputs'!O89&gt;=24),'Model inputs'!O89&gt;=24,IF('Model inputs'!O89="","",'Model inputs'!O89&gt;=24))="",FALSE,IF(ISERROR('Model inputs'!O89&gt;=24),'Model inputs'!O89&gt;=24,IF('Model inputs'!O89="","",'Model inputs'!O89&gt;=24))),IF('Model inputs'!AJ51="","",'Model inputs'!AJ51),IF(IF(IF(ISERROR('Model inputs'!O89&gt;=23),'Model inputs'!O89&gt;=23,IF('Model inputs'!O89="","",'Model inputs'!O89&gt;=23))="",FALSE,IF(ISERROR('Model inputs'!O89&gt;=23),'Model inputs'!O89&gt;=23,IF('Model inputs'!O89="","",'Model inputs'!O89&gt;=23))),IF('Model inputs'!AJ50="","",'Model inputs'!AJ50),IF(IF(IF(ISERROR('Model inputs'!O89&gt;=21),'Model inputs'!O89&gt;=21,IF('Model inputs'!O89="","",'Model inputs'!O89&gt;=21))="",FALSE,IF(ISERROR('Model inputs'!O89&gt;=21),'Model inputs'!O89&gt;=21,IF('Model inputs'!O89="","",'Model inputs'!O89&gt;=21))),IF('Model inputs'!AJ49="","",'Model inputs'!AJ49),IF(IF(IF(ISERROR('Model inputs'!O89&gt;=18),'Model inputs'!O89&gt;=18,IF('Model inputs'!O89="","",'Model inputs'!O89&gt;=18))="",FALSE,IF(ISERROR('Model inputs'!O89&gt;=18),'Model inputs'!O89&gt;=18,IF('Model inputs'!O89="","",'Model inputs'!O89&gt;=18))),IF('Model inputs'!AJ48="","",'Model inputs'!AJ48),IF(IF(IF(ISERROR('Model inputs'!O89&gt;=15),'Model inputs'!O89&gt;=15,IF('Model inputs'!O89="","",'Model inputs'!O89&gt;=15))="",FALSE,IF(ISERROR('Model inputs'!O89&gt;=15),'Model inputs'!O89&gt;=15,IF('Model inputs'!O89="","",'Model inputs'!O89&gt;=15))),IF('Model inputs'!AJ47="","",'Model inputs'!AJ47),IF(IF(IF(ISERROR('Model inputs'!O89&gt;=12),'Model inputs'!O89&gt;=12,IF('Model inputs'!O89="","",'Model inputs'!O89&gt;=12))="",FALSE,IF(ISERROR('Model inputs'!O89&gt;=12),'Model inputs'!O89&gt;=12,IF('Model inputs'!O89="","",'Model inputs'!O89&gt;=12))),IF('Model inputs'!AJ46="","",'Model inputs'!AJ46),IF(IF(IF(ISERROR('Model inputs'!O89&gt;=9),'Model inputs'!O89&gt;=9,IF('Model inputs'!O89="","",'Model inputs'!O89&gt;=9))="",FALSE,IF(ISERROR('Model inputs'!O89&gt;=9),'Model inputs'!O89&gt;=9,IF('Model inputs'!O89="","",'Model inputs'!O89&gt;=9))),IF('Model inputs'!AJ53="","",'Model inputs'!AJ53),IF(IF(IF(ISERROR('Model inputs'!O89&gt;=6),'Model inputs'!O89&gt;=6,IF('Model inputs'!O89="","",'Model inputs'!O89&gt;=6))="",FALSE,IF(ISERROR('Model inputs'!O89&gt;=6),'Model inputs'!O89&gt;=6,IF('Model inputs'!O89="","",'Model inputs'!O89&gt;=6))),IF('Model inputs'!AJ52="","",'Model inputs'!AJ52),0))))))))</f>
        <v>3</v>
      </c>
      <c r="P17" s="15">
        <f>IF(IF(IF(ISERROR('Model inputs'!P89&gt;=24),'Model inputs'!P89&gt;=24,IF('Model inputs'!P89="","",'Model inputs'!P89&gt;=24))="",FALSE,IF(ISERROR('Model inputs'!P89&gt;=24),'Model inputs'!P89&gt;=24,IF('Model inputs'!P89="","",'Model inputs'!P89&gt;=24))),IF('Model inputs'!AJ51="","",'Model inputs'!AJ51),IF(IF(IF(ISERROR('Model inputs'!P89&gt;=23),'Model inputs'!P89&gt;=23,IF('Model inputs'!P89="","",'Model inputs'!P89&gt;=23))="",FALSE,IF(ISERROR('Model inputs'!P89&gt;=23),'Model inputs'!P89&gt;=23,IF('Model inputs'!P89="","",'Model inputs'!P89&gt;=23))),IF('Model inputs'!AJ50="","",'Model inputs'!AJ50),IF(IF(IF(ISERROR('Model inputs'!P89&gt;=21),'Model inputs'!P89&gt;=21,IF('Model inputs'!P89="","",'Model inputs'!P89&gt;=21))="",FALSE,IF(ISERROR('Model inputs'!P89&gt;=21),'Model inputs'!P89&gt;=21,IF('Model inputs'!P89="","",'Model inputs'!P89&gt;=21))),IF('Model inputs'!AJ49="","",'Model inputs'!AJ49),IF(IF(IF(ISERROR('Model inputs'!P89&gt;=18),'Model inputs'!P89&gt;=18,IF('Model inputs'!P89="","",'Model inputs'!P89&gt;=18))="",FALSE,IF(ISERROR('Model inputs'!P89&gt;=18),'Model inputs'!P89&gt;=18,IF('Model inputs'!P89="","",'Model inputs'!P89&gt;=18))),IF('Model inputs'!AJ48="","",'Model inputs'!AJ48),IF(IF(IF(ISERROR('Model inputs'!P89&gt;=15),'Model inputs'!P89&gt;=15,IF('Model inputs'!P89="","",'Model inputs'!P89&gt;=15))="",FALSE,IF(ISERROR('Model inputs'!P89&gt;=15),'Model inputs'!P89&gt;=15,IF('Model inputs'!P89="","",'Model inputs'!P89&gt;=15))),IF('Model inputs'!AJ47="","",'Model inputs'!AJ47),IF(IF(IF(ISERROR('Model inputs'!P89&gt;=12),'Model inputs'!P89&gt;=12,IF('Model inputs'!P89="","",'Model inputs'!P89&gt;=12))="",FALSE,IF(ISERROR('Model inputs'!P89&gt;=12),'Model inputs'!P89&gt;=12,IF('Model inputs'!P89="","",'Model inputs'!P89&gt;=12))),IF('Model inputs'!AJ46="","",'Model inputs'!AJ46),IF(IF(IF(ISERROR('Model inputs'!P89&gt;=9),'Model inputs'!P89&gt;=9,IF('Model inputs'!P89="","",'Model inputs'!P89&gt;=9))="",FALSE,IF(ISERROR('Model inputs'!P89&gt;=9),'Model inputs'!P89&gt;=9,IF('Model inputs'!P89="","",'Model inputs'!P89&gt;=9))),IF('Model inputs'!AJ53="","",'Model inputs'!AJ53),IF(IF(IF(ISERROR('Model inputs'!P89&gt;=6),'Model inputs'!P89&gt;=6,IF('Model inputs'!P89="","",'Model inputs'!P89&gt;=6))="",FALSE,IF(ISERROR('Model inputs'!P89&gt;=6),'Model inputs'!P89&gt;=6,IF('Model inputs'!P89="","",'Model inputs'!P89&gt;=6))),IF('Model inputs'!AJ52="","",'Model inputs'!AJ52),0))))))))</f>
        <v>3</v>
      </c>
      <c r="Q17" s="15">
        <f>IF(IF(IF(ISERROR('Model inputs'!Q89&gt;=24),'Model inputs'!Q89&gt;=24,IF('Model inputs'!Q89="","",'Model inputs'!Q89&gt;=24))="",FALSE,IF(ISERROR('Model inputs'!Q89&gt;=24),'Model inputs'!Q89&gt;=24,IF('Model inputs'!Q89="","",'Model inputs'!Q89&gt;=24))),IF('Model inputs'!AJ51="","",'Model inputs'!AJ51),IF(IF(IF(ISERROR('Model inputs'!Q89&gt;=23),'Model inputs'!Q89&gt;=23,IF('Model inputs'!Q89="","",'Model inputs'!Q89&gt;=23))="",FALSE,IF(ISERROR('Model inputs'!Q89&gt;=23),'Model inputs'!Q89&gt;=23,IF('Model inputs'!Q89="","",'Model inputs'!Q89&gt;=23))),IF('Model inputs'!AJ50="","",'Model inputs'!AJ50),IF(IF(IF(ISERROR('Model inputs'!Q89&gt;=21),'Model inputs'!Q89&gt;=21,IF('Model inputs'!Q89="","",'Model inputs'!Q89&gt;=21))="",FALSE,IF(ISERROR('Model inputs'!Q89&gt;=21),'Model inputs'!Q89&gt;=21,IF('Model inputs'!Q89="","",'Model inputs'!Q89&gt;=21))),IF('Model inputs'!AJ49="","",'Model inputs'!AJ49),IF(IF(IF(ISERROR('Model inputs'!Q89&gt;=18),'Model inputs'!Q89&gt;=18,IF('Model inputs'!Q89="","",'Model inputs'!Q89&gt;=18))="",FALSE,IF(ISERROR('Model inputs'!Q89&gt;=18),'Model inputs'!Q89&gt;=18,IF('Model inputs'!Q89="","",'Model inputs'!Q89&gt;=18))),IF('Model inputs'!AJ48="","",'Model inputs'!AJ48),IF(IF(IF(ISERROR('Model inputs'!Q89&gt;=15),'Model inputs'!Q89&gt;=15,IF('Model inputs'!Q89="","",'Model inputs'!Q89&gt;=15))="",FALSE,IF(ISERROR('Model inputs'!Q89&gt;=15),'Model inputs'!Q89&gt;=15,IF('Model inputs'!Q89="","",'Model inputs'!Q89&gt;=15))),IF('Model inputs'!AJ47="","",'Model inputs'!AJ47),IF(IF(IF(ISERROR('Model inputs'!Q89&gt;=12),'Model inputs'!Q89&gt;=12,IF('Model inputs'!Q89="","",'Model inputs'!Q89&gt;=12))="",FALSE,IF(ISERROR('Model inputs'!Q89&gt;=12),'Model inputs'!Q89&gt;=12,IF('Model inputs'!Q89="","",'Model inputs'!Q89&gt;=12))),IF('Model inputs'!AJ46="","",'Model inputs'!AJ46),IF(IF(IF(ISERROR('Model inputs'!Q89&gt;=9),'Model inputs'!Q89&gt;=9,IF('Model inputs'!Q89="","",'Model inputs'!Q89&gt;=9))="",FALSE,IF(ISERROR('Model inputs'!Q89&gt;=9),'Model inputs'!Q89&gt;=9,IF('Model inputs'!Q89="","",'Model inputs'!Q89&gt;=9))),IF('Model inputs'!AJ53="","",'Model inputs'!AJ53),IF(IF(IF(ISERROR('Model inputs'!Q89&gt;=6),'Model inputs'!Q89&gt;=6,IF('Model inputs'!Q89="","",'Model inputs'!Q89&gt;=6))="",FALSE,IF(ISERROR('Model inputs'!Q89&gt;=6),'Model inputs'!Q89&gt;=6,IF('Model inputs'!Q89="","",'Model inputs'!Q89&gt;=6))),IF('Model inputs'!AJ52="","",'Model inputs'!AJ52),0))))))))</f>
        <v>3</v>
      </c>
      <c r="R17" s="15">
        <f>IF(IF(IF(ISERROR('Model inputs'!R89&gt;=24),'Model inputs'!R89&gt;=24,IF('Model inputs'!R89="","",'Model inputs'!R89&gt;=24))="",FALSE,IF(ISERROR('Model inputs'!R89&gt;=24),'Model inputs'!R89&gt;=24,IF('Model inputs'!R89="","",'Model inputs'!R89&gt;=24))),IF('Model inputs'!AJ51="","",'Model inputs'!AJ51),IF(IF(IF(ISERROR('Model inputs'!R89&gt;=23),'Model inputs'!R89&gt;=23,IF('Model inputs'!R89="","",'Model inputs'!R89&gt;=23))="",FALSE,IF(ISERROR('Model inputs'!R89&gt;=23),'Model inputs'!R89&gt;=23,IF('Model inputs'!R89="","",'Model inputs'!R89&gt;=23))),IF('Model inputs'!AJ50="","",'Model inputs'!AJ50),IF(IF(IF(ISERROR('Model inputs'!R89&gt;=21),'Model inputs'!R89&gt;=21,IF('Model inputs'!R89="","",'Model inputs'!R89&gt;=21))="",FALSE,IF(ISERROR('Model inputs'!R89&gt;=21),'Model inputs'!R89&gt;=21,IF('Model inputs'!R89="","",'Model inputs'!R89&gt;=21))),IF('Model inputs'!AJ49="","",'Model inputs'!AJ49),IF(IF(IF(ISERROR('Model inputs'!R89&gt;=18),'Model inputs'!R89&gt;=18,IF('Model inputs'!R89="","",'Model inputs'!R89&gt;=18))="",FALSE,IF(ISERROR('Model inputs'!R89&gt;=18),'Model inputs'!R89&gt;=18,IF('Model inputs'!R89="","",'Model inputs'!R89&gt;=18))),IF('Model inputs'!AJ48="","",'Model inputs'!AJ48),IF(IF(IF(ISERROR('Model inputs'!R89&gt;=15),'Model inputs'!R89&gt;=15,IF('Model inputs'!R89="","",'Model inputs'!R89&gt;=15))="",FALSE,IF(ISERROR('Model inputs'!R89&gt;=15),'Model inputs'!R89&gt;=15,IF('Model inputs'!R89="","",'Model inputs'!R89&gt;=15))),IF('Model inputs'!AJ47="","",'Model inputs'!AJ47),IF(IF(IF(ISERROR('Model inputs'!R89&gt;=12),'Model inputs'!R89&gt;=12,IF('Model inputs'!R89="","",'Model inputs'!R89&gt;=12))="",FALSE,IF(ISERROR('Model inputs'!R89&gt;=12),'Model inputs'!R89&gt;=12,IF('Model inputs'!R89="","",'Model inputs'!R89&gt;=12))),IF('Model inputs'!AJ46="","",'Model inputs'!AJ46),IF(IF(IF(ISERROR('Model inputs'!R89&gt;=9),'Model inputs'!R89&gt;=9,IF('Model inputs'!R89="","",'Model inputs'!R89&gt;=9))="",FALSE,IF(ISERROR('Model inputs'!R89&gt;=9),'Model inputs'!R89&gt;=9,IF('Model inputs'!R89="","",'Model inputs'!R89&gt;=9))),IF('Model inputs'!AJ53="","",'Model inputs'!AJ53),IF(IF(IF(ISERROR('Model inputs'!R89&gt;=6),'Model inputs'!R89&gt;=6,IF('Model inputs'!R89="","",'Model inputs'!R89&gt;=6))="",FALSE,IF(ISERROR('Model inputs'!R89&gt;=6),'Model inputs'!R89&gt;=6,IF('Model inputs'!R89="","",'Model inputs'!R89&gt;=6))),IF('Model inputs'!AJ52="","",'Model inputs'!AJ52),0))))))))</f>
        <v>4</v>
      </c>
      <c r="S17" s="15">
        <f>IF(IF(IF(ISERROR('Model inputs'!S89&gt;=24),'Model inputs'!S89&gt;=24,IF('Model inputs'!S89="","",'Model inputs'!S89&gt;=24))="",FALSE,IF(ISERROR('Model inputs'!S89&gt;=24),'Model inputs'!S89&gt;=24,IF('Model inputs'!S89="","",'Model inputs'!S89&gt;=24))),IF('Model inputs'!AJ51="","",'Model inputs'!AJ51),IF(IF(IF(ISERROR('Model inputs'!S89&gt;=23),'Model inputs'!S89&gt;=23,IF('Model inputs'!S89="","",'Model inputs'!S89&gt;=23))="",FALSE,IF(ISERROR('Model inputs'!S89&gt;=23),'Model inputs'!S89&gt;=23,IF('Model inputs'!S89="","",'Model inputs'!S89&gt;=23))),IF('Model inputs'!AJ50="","",'Model inputs'!AJ50),IF(IF(IF(ISERROR('Model inputs'!S89&gt;=21),'Model inputs'!S89&gt;=21,IF('Model inputs'!S89="","",'Model inputs'!S89&gt;=21))="",FALSE,IF(ISERROR('Model inputs'!S89&gt;=21),'Model inputs'!S89&gt;=21,IF('Model inputs'!S89="","",'Model inputs'!S89&gt;=21))),IF('Model inputs'!AJ49="","",'Model inputs'!AJ49),IF(IF(IF(ISERROR('Model inputs'!S89&gt;=18),'Model inputs'!S89&gt;=18,IF('Model inputs'!S89="","",'Model inputs'!S89&gt;=18))="",FALSE,IF(ISERROR('Model inputs'!S89&gt;=18),'Model inputs'!S89&gt;=18,IF('Model inputs'!S89="","",'Model inputs'!S89&gt;=18))),IF('Model inputs'!AJ48="","",'Model inputs'!AJ48),IF(IF(IF(ISERROR('Model inputs'!S89&gt;=15),'Model inputs'!S89&gt;=15,IF('Model inputs'!S89="","",'Model inputs'!S89&gt;=15))="",FALSE,IF(ISERROR('Model inputs'!S89&gt;=15),'Model inputs'!S89&gt;=15,IF('Model inputs'!S89="","",'Model inputs'!S89&gt;=15))),IF('Model inputs'!AJ47="","",'Model inputs'!AJ47),IF(IF(IF(ISERROR('Model inputs'!S89&gt;=12),'Model inputs'!S89&gt;=12,IF('Model inputs'!S89="","",'Model inputs'!S89&gt;=12))="",FALSE,IF(ISERROR('Model inputs'!S89&gt;=12),'Model inputs'!S89&gt;=12,IF('Model inputs'!S89="","",'Model inputs'!S89&gt;=12))),IF('Model inputs'!AJ46="","",'Model inputs'!AJ46),IF(IF(IF(ISERROR('Model inputs'!S89&gt;=9),'Model inputs'!S89&gt;=9,IF('Model inputs'!S89="","",'Model inputs'!S89&gt;=9))="",FALSE,IF(ISERROR('Model inputs'!S89&gt;=9),'Model inputs'!S89&gt;=9,IF('Model inputs'!S89="","",'Model inputs'!S89&gt;=9))),IF('Model inputs'!AJ53="","",'Model inputs'!AJ53),IF(IF(IF(ISERROR('Model inputs'!S89&gt;=6),'Model inputs'!S89&gt;=6,IF('Model inputs'!S89="","",'Model inputs'!S89&gt;=6))="",FALSE,IF(ISERROR('Model inputs'!S89&gt;=6),'Model inputs'!S89&gt;=6,IF('Model inputs'!S89="","",'Model inputs'!S89&gt;=6))),IF('Model inputs'!AJ52="","",'Model inputs'!AJ52),0))))))))</f>
        <v>4</v>
      </c>
      <c r="T17" s="15">
        <f>IF(IF(IF(ISERROR('Model inputs'!T89&gt;=24),'Model inputs'!T89&gt;=24,IF('Model inputs'!T89="","",'Model inputs'!T89&gt;=24))="",FALSE,IF(ISERROR('Model inputs'!T89&gt;=24),'Model inputs'!T89&gt;=24,IF('Model inputs'!T89="","",'Model inputs'!T89&gt;=24))),IF('Model inputs'!AJ51="","",'Model inputs'!AJ51),IF(IF(IF(ISERROR('Model inputs'!T89&gt;=23),'Model inputs'!T89&gt;=23,IF('Model inputs'!T89="","",'Model inputs'!T89&gt;=23))="",FALSE,IF(ISERROR('Model inputs'!T89&gt;=23),'Model inputs'!T89&gt;=23,IF('Model inputs'!T89="","",'Model inputs'!T89&gt;=23))),IF('Model inputs'!AJ50="","",'Model inputs'!AJ50),IF(IF(IF(ISERROR('Model inputs'!T89&gt;=21),'Model inputs'!T89&gt;=21,IF('Model inputs'!T89="","",'Model inputs'!T89&gt;=21))="",FALSE,IF(ISERROR('Model inputs'!T89&gt;=21),'Model inputs'!T89&gt;=21,IF('Model inputs'!T89="","",'Model inputs'!T89&gt;=21))),IF('Model inputs'!AJ49="","",'Model inputs'!AJ49),IF(IF(IF(ISERROR('Model inputs'!T89&gt;=18),'Model inputs'!T89&gt;=18,IF('Model inputs'!T89="","",'Model inputs'!T89&gt;=18))="",FALSE,IF(ISERROR('Model inputs'!T89&gt;=18),'Model inputs'!T89&gt;=18,IF('Model inputs'!T89="","",'Model inputs'!T89&gt;=18))),IF('Model inputs'!AJ48="","",'Model inputs'!AJ48),IF(IF(IF(ISERROR('Model inputs'!T89&gt;=15),'Model inputs'!T89&gt;=15,IF('Model inputs'!T89="","",'Model inputs'!T89&gt;=15))="",FALSE,IF(ISERROR('Model inputs'!T89&gt;=15),'Model inputs'!T89&gt;=15,IF('Model inputs'!T89="","",'Model inputs'!T89&gt;=15))),IF('Model inputs'!AJ47="","",'Model inputs'!AJ47),IF(IF(IF(ISERROR('Model inputs'!T89&gt;=12),'Model inputs'!T89&gt;=12,IF('Model inputs'!T89="","",'Model inputs'!T89&gt;=12))="",FALSE,IF(ISERROR('Model inputs'!T89&gt;=12),'Model inputs'!T89&gt;=12,IF('Model inputs'!T89="","",'Model inputs'!T89&gt;=12))),IF('Model inputs'!AJ46="","",'Model inputs'!AJ46),IF(IF(IF(ISERROR('Model inputs'!T89&gt;=9),'Model inputs'!T89&gt;=9,IF('Model inputs'!T89="","",'Model inputs'!T89&gt;=9))="",FALSE,IF(ISERROR('Model inputs'!T89&gt;=9),'Model inputs'!T89&gt;=9,IF('Model inputs'!T89="","",'Model inputs'!T89&gt;=9))),IF('Model inputs'!AJ53="","",'Model inputs'!AJ53),IF(IF(IF(ISERROR('Model inputs'!T89&gt;=6),'Model inputs'!T89&gt;=6,IF('Model inputs'!T89="","",'Model inputs'!T89&gt;=6))="",FALSE,IF(ISERROR('Model inputs'!T89&gt;=6),'Model inputs'!T89&gt;=6,IF('Model inputs'!T89="","",'Model inputs'!T89&gt;=6))),IF('Model inputs'!AJ52="","",'Model inputs'!AJ52),0))))))))</f>
        <v>4</v>
      </c>
      <c r="U17" s="15">
        <f>IF(IF(IF(ISERROR('Model inputs'!U89&gt;=24),'Model inputs'!U89&gt;=24,IF('Model inputs'!U89="","",'Model inputs'!U89&gt;=24))="",FALSE,IF(ISERROR('Model inputs'!U89&gt;=24),'Model inputs'!U89&gt;=24,IF('Model inputs'!U89="","",'Model inputs'!U89&gt;=24))),IF('Model inputs'!AJ51="","",'Model inputs'!AJ51),IF(IF(IF(ISERROR('Model inputs'!U89&gt;=23),'Model inputs'!U89&gt;=23,IF('Model inputs'!U89="","",'Model inputs'!U89&gt;=23))="",FALSE,IF(ISERROR('Model inputs'!U89&gt;=23),'Model inputs'!U89&gt;=23,IF('Model inputs'!U89="","",'Model inputs'!U89&gt;=23))),IF('Model inputs'!AJ50="","",'Model inputs'!AJ50),IF(IF(IF(ISERROR('Model inputs'!U89&gt;=21),'Model inputs'!U89&gt;=21,IF('Model inputs'!U89="","",'Model inputs'!U89&gt;=21))="",FALSE,IF(ISERROR('Model inputs'!U89&gt;=21),'Model inputs'!U89&gt;=21,IF('Model inputs'!U89="","",'Model inputs'!U89&gt;=21))),IF('Model inputs'!AJ49="","",'Model inputs'!AJ49),IF(IF(IF(ISERROR('Model inputs'!U89&gt;=18),'Model inputs'!U89&gt;=18,IF('Model inputs'!U89="","",'Model inputs'!U89&gt;=18))="",FALSE,IF(ISERROR('Model inputs'!U89&gt;=18),'Model inputs'!U89&gt;=18,IF('Model inputs'!U89="","",'Model inputs'!U89&gt;=18))),IF('Model inputs'!AJ48="","",'Model inputs'!AJ48),IF(IF(IF(ISERROR('Model inputs'!U89&gt;=15),'Model inputs'!U89&gt;=15,IF('Model inputs'!U89="","",'Model inputs'!U89&gt;=15))="",FALSE,IF(ISERROR('Model inputs'!U89&gt;=15),'Model inputs'!U89&gt;=15,IF('Model inputs'!U89="","",'Model inputs'!U89&gt;=15))),IF('Model inputs'!AJ47="","",'Model inputs'!AJ47),IF(IF(IF(ISERROR('Model inputs'!U89&gt;=12),'Model inputs'!U89&gt;=12,IF('Model inputs'!U89="","",'Model inputs'!U89&gt;=12))="",FALSE,IF(ISERROR('Model inputs'!U89&gt;=12),'Model inputs'!U89&gt;=12,IF('Model inputs'!U89="","",'Model inputs'!U89&gt;=12))),IF('Model inputs'!AJ46="","",'Model inputs'!AJ46),IF(IF(IF(ISERROR('Model inputs'!U89&gt;=9),'Model inputs'!U89&gt;=9,IF('Model inputs'!U89="","",'Model inputs'!U89&gt;=9))="",FALSE,IF(ISERROR('Model inputs'!U89&gt;=9),'Model inputs'!U89&gt;=9,IF('Model inputs'!U89="","",'Model inputs'!U89&gt;=9))),IF('Model inputs'!AJ53="","",'Model inputs'!AJ53),IF(IF(IF(ISERROR('Model inputs'!U89&gt;=6),'Model inputs'!U89&gt;=6,IF('Model inputs'!U89="","",'Model inputs'!U89&gt;=6))="",FALSE,IF(ISERROR('Model inputs'!U89&gt;=6),'Model inputs'!U89&gt;=6,IF('Model inputs'!U89="","",'Model inputs'!U89&gt;=6))),IF('Model inputs'!AJ52="","",'Model inputs'!AJ52),0))))))))</f>
        <v>5</v>
      </c>
      <c r="V17" s="15">
        <f>IF(IF(IF(ISERROR('Model inputs'!V89&gt;=24),'Model inputs'!V89&gt;=24,IF('Model inputs'!V89="","",'Model inputs'!V89&gt;=24))="",FALSE,IF(ISERROR('Model inputs'!V89&gt;=24),'Model inputs'!V89&gt;=24,IF('Model inputs'!V89="","",'Model inputs'!V89&gt;=24))),IF('Model inputs'!AJ51="","",'Model inputs'!AJ51),IF(IF(IF(ISERROR('Model inputs'!V89&gt;=23),'Model inputs'!V89&gt;=23,IF('Model inputs'!V89="","",'Model inputs'!V89&gt;=23))="",FALSE,IF(ISERROR('Model inputs'!V89&gt;=23),'Model inputs'!V89&gt;=23,IF('Model inputs'!V89="","",'Model inputs'!V89&gt;=23))),IF('Model inputs'!AJ50="","",'Model inputs'!AJ50),IF(IF(IF(ISERROR('Model inputs'!V89&gt;=21),'Model inputs'!V89&gt;=21,IF('Model inputs'!V89="","",'Model inputs'!V89&gt;=21))="",FALSE,IF(ISERROR('Model inputs'!V89&gt;=21),'Model inputs'!V89&gt;=21,IF('Model inputs'!V89="","",'Model inputs'!V89&gt;=21))),IF('Model inputs'!AJ49="","",'Model inputs'!AJ49),IF(IF(IF(ISERROR('Model inputs'!V89&gt;=18),'Model inputs'!V89&gt;=18,IF('Model inputs'!V89="","",'Model inputs'!V89&gt;=18))="",FALSE,IF(ISERROR('Model inputs'!V89&gt;=18),'Model inputs'!V89&gt;=18,IF('Model inputs'!V89="","",'Model inputs'!V89&gt;=18))),IF('Model inputs'!AJ48="","",'Model inputs'!AJ48),IF(IF(IF(ISERROR('Model inputs'!V89&gt;=15),'Model inputs'!V89&gt;=15,IF('Model inputs'!V89="","",'Model inputs'!V89&gt;=15))="",FALSE,IF(ISERROR('Model inputs'!V89&gt;=15),'Model inputs'!V89&gt;=15,IF('Model inputs'!V89="","",'Model inputs'!V89&gt;=15))),IF('Model inputs'!AJ47="","",'Model inputs'!AJ47),IF(IF(IF(ISERROR('Model inputs'!V89&gt;=12),'Model inputs'!V89&gt;=12,IF('Model inputs'!V89="","",'Model inputs'!V89&gt;=12))="",FALSE,IF(ISERROR('Model inputs'!V89&gt;=12),'Model inputs'!V89&gt;=12,IF('Model inputs'!V89="","",'Model inputs'!V89&gt;=12))),IF('Model inputs'!AJ46="","",'Model inputs'!AJ46),IF(IF(IF(ISERROR('Model inputs'!V89&gt;=9),'Model inputs'!V89&gt;=9,IF('Model inputs'!V89="","",'Model inputs'!V89&gt;=9))="",FALSE,IF(ISERROR('Model inputs'!V89&gt;=9),'Model inputs'!V89&gt;=9,IF('Model inputs'!V89="","",'Model inputs'!V89&gt;=9))),IF('Model inputs'!AJ53="","",'Model inputs'!AJ53),IF(IF(IF(ISERROR('Model inputs'!V89&gt;=6),'Model inputs'!V89&gt;=6,IF('Model inputs'!V89="","",'Model inputs'!V89&gt;=6))="",FALSE,IF(ISERROR('Model inputs'!V89&gt;=6),'Model inputs'!V89&gt;=6,IF('Model inputs'!V89="","",'Model inputs'!V89&gt;=6))),IF('Model inputs'!AJ52="","",'Model inputs'!AJ52),0))))))))</f>
        <v>5</v>
      </c>
      <c r="W17" s="15">
        <f>IF(IF(IF(ISERROR('Model inputs'!W89&gt;=24),'Model inputs'!W89&gt;=24,IF('Model inputs'!W89="","",'Model inputs'!W89&gt;=24))="",FALSE,IF(ISERROR('Model inputs'!W89&gt;=24),'Model inputs'!W89&gt;=24,IF('Model inputs'!W89="","",'Model inputs'!W89&gt;=24))),IF('Model inputs'!AJ51="","",'Model inputs'!AJ51),IF(IF(IF(ISERROR('Model inputs'!W89&gt;=23),'Model inputs'!W89&gt;=23,IF('Model inputs'!W89="","",'Model inputs'!W89&gt;=23))="",FALSE,IF(ISERROR('Model inputs'!W89&gt;=23),'Model inputs'!W89&gt;=23,IF('Model inputs'!W89="","",'Model inputs'!W89&gt;=23))),IF('Model inputs'!AJ50="","",'Model inputs'!AJ50),IF(IF(IF(ISERROR('Model inputs'!W89&gt;=21),'Model inputs'!W89&gt;=21,IF('Model inputs'!W89="","",'Model inputs'!W89&gt;=21))="",FALSE,IF(ISERROR('Model inputs'!W89&gt;=21),'Model inputs'!W89&gt;=21,IF('Model inputs'!W89="","",'Model inputs'!W89&gt;=21))),IF('Model inputs'!AJ49="","",'Model inputs'!AJ49),IF(IF(IF(ISERROR('Model inputs'!W89&gt;=18),'Model inputs'!W89&gt;=18,IF('Model inputs'!W89="","",'Model inputs'!W89&gt;=18))="",FALSE,IF(ISERROR('Model inputs'!W89&gt;=18),'Model inputs'!W89&gt;=18,IF('Model inputs'!W89="","",'Model inputs'!W89&gt;=18))),IF('Model inputs'!AJ48="","",'Model inputs'!AJ48),IF(IF(IF(ISERROR('Model inputs'!W89&gt;=15),'Model inputs'!W89&gt;=15,IF('Model inputs'!W89="","",'Model inputs'!W89&gt;=15))="",FALSE,IF(ISERROR('Model inputs'!W89&gt;=15),'Model inputs'!W89&gt;=15,IF('Model inputs'!W89="","",'Model inputs'!W89&gt;=15))),IF('Model inputs'!AJ47="","",'Model inputs'!AJ47),IF(IF(IF(ISERROR('Model inputs'!W89&gt;=12),'Model inputs'!W89&gt;=12,IF('Model inputs'!W89="","",'Model inputs'!W89&gt;=12))="",FALSE,IF(ISERROR('Model inputs'!W89&gt;=12),'Model inputs'!W89&gt;=12,IF('Model inputs'!W89="","",'Model inputs'!W89&gt;=12))),IF('Model inputs'!AJ46="","",'Model inputs'!AJ46),IF(IF(IF(ISERROR('Model inputs'!W89&gt;=9),'Model inputs'!W89&gt;=9,IF('Model inputs'!W89="","",'Model inputs'!W89&gt;=9))="",FALSE,IF(ISERROR('Model inputs'!W89&gt;=9),'Model inputs'!W89&gt;=9,IF('Model inputs'!W89="","",'Model inputs'!W89&gt;=9))),IF('Model inputs'!AJ53="","",'Model inputs'!AJ53),IF(IF(IF(ISERROR('Model inputs'!W89&gt;=6),'Model inputs'!W89&gt;=6,IF('Model inputs'!W89="","",'Model inputs'!W89&gt;=6))="",FALSE,IF(ISERROR('Model inputs'!W89&gt;=6),'Model inputs'!W89&gt;=6,IF('Model inputs'!W89="","",'Model inputs'!W89&gt;=6))),IF('Model inputs'!AJ52="","",'Model inputs'!AJ52),0))))))))</f>
        <v>5</v>
      </c>
      <c r="X17" s="15">
        <f>IF(IF(IF(ISERROR('Model inputs'!X89&gt;=24),'Model inputs'!X89&gt;=24,IF('Model inputs'!X89="","",'Model inputs'!X89&gt;=24))="",FALSE,IF(ISERROR('Model inputs'!X89&gt;=24),'Model inputs'!X89&gt;=24,IF('Model inputs'!X89="","",'Model inputs'!X89&gt;=24))),IF('Model inputs'!AJ51="","",'Model inputs'!AJ51),IF(IF(IF(ISERROR('Model inputs'!X89&gt;=23),'Model inputs'!X89&gt;=23,IF('Model inputs'!X89="","",'Model inputs'!X89&gt;=23))="",FALSE,IF(ISERROR('Model inputs'!X89&gt;=23),'Model inputs'!X89&gt;=23,IF('Model inputs'!X89="","",'Model inputs'!X89&gt;=23))),IF('Model inputs'!AJ50="","",'Model inputs'!AJ50),IF(IF(IF(ISERROR('Model inputs'!X89&gt;=21),'Model inputs'!X89&gt;=21,IF('Model inputs'!X89="","",'Model inputs'!X89&gt;=21))="",FALSE,IF(ISERROR('Model inputs'!X89&gt;=21),'Model inputs'!X89&gt;=21,IF('Model inputs'!X89="","",'Model inputs'!X89&gt;=21))),IF('Model inputs'!AJ49="","",'Model inputs'!AJ49),IF(IF(IF(ISERROR('Model inputs'!X89&gt;=18),'Model inputs'!X89&gt;=18,IF('Model inputs'!X89="","",'Model inputs'!X89&gt;=18))="",FALSE,IF(ISERROR('Model inputs'!X89&gt;=18),'Model inputs'!X89&gt;=18,IF('Model inputs'!X89="","",'Model inputs'!X89&gt;=18))),IF('Model inputs'!AJ48="","",'Model inputs'!AJ48),IF(IF(IF(ISERROR('Model inputs'!X89&gt;=15),'Model inputs'!X89&gt;=15,IF('Model inputs'!X89="","",'Model inputs'!X89&gt;=15))="",FALSE,IF(ISERROR('Model inputs'!X89&gt;=15),'Model inputs'!X89&gt;=15,IF('Model inputs'!X89="","",'Model inputs'!X89&gt;=15))),IF('Model inputs'!AJ47="","",'Model inputs'!AJ47),IF(IF(IF(ISERROR('Model inputs'!X89&gt;=12),'Model inputs'!X89&gt;=12,IF('Model inputs'!X89="","",'Model inputs'!X89&gt;=12))="",FALSE,IF(ISERROR('Model inputs'!X89&gt;=12),'Model inputs'!X89&gt;=12,IF('Model inputs'!X89="","",'Model inputs'!X89&gt;=12))),IF('Model inputs'!AJ46="","",'Model inputs'!AJ46),IF(IF(IF(ISERROR('Model inputs'!X89&gt;=9),'Model inputs'!X89&gt;=9,IF('Model inputs'!X89="","",'Model inputs'!X89&gt;=9))="",FALSE,IF(ISERROR('Model inputs'!X89&gt;=9),'Model inputs'!X89&gt;=9,IF('Model inputs'!X89="","",'Model inputs'!X89&gt;=9))),IF('Model inputs'!AJ53="","",'Model inputs'!AJ53),IF(IF(IF(ISERROR('Model inputs'!X89&gt;=6),'Model inputs'!X89&gt;=6,IF('Model inputs'!X89="","",'Model inputs'!X89&gt;=6))="",FALSE,IF(ISERROR('Model inputs'!X89&gt;=6),'Model inputs'!X89&gt;=6,IF('Model inputs'!X89="","",'Model inputs'!X89&gt;=6))),IF('Model inputs'!AJ52="","",'Model inputs'!AJ52),0))))))))</f>
        <v>6</v>
      </c>
      <c r="Y17" s="15">
        <f>IF(IF(IF(ISERROR('Model inputs'!Y89&gt;=24),'Model inputs'!Y89&gt;=24,IF('Model inputs'!Y89="","",'Model inputs'!Y89&gt;=24))="",FALSE,IF(ISERROR('Model inputs'!Y89&gt;=24),'Model inputs'!Y89&gt;=24,IF('Model inputs'!Y89="","",'Model inputs'!Y89&gt;=24))),IF('Model inputs'!AJ51="","",'Model inputs'!AJ51),IF(IF(IF(ISERROR('Model inputs'!Y89&gt;=23),'Model inputs'!Y89&gt;=23,IF('Model inputs'!Y89="","",'Model inputs'!Y89&gt;=23))="",FALSE,IF(ISERROR('Model inputs'!Y89&gt;=23),'Model inputs'!Y89&gt;=23,IF('Model inputs'!Y89="","",'Model inputs'!Y89&gt;=23))),IF('Model inputs'!AJ50="","",'Model inputs'!AJ50),IF(IF(IF(ISERROR('Model inputs'!Y89&gt;=21),'Model inputs'!Y89&gt;=21,IF('Model inputs'!Y89="","",'Model inputs'!Y89&gt;=21))="",FALSE,IF(ISERROR('Model inputs'!Y89&gt;=21),'Model inputs'!Y89&gt;=21,IF('Model inputs'!Y89="","",'Model inputs'!Y89&gt;=21))),IF('Model inputs'!AJ49="","",'Model inputs'!AJ49),IF(IF(IF(ISERROR('Model inputs'!Y89&gt;=18),'Model inputs'!Y89&gt;=18,IF('Model inputs'!Y89="","",'Model inputs'!Y89&gt;=18))="",FALSE,IF(ISERROR('Model inputs'!Y89&gt;=18),'Model inputs'!Y89&gt;=18,IF('Model inputs'!Y89="","",'Model inputs'!Y89&gt;=18))),IF('Model inputs'!AJ48="","",'Model inputs'!AJ48),IF(IF(IF(ISERROR('Model inputs'!Y89&gt;=15),'Model inputs'!Y89&gt;=15,IF('Model inputs'!Y89="","",'Model inputs'!Y89&gt;=15))="",FALSE,IF(ISERROR('Model inputs'!Y89&gt;=15),'Model inputs'!Y89&gt;=15,IF('Model inputs'!Y89="","",'Model inputs'!Y89&gt;=15))),IF('Model inputs'!AJ47="","",'Model inputs'!AJ47),IF(IF(IF(ISERROR('Model inputs'!Y89&gt;=12),'Model inputs'!Y89&gt;=12,IF('Model inputs'!Y89="","",'Model inputs'!Y89&gt;=12))="",FALSE,IF(ISERROR('Model inputs'!Y89&gt;=12),'Model inputs'!Y89&gt;=12,IF('Model inputs'!Y89="","",'Model inputs'!Y89&gt;=12))),IF('Model inputs'!AJ46="","",'Model inputs'!AJ46),IF(IF(IF(ISERROR('Model inputs'!Y89&gt;=9),'Model inputs'!Y89&gt;=9,IF('Model inputs'!Y89="","",'Model inputs'!Y89&gt;=9))="",FALSE,IF(ISERROR('Model inputs'!Y89&gt;=9),'Model inputs'!Y89&gt;=9,IF('Model inputs'!Y89="","",'Model inputs'!Y89&gt;=9))),IF('Model inputs'!AJ53="","",'Model inputs'!AJ53),IF(IF(IF(ISERROR('Model inputs'!Y89&gt;=6),'Model inputs'!Y89&gt;=6,IF('Model inputs'!Y89="","",'Model inputs'!Y89&gt;=6))="",FALSE,IF(ISERROR('Model inputs'!Y89&gt;=6),'Model inputs'!Y89&gt;=6,IF('Model inputs'!Y89="","",'Model inputs'!Y89&gt;=6))),IF('Model inputs'!AJ52="","",'Model inputs'!AJ52),0))))))))</f>
        <v>6</v>
      </c>
      <c r="Z17" s="15">
        <f>IF(IF(IF(ISERROR('Model inputs'!Z89&gt;=24),'Model inputs'!Z89&gt;=24,IF('Model inputs'!Z89="","",'Model inputs'!Z89&gt;=24))="",FALSE,IF(ISERROR('Model inputs'!Z89&gt;=24),'Model inputs'!Z89&gt;=24,IF('Model inputs'!Z89="","",'Model inputs'!Z89&gt;=24))),IF('Model inputs'!AJ51="","",'Model inputs'!AJ51),IF(IF(IF(ISERROR('Model inputs'!Z89&gt;=23),'Model inputs'!Z89&gt;=23,IF('Model inputs'!Z89="","",'Model inputs'!Z89&gt;=23))="",FALSE,IF(ISERROR('Model inputs'!Z89&gt;=23),'Model inputs'!Z89&gt;=23,IF('Model inputs'!Z89="","",'Model inputs'!Z89&gt;=23))),IF('Model inputs'!AJ50="","",'Model inputs'!AJ50),IF(IF(IF(ISERROR('Model inputs'!Z89&gt;=21),'Model inputs'!Z89&gt;=21,IF('Model inputs'!Z89="","",'Model inputs'!Z89&gt;=21))="",FALSE,IF(ISERROR('Model inputs'!Z89&gt;=21),'Model inputs'!Z89&gt;=21,IF('Model inputs'!Z89="","",'Model inputs'!Z89&gt;=21))),IF('Model inputs'!AJ49="","",'Model inputs'!AJ49),IF(IF(IF(ISERROR('Model inputs'!Z89&gt;=18),'Model inputs'!Z89&gt;=18,IF('Model inputs'!Z89="","",'Model inputs'!Z89&gt;=18))="",FALSE,IF(ISERROR('Model inputs'!Z89&gt;=18),'Model inputs'!Z89&gt;=18,IF('Model inputs'!Z89="","",'Model inputs'!Z89&gt;=18))),IF('Model inputs'!AJ48="","",'Model inputs'!AJ48),IF(IF(IF(ISERROR('Model inputs'!Z89&gt;=15),'Model inputs'!Z89&gt;=15,IF('Model inputs'!Z89="","",'Model inputs'!Z89&gt;=15))="",FALSE,IF(ISERROR('Model inputs'!Z89&gt;=15),'Model inputs'!Z89&gt;=15,IF('Model inputs'!Z89="","",'Model inputs'!Z89&gt;=15))),IF('Model inputs'!AJ47="","",'Model inputs'!AJ47),IF(IF(IF(ISERROR('Model inputs'!Z89&gt;=12),'Model inputs'!Z89&gt;=12,IF('Model inputs'!Z89="","",'Model inputs'!Z89&gt;=12))="",FALSE,IF(ISERROR('Model inputs'!Z89&gt;=12),'Model inputs'!Z89&gt;=12,IF('Model inputs'!Z89="","",'Model inputs'!Z89&gt;=12))),IF('Model inputs'!AJ46="","",'Model inputs'!AJ46),IF(IF(IF(ISERROR('Model inputs'!Z89&gt;=9),'Model inputs'!Z89&gt;=9,IF('Model inputs'!Z89="","",'Model inputs'!Z89&gt;=9))="",FALSE,IF(ISERROR('Model inputs'!Z89&gt;=9),'Model inputs'!Z89&gt;=9,IF('Model inputs'!Z89="","",'Model inputs'!Z89&gt;=9))),IF('Model inputs'!AJ53="","",'Model inputs'!AJ53),IF(IF(IF(ISERROR('Model inputs'!Z89&gt;=6),'Model inputs'!Z89&gt;=6,IF('Model inputs'!Z89="","",'Model inputs'!Z89&gt;=6))="",FALSE,IF(ISERROR('Model inputs'!Z89&gt;=6),'Model inputs'!Z89&gt;=6,IF('Model inputs'!Z89="","",'Model inputs'!Z89&gt;=6))),IF('Model inputs'!AJ52="","",'Model inputs'!AJ52),0))))))))</f>
        <v>7</v>
      </c>
      <c r="AA17" s="15">
        <f>IF(IF(IF(ISERROR('Model inputs'!AA89&gt;=24),'Model inputs'!AA89&gt;=24,IF('Model inputs'!AA89="","",'Model inputs'!AA89&gt;=24))="",FALSE,IF(ISERROR('Model inputs'!AA89&gt;=24),'Model inputs'!AA89&gt;=24,IF('Model inputs'!AA89="","",'Model inputs'!AA89&gt;=24))),IF('Model inputs'!AJ51="","",'Model inputs'!AJ51),IF(IF(IF(ISERROR('Model inputs'!AA89&gt;=23),'Model inputs'!AA89&gt;=23,IF('Model inputs'!AA89="","",'Model inputs'!AA89&gt;=23))="",FALSE,IF(ISERROR('Model inputs'!AA89&gt;=23),'Model inputs'!AA89&gt;=23,IF('Model inputs'!AA89="","",'Model inputs'!AA89&gt;=23))),IF('Model inputs'!AJ50="","",'Model inputs'!AJ50),IF(IF(IF(ISERROR('Model inputs'!AA89&gt;=21),'Model inputs'!AA89&gt;=21,IF('Model inputs'!AA89="","",'Model inputs'!AA89&gt;=21))="",FALSE,IF(ISERROR('Model inputs'!AA89&gt;=21),'Model inputs'!AA89&gt;=21,IF('Model inputs'!AA89="","",'Model inputs'!AA89&gt;=21))),IF('Model inputs'!AJ49="","",'Model inputs'!AJ49),IF(IF(IF(ISERROR('Model inputs'!AA89&gt;=18),'Model inputs'!AA89&gt;=18,IF('Model inputs'!AA89="","",'Model inputs'!AA89&gt;=18))="",FALSE,IF(ISERROR('Model inputs'!AA89&gt;=18),'Model inputs'!AA89&gt;=18,IF('Model inputs'!AA89="","",'Model inputs'!AA89&gt;=18))),IF('Model inputs'!AJ48="","",'Model inputs'!AJ48),IF(IF(IF(ISERROR('Model inputs'!AA89&gt;=15),'Model inputs'!AA89&gt;=15,IF('Model inputs'!AA89="","",'Model inputs'!AA89&gt;=15))="",FALSE,IF(ISERROR('Model inputs'!AA89&gt;=15),'Model inputs'!AA89&gt;=15,IF('Model inputs'!AA89="","",'Model inputs'!AA89&gt;=15))),IF('Model inputs'!AJ47="","",'Model inputs'!AJ47),IF(IF(IF(ISERROR('Model inputs'!AA89&gt;=12),'Model inputs'!AA89&gt;=12,IF('Model inputs'!AA89="","",'Model inputs'!AA89&gt;=12))="",FALSE,IF(ISERROR('Model inputs'!AA89&gt;=12),'Model inputs'!AA89&gt;=12,IF('Model inputs'!AA89="","",'Model inputs'!AA89&gt;=12))),IF('Model inputs'!AJ46="","",'Model inputs'!AJ46),IF(IF(IF(ISERROR('Model inputs'!AA89&gt;=9),'Model inputs'!AA89&gt;=9,IF('Model inputs'!AA89="","",'Model inputs'!AA89&gt;=9))="",FALSE,IF(ISERROR('Model inputs'!AA89&gt;=9),'Model inputs'!AA89&gt;=9,IF('Model inputs'!AA89="","",'Model inputs'!AA89&gt;=9))),IF('Model inputs'!AJ53="","",'Model inputs'!AJ53),IF(IF(IF(ISERROR('Model inputs'!AA89&gt;=6),'Model inputs'!AA89&gt;=6,IF('Model inputs'!AA89="","",'Model inputs'!AA89&gt;=6))="",FALSE,IF(ISERROR('Model inputs'!AA89&gt;=6),'Model inputs'!AA89&gt;=6,IF('Model inputs'!AA89="","",'Model inputs'!AA89&gt;=6))),IF('Model inputs'!AJ52="","",'Model inputs'!AJ52),0))))))))</f>
        <v>8</v>
      </c>
      <c r="AB17" s="15">
        <f>IF(IF(IF(ISERROR('Model inputs'!AB89&gt;=24),'Model inputs'!AB89&gt;=24,IF('Model inputs'!AB89="","",'Model inputs'!AB89&gt;=24))="",FALSE,IF(ISERROR('Model inputs'!AB89&gt;=24),'Model inputs'!AB89&gt;=24,IF('Model inputs'!AB89="","",'Model inputs'!AB89&gt;=24))),IF('Model inputs'!AJ51="","",'Model inputs'!AJ51),IF(IF(IF(ISERROR('Model inputs'!AB89&gt;=23),'Model inputs'!AB89&gt;=23,IF('Model inputs'!AB89="","",'Model inputs'!AB89&gt;=23))="",FALSE,IF(ISERROR('Model inputs'!AB89&gt;=23),'Model inputs'!AB89&gt;=23,IF('Model inputs'!AB89="","",'Model inputs'!AB89&gt;=23))),IF('Model inputs'!AJ50="","",'Model inputs'!AJ50),IF(IF(IF(ISERROR('Model inputs'!AB89&gt;=21),'Model inputs'!AB89&gt;=21,IF('Model inputs'!AB89="","",'Model inputs'!AB89&gt;=21))="",FALSE,IF(ISERROR('Model inputs'!AB89&gt;=21),'Model inputs'!AB89&gt;=21,IF('Model inputs'!AB89="","",'Model inputs'!AB89&gt;=21))),IF('Model inputs'!AJ49="","",'Model inputs'!AJ49),IF(IF(IF(ISERROR('Model inputs'!AB89&gt;=18),'Model inputs'!AB89&gt;=18,IF('Model inputs'!AB89="","",'Model inputs'!AB89&gt;=18))="",FALSE,IF(ISERROR('Model inputs'!AB89&gt;=18),'Model inputs'!AB89&gt;=18,IF('Model inputs'!AB89="","",'Model inputs'!AB89&gt;=18))),IF('Model inputs'!AJ48="","",'Model inputs'!AJ48),IF(IF(IF(ISERROR('Model inputs'!AB89&gt;=15),'Model inputs'!AB89&gt;=15,IF('Model inputs'!AB89="","",'Model inputs'!AB89&gt;=15))="",FALSE,IF(ISERROR('Model inputs'!AB89&gt;=15),'Model inputs'!AB89&gt;=15,IF('Model inputs'!AB89="","",'Model inputs'!AB89&gt;=15))),IF('Model inputs'!AJ47="","",'Model inputs'!AJ47),IF(IF(IF(ISERROR('Model inputs'!AB89&gt;=12),'Model inputs'!AB89&gt;=12,IF('Model inputs'!AB89="","",'Model inputs'!AB89&gt;=12))="",FALSE,IF(ISERROR('Model inputs'!AB89&gt;=12),'Model inputs'!AB89&gt;=12,IF('Model inputs'!AB89="","",'Model inputs'!AB89&gt;=12))),IF('Model inputs'!AJ46="","",'Model inputs'!AJ46),IF(IF(IF(ISERROR('Model inputs'!AB89&gt;=9),'Model inputs'!AB89&gt;=9,IF('Model inputs'!AB89="","",'Model inputs'!AB89&gt;=9))="",FALSE,IF(ISERROR('Model inputs'!AB89&gt;=9),'Model inputs'!AB89&gt;=9,IF('Model inputs'!AB89="","",'Model inputs'!AB89&gt;=9))),IF('Model inputs'!AJ53="","",'Model inputs'!AJ53),IF(IF(IF(ISERROR('Model inputs'!AB89&gt;=6),'Model inputs'!AB89&gt;=6,IF('Model inputs'!AB89="","",'Model inputs'!AB89&gt;=6))="",FALSE,IF(ISERROR('Model inputs'!AB89&gt;=6),'Model inputs'!AB89&gt;=6,IF('Model inputs'!AB89="","",'Model inputs'!AB89&gt;=6))),IF('Model inputs'!AJ52="","",'Model inputs'!AJ52),0))))))))</f>
        <v>0</v>
      </c>
      <c r="AC17" s="15">
        <f>IF(IF(IF(ISERROR('Model inputs'!AC89&gt;=24),'Model inputs'!AC89&gt;=24,IF('Model inputs'!AC89="","",'Model inputs'!AC89&gt;=24))="",FALSE,IF(ISERROR('Model inputs'!AC89&gt;=24),'Model inputs'!AC89&gt;=24,IF('Model inputs'!AC89="","",'Model inputs'!AC89&gt;=24))),IF('Model inputs'!AJ51="","",'Model inputs'!AJ51),IF(IF(IF(ISERROR('Model inputs'!AC89&gt;=23),'Model inputs'!AC89&gt;=23,IF('Model inputs'!AC89="","",'Model inputs'!AC89&gt;=23))="",FALSE,IF(ISERROR('Model inputs'!AC89&gt;=23),'Model inputs'!AC89&gt;=23,IF('Model inputs'!AC89="","",'Model inputs'!AC89&gt;=23))),IF('Model inputs'!AJ50="","",'Model inputs'!AJ50),IF(IF(IF(ISERROR('Model inputs'!AC89&gt;=21),'Model inputs'!AC89&gt;=21,IF('Model inputs'!AC89="","",'Model inputs'!AC89&gt;=21))="",FALSE,IF(ISERROR('Model inputs'!AC89&gt;=21),'Model inputs'!AC89&gt;=21,IF('Model inputs'!AC89="","",'Model inputs'!AC89&gt;=21))),IF('Model inputs'!AJ49="","",'Model inputs'!AJ49),IF(IF(IF(ISERROR('Model inputs'!AC89&gt;=18),'Model inputs'!AC89&gt;=18,IF('Model inputs'!AC89="","",'Model inputs'!AC89&gt;=18))="",FALSE,IF(ISERROR('Model inputs'!AC89&gt;=18),'Model inputs'!AC89&gt;=18,IF('Model inputs'!AC89="","",'Model inputs'!AC89&gt;=18))),IF('Model inputs'!AJ48="","",'Model inputs'!AJ48),IF(IF(IF(ISERROR('Model inputs'!AC89&gt;=15),'Model inputs'!AC89&gt;=15,IF('Model inputs'!AC89="","",'Model inputs'!AC89&gt;=15))="",FALSE,IF(ISERROR('Model inputs'!AC89&gt;=15),'Model inputs'!AC89&gt;=15,IF('Model inputs'!AC89="","",'Model inputs'!AC89&gt;=15))),IF('Model inputs'!AJ47="","",'Model inputs'!AJ47),IF(IF(IF(ISERROR('Model inputs'!AC89&gt;=12),'Model inputs'!AC89&gt;=12,IF('Model inputs'!AC89="","",'Model inputs'!AC89&gt;=12))="",FALSE,IF(ISERROR('Model inputs'!AC89&gt;=12),'Model inputs'!AC89&gt;=12,IF('Model inputs'!AC89="","",'Model inputs'!AC89&gt;=12))),IF('Model inputs'!AJ46="","",'Model inputs'!AJ46),IF(IF(IF(ISERROR('Model inputs'!AC89&gt;=9),'Model inputs'!AC89&gt;=9,IF('Model inputs'!AC89="","",'Model inputs'!AC89&gt;=9))="",FALSE,IF(ISERROR('Model inputs'!AC89&gt;=9),'Model inputs'!AC89&gt;=9,IF('Model inputs'!AC89="","",'Model inputs'!AC89&gt;=9))),IF('Model inputs'!AJ53="","",'Model inputs'!AJ53),IF(IF(IF(ISERROR('Model inputs'!AC89&gt;=6),'Model inputs'!AC89&gt;=6,IF('Model inputs'!AC89="","",'Model inputs'!AC89&gt;=6))="",FALSE,IF(ISERROR('Model inputs'!AC89&gt;=6),'Model inputs'!AC89&gt;=6,IF('Model inputs'!AC89="","",'Model inputs'!AC89&gt;=6))),IF('Model inputs'!AJ52="","",'Model inputs'!AJ52),0))))))))</f>
        <v>0</v>
      </c>
      <c r="AD17" s="15">
        <f>IF(IF(IF(ISERROR('Model inputs'!AD89&gt;=24),'Model inputs'!AD89&gt;=24,IF('Model inputs'!AD89="","",'Model inputs'!AD89&gt;=24))="",FALSE,IF(ISERROR('Model inputs'!AD89&gt;=24),'Model inputs'!AD89&gt;=24,IF('Model inputs'!AD89="","",'Model inputs'!AD89&gt;=24))),IF('Model inputs'!AJ51="","",'Model inputs'!AJ51),IF(IF(IF(ISERROR('Model inputs'!AD89&gt;=23),'Model inputs'!AD89&gt;=23,IF('Model inputs'!AD89="","",'Model inputs'!AD89&gt;=23))="",FALSE,IF(ISERROR('Model inputs'!AD89&gt;=23),'Model inputs'!AD89&gt;=23,IF('Model inputs'!AD89="","",'Model inputs'!AD89&gt;=23))),IF('Model inputs'!AJ50="","",'Model inputs'!AJ50),IF(IF(IF(ISERROR('Model inputs'!AD89&gt;=21),'Model inputs'!AD89&gt;=21,IF('Model inputs'!AD89="","",'Model inputs'!AD89&gt;=21))="",FALSE,IF(ISERROR('Model inputs'!AD89&gt;=21),'Model inputs'!AD89&gt;=21,IF('Model inputs'!AD89="","",'Model inputs'!AD89&gt;=21))),IF('Model inputs'!AJ49="","",'Model inputs'!AJ49),IF(IF(IF(ISERROR('Model inputs'!AD89&gt;=18),'Model inputs'!AD89&gt;=18,IF('Model inputs'!AD89="","",'Model inputs'!AD89&gt;=18))="",FALSE,IF(ISERROR('Model inputs'!AD89&gt;=18),'Model inputs'!AD89&gt;=18,IF('Model inputs'!AD89="","",'Model inputs'!AD89&gt;=18))),IF('Model inputs'!AJ48="","",'Model inputs'!AJ48),IF(IF(IF(ISERROR('Model inputs'!AD89&gt;=15),'Model inputs'!AD89&gt;=15,IF('Model inputs'!AD89="","",'Model inputs'!AD89&gt;=15))="",FALSE,IF(ISERROR('Model inputs'!AD89&gt;=15),'Model inputs'!AD89&gt;=15,IF('Model inputs'!AD89="","",'Model inputs'!AD89&gt;=15))),IF('Model inputs'!AJ47="","",'Model inputs'!AJ47),IF(IF(IF(ISERROR('Model inputs'!AD89&gt;=12),'Model inputs'!AD89&gt;=12,IF('Model inputs'!AD89="","",'Model inputs'!AD89&gt;=12))="",FALSE,IF(ISERROR('Model inputs'!AD89&gt;=12),'Model inputs'!AD89&gt;=12,IF('Model inputs'!AD89="","",'Model inputs'!AD89&gt;=12))),IF('Model inputs'!AJ46="","",'Model inputs'!AJ46),IF(IF(IF(ISERROR('Model inputs'!AD89&gt;=9),'Model inputs'!AD89&gt;=9,IF('Model inputs'!AD89="","",'Model inputs'!AD89&gt;=9))="",FALSE,IF(ISERROR('Model inputs'!AD89&gt;=9),'Model inputs'!AD89&gt;=9,IF('Model inputs'!AD89="","",'Model inputs'!AD89&gt;=9))),IF('Model inputs'!AJ53="","",'Model inputs'!AJ53),IF(IF(IF(ISERROR('Model inputs'!AD89&gt;=6),'Model inputs'!AD89&gt;=6,IF('Model inputs'!AD89="","",'Model inputs'!AD89&gt;=6))="",FALSE,IF(ISERROR('Model inputs'!AD89&gt;=6),'Model inputs'!AD89&gt;=6,IF('Model inputs'!AD89="","",'Model inputs'!AD89&gt;=6))),IF('Model inputs'!AJ52="","",'Model inputs'!AJ52),0))))))))</f>
        <v>0</v>
      </c>
      <c r="AE17" s="15">
        <f>IF(IF(IF(ISERROR('Model inputs'!AE89&gt;=24),'Model inputs'!AE89&gt;=24,IF('Model inputs'!AE89="","",'Model inputs'!AE89&gt;=24))="",FALSE,IF(ISERROR('Model inputs'!AE89&gt;=24),'Model inputs'!AE89&gt;=24,IF('Model inputs'!AE89="","",'Model inputs'!AE89&gt;=24))),IF('Model inputs'!AJ51="","",'Model inputs'!AJ51),IF(IF(IF(ISERROR('Model inputs'!AE89&gt;=23),'Model inputs'!AE89&gt;=23,IF('Model inputs'!AE89="","",'Model inputs'!AE89&gt;=23))="",FALSE,IF(ISERROR('Model inputs'!AE89&gt;=23),'Model inputs'!AE89&gt;=23,IF('Model inputs'!AE89="","",'Model inputs'!AE89&gt;=23))),IF('Model inputs'!AJ50="","",'Model inputs'!AJ50),IF(IF(IF(ISERROR('Model inputs'!AE89&gt;=21),'Model inputs'!AE89&gt;=21,IF('Model inputs'!AE89="","",'Model inputs'!AE89&gt;=21))="",FALSE,IF(ISERROR('Model inputs'!AE89&gt;=21),'Model inputs'!AE89&gt;=21,IF('Model inputs'!AE89="","",'Model inputs'!AE89&gt;=21))),IF('Model inputs'!AJ49="","",'Model inputs'!AJ49),IF(IF(IF(ISERROR('Model inputs'!AE89&gt;=18),'Model inputs'!AE89&gt;=18,IF('Model inputs'!AE89="","",'Model inputs'!AE89&gt;=18))="",FALSE,IF(ISERROR('Model inputs'!AE89&gt;=18),'Model inputs'!AE89&gt;=18,IF('Model inputs'!AE89="","",'Model inputs'!AE89&gt;=18))),IF('Model inputs'!AJ48="","",'Model inputs'!AJ48),IF(IF(IF(ISERROR('Model inputs'!AE89&gt;=15),'Model inputs'!AE89&gt;=15,IF('Model inputs'!AE89="","",'Model inputs'!AE89&gt;=15))="",FALSE,IF(ISERROR('Model inputs'!AE89&gt;=15),'Model inputs'!AE89&gt;=15,IF('Model inputs'!AE89="","",'Model inputs'!AE89&gt;=15))),IF('Model inputs'!AJ47="","",'Model inputs'!AJ47),IF(IF(IF(ISERROR('Model inputs'!AE89&gt;=12),'Model inputs'!AE89&gt;=12,IF('Model inputs'!AE89="","",'Model inputs'!AE89&gt;=12))="",FALSE,IF(ISERROR('Model inputs'!AE89&gt;=12),'Model inputs'!AE89&gt;=12,IF('Model inputs'!AE89="","",'Model inputs'!AE89&gt;=12))),IF('Model inputs'!AJ46="","",'Model inputs'!AJ46),IF(IF(IF(ISERROR('Model inputs'!AE89&gt;=9),'Model inputs'!AE89&gt;=9,IF('Model inputs'!AE89="","",'Model inputs'!AE89&gt;=9))="",FALSE,IF(ISERROR('Model inputs'!AE89&gt;=9),'Model inputs'!AE89&gt;=9,IF('Model inputs'!AE89="","",'Model inputs'!AE89&gt;=9))),IF('Model inputs'!AJ53="","",'Model inputs'!AJ53),IF(IF(IF(ISERROR('Model inputs'!AE89&gt;=6),'Model inputs'!AE89&gt;=6,IF('Model inputs'!AE89="","",'Model inputs'!AE89&gt;=6))="",FALSE,IF(ISERROR('Model inputs'!AE89&gt;=6),'Model inputs'!AE89&gt;=6,IF('Model inputs'!AE89="","",'Model inputs'!AE89&gt;=6))),IF('Model inputs'!AJ52="","",'Model inputs'!AJ52),0))))))))</f>
        <v>0</v>
      </c>
      <c r="AF17" s="15">
        <f>IF(IF(IF(ISERROR('Model inputs'!AF89&gt;=24),'Model inputs'!AF89&gt;=24,IF('Model inputs'!AF89="","",'Model inputs'!AF89&gt;=24))="",FALSE,IF(ISERROR('Model inputs'!AF89&gt;=24),'Model inputs'!AF89&gt;=24,IF('Model inputs'!AF89="","",'Model inputs'!AF89&gt;=24))),IF('Model inputs'!AJ51="","",'Model inputs'!AJ51),IF(IF(IF(ISERROR('Model inputs'!AF89&gt;=23),'Model inputs'!AF89&gt;=23,IF('Model inputs'!AF89="","",'Model inputs'!AF89&gt;=23))="",FALSE,IF(ISERROR('Model inputs'!AF89&gt;=23),'Model inputs'!AF89&gt;=23,IF('Model inputs'!AF89="","",'Model inputs'!AF89&gt;=23))),IF('Model inputs'!AJ50="","",'Model inputs'!AJ50),IF(IF(IF(ISERROR('Model inputs'!AF89&gt;=21),'Model inputs'!AF89&gt;=21,IF('Model inputs'!AF89="","",'Model inputs'!AF89&gt;=21))="",FALSE,IF(ISERROR('Model inputs'!AF89&gt;=21),'Model inputs'!AF89&gt;=21,IF('Model inputs'!AF89="","",'Model inputs'!AF89&gt;=21))),IF('Model inputs'!AJ49="","",'Model inputs'!AJ49),IF(IF(IF(ISERROR('Model inputs'!AF89&gt;=18),'Model inputs'!AF89&gt;=18,IF('Model inputs'!AF89="","",'Model inputs'!AF89&gt;=18))="",FALSE,IF(ISERROR('Model inputs'!AF89&gt;=18),'Model inputs'!AF89&gt;=18,IF('Model inputs'!AF89="","",'Model inputs'!AF89&gt;=18))),IF('Model inputs'!AJ48="","",'Model inputs'!AJ48),IF(IF(IF(ISERROR('Model inputs'!AF89&gt;=15),'Model inputs'!AF89&gt;=15,IF('Model inputs'!AF89="","",'Model inputs'!AF89&gt;=15))="",FALSE,IF(ISERROR('Model inputs'!AF89&gt;=15),'Model inputs'!AF89&gt;=15,IF('Model inputs'!AF89="","",'Model inputs'!AF89&gt;=15))),IF('Model inputs'!AJ47="","",'Model inputs'!AJ47),IF(IF(IF(ISERROR('Model inputs'!AF89&gt;=12),'Model inputs'!AF89&gt;=12,IF('Model inputs'!AF89="","",'Model inputs'!AF89&gt;=12))="",FALSE,IF(ISERROR('Model inputs'!AF89&gt;=12),'Model inputs'!AF89&gt;=12,IF('Model inputs'!AF89="","",'Model inputs'!AF89&gt;=12))),IF('Model inputs'!AJ46="","",'Model inputs'!AJ46),IF(IF(IF(ISERROR('Model inputs'!AF89&gt;=9),'Model inputs'!AF89&gt;=9,IF('Model inputs'!AF89="","",'Model inputs'!AF89&gt;=9))="",FALSE,IF(ISERROR('Model inputs'!AF89&gt;=9),'Model inputs'!AF89&gt;=9,IF('Model inputs'!AF89="","",'Model inputs'!AF89&gt;=9))),IF('Model inputs'!AJ53="","",'Model inputs'!AJ53),IF(IF(IF(ISERROR('Model inputs'!AF89&gt;=6),'Model inputs'!AF89&gt;=6,IF('Model inputs'!AF89="","",'Model inputs'!AF89&gt;=6))="",FALSE,IF(ISERROR('Model inputs'!AF89&gt;=6),'Model inputs'!AF89&gt;=6,IF('Model inputs'!AF89="","",'Model inputs'!AF89&gt;=6))),IF('Model inputs'!AJ52="","",'Model inputs'!AJ52),0))))))))</f>
        <v>0</v>
      </c>
      <c r="AG17" s="15">
        <f>IF(IF(IF(ISERROR('Model inputs'!AG89&gt;=24),'Model inputs'!AG89&gt;=24,IF('Model inputs'!AG89="","",'Model inputs'!AG89&gt;=24))="",FALSE,IF(ISERROR('Model inputs'!AG89&gt;=24),'Model inputs'!AG89&gt;=24,IF('Model inputs'!AG89="","",'Model inputs'!AG89&gt;=24))),IF('Model inputs'!AJ51="","",'Model inputs'!AJ51),IF(IF(IF(ISERROR('Model inputs'!AG89&gt;=23),'Model inputs'!AG89&gt;=23,IF('Model inputs'!AG89="","",'Model inputs'!AG89&gt;=23))="",FALSE,IF(ISERROR('Model inputs'!AG89&gt;=23),'Model inputs'!AG89&gt;=23,IF('Model inputs'!AG89="","",'Model inputs'!AG89&gt;=23))),IF('Model inputs'!AJ50="","",'Model inputs'!AJ50),IF(IF(IF(ISERROR('Model inputs'!AG89&gt;=21),'Model inputs'!AG89&gt;=21,IF('Model inputs'!AG89="","",'Model inputs'!AG89&gt;=21))="",FALSE,IF(ISERROR('Model inputs'!AG89&gt;=21),'Model inputs'!AG89&gt;=21,IF('Model inputs'!AG89="","",'Model inputs'!AG89&gt;=21))),IF('Model inputs'!AJ49="","",'Model inputs'!AJ49),IF(IF(IF(ISERROR('Model inputs'!AG89&gt;=18),'Model inputs'!AG89&gt;=18,IF('Model inputs'!AG89="","",'Model inputs'!AG89&gt;=18))="",FALSE,IF(ISERROR('Model inputs'!AG89&gt;=18),'Model inputs'!AG89&gt;=18,IF('Model inputs'!AG89="","",'Model inputs'!AG89&gt;=18))),IF('Model inputs'!AJ48="","",'Model inputs'!AJ48),IF(IF(IF(ISERROR('Model inputs'!AG89&gt;=15),'Model inputs'!AG89&gt;=15,IF('Model inputs'!AG89="","",'Model inputs'!AG89&gt;=15))="",FALSE,IF(ISERROR('Model inputs'!AG89&gt;=15),'Model inputs'!AG89&gt;=15,IF('Model inputs'!AG89="","",'Model inputs'!AG89&gt;=15))),IF('Model inputs'!AJ47="","",'Model inputs'!AJ47),IF(IF(IF(ISERROR('Model inputs'!AG89&gt;=12),'Model inputs'!AG89&gt;=12,IF('Model inputs'!AG89="","",'Model inputs'!AG89&gt;=12))="",FALSE,IF(ISERROR('Model inputs'!AG89&gt;=12),'Model inputs'!AG89&gt;=12,IF('Model inputs'!AG89="","",'Model inputs'!AG89&gt;=12))),IF('Model inputs'!AJ46="","",'Model inputs'!AJ46),IF(IF(IF(ISERROR('Model inputs'!AG89&gt;=9),'Model inputs'!AG89&gt;=9,IF('Model inputs'!AG89="","",'Model inputs'!AG89&gt;=9))="",FALSE,IF(ISERROR('Model inputs'!AG89&gt;=9),'Model inputs'!AG89&gt;=9,IF('Model inputs'!AG89="","",'Model inputs'!AG89&gt;=9))),IF('Model inputs'!AJ53="","",'Model inputs'!AJ53),IF(IF(IF(ISERROR('Model inputs'!AG89&gt;=6),'Model inputs'!AG89&gt;=6,IF('Model inputs'!AG89="","",'Model inputs'!AG89&gt;=6))="",FALSE,IF(ISERROR('Model inputs'!AG89&gt;=6),'Model inputs'!AG89&gt;=6,IF('Model inputs'!AG89="","",'Model inputs'!AG89&gt;=6))),IF('Model inputs'!AJ52="","",'Model inputs'!AJ52),0))))))))</f>
        <v>0</v>
      </c>
      <c r="AH17" s="15">
        <f>IF(IF(IF(ISERROR('Model inputs'!AH89&gt;=24),'Model inputs'!AH89&gt;=24,IF('Model inputs'!AH89="","",'Model inputs'!AH89&gt;=24))="",FALSE,IF(ISERROR('Model inputs'!AH89&gt;=24),'Model inputs'!AH89&gt;=24,IF('Model inputs'!AH89="","",'Model inputs'!AH89&gt;=24))),IF('Model inputs'!AJ51="","",'Model inputs'!AJ51),IF(IF(IF(ISERROR('Model inputs'!AH89&gt;=23),'Model inputs'!AH89&gt;=23,IF('Model inputs'!AH89="","",'Model inputs'!AH89&gt;=23))="",FALSE,IF(ISERROR('Model inputs'!AH89&gt;=23),'Model inputs'!AH89&gt;=23,IF('Model inputs'!AH89="","",'Model inputs'!AH89&gt;=23))),IF('Model inputs'!AJ50="","",'Model inputs'!AJ50),IF(IF(IF(ISERROR('Model inputs'!AH89&gt;=21),'Model inputs'!AH89&gt;=21,IF('Model inputs'!AH89="","",'Model inputs'!AH89&gt;=21))="",FALSE,IF(ISERROR('Model inputs'!AH89&gt;=21),'Model inputs'!AH89&gt;=21,IF('Model inputs'!AH89="","",'Model inputs'!AH89&gt;=21))),IF('Model inputs'!AJ49="","",'Model inputs'!AJ49),IF(IF(IF(ISERROR('Model inputs'!AH89&gt;=18),'Model inputs'!AH89&gt;=18,IF('Model inputs'!AH89="","",'Model inputs'!AH89&gt;=18))="",FALSE,IF(ISERROR('Model inputs'!AH89&gt;=18),'Model inputs'!AH89&gt;=18,IF('Model inputs'!AH89="","",'Model inputs'!AH89&gt;=18))),IF('Model inputs'!AJ48="","",'Model inputs'!AJ48),IF(IF(IF(ISERROR('Model inputs'!AH89&gt;=15),'Model inputs'!AH89&gt;=15,IF('Model inputs'!AH89="","",'Model inputs'!AH89&gt;=15))="",FALSE,IF(ISERROR('Model inputs'!AH89&gt;=15),'Model inputs'!AH89&gt;=15,IF('Model inputs'!AH89="","",'Model inputs'!AH89&gt;=15))),IF('Model inputs'!AJ47="","",'Model inputs'!AJ47),IF(IF(IF(ISERROR('Model inputs'!AH89&gt;=12),'Model inputs'!AH89&gt;=12,IF('Model inputs'!AH89="","",'Model inputs'!AH89&gt;=12))="",FALSE,IF(ISERROR('Model inputs'!AH89&gt;=12),'Model inputs'!AH89&gt;=12,IF('Model inputs'!AH89="","",'Model inputs'!AH89&gt;=12))),IF('Model inputs'!AJ46="","",'Model inputs'!AJ46),IF(IF(IF(ISERROR('Model inputs'!AH89&gt;=9),'Model inputs'!AH89&gt;=9,IF('Model inputs'!AH89="","",'Model inputs'!AH89&gt;=9))="",FALSE,IF(ISERROR('Model inputs'!AH89&gt;=9),'Model inputs'!AH89&gt;=9,IF('Model inputs'!AH89="","",'Model inputs'!AH89&gt;=9))),IF('Model inputs'!AJ53="","",'Model inputs'!AJ53),IF(IF(IF(ISERROR('Model inputs'!AH89&gt;=6),'Model inputs'!AH89&gt;=6,IF('Model inputs'!AH89="","",'Model inputs'!AH89&gt;=6))="",FALSE,IF(ISERROR('Model inputs'!AH89&gt;=6),'Model inputs'!AH89&gt;=6,IF('Model inputs'!AH89="","",'Model inputs'!AH89&gt;=6))),IF('Model inputs'!AJ52="","",'Model inputs'!AJ52),0))))))))</f>
        <v>0</v>
      </c>
      <c r="AI17" s="15">
        <f>IF(IF(IF(ISERROR('Model inputs'!AI89&gt;=24),'Model inputs'!AI89&gt;=24,IF('Model inputs'!AI89="","",'Model inputs'!AI89&gt;=24))="",FALSE,IF(ISERROR('Model inputs'!AI89&gt;=24),'Model inputs'!AI89&gt;=24,IF('Model inputs'!AI89="","",'Model inputs'!AI89&gt;=24))),IF('Model inputs'!AJ51="","",'Model inputs'!AJ51),IF(IF(IF(ISERROR('Model inputs'!AI89&gt;=23),'Model inputs'!AI89&gt;=23,IF('Model inputs'!AI89="","",'Model inputs'!AI89&gt;=23))="",FALSE,IF(ISERROR('Model inputs'!AI89&gt;=23),'Model inputs'!AI89&gt;=23,IF('Model inputs'!AI89="","",'Model inputs'!AI89&gt;=23))),IF('Model inputs'!AJ50="","",'Model inputs'!AJ50),IF(IF(IF(ISERROR('Model inputs'!AI89&gt;=21),'Model inputs'!AI89&gt;=21,IF('Model inputs'!AI89="","",'Model inputs'!AI89&gt;=21))="",FALSE,IF(ISERROR('Model inputs'!AI89&gt;=21),'Model inputs'!AI89&gt;=21,IF('Model inputs'!AI89="","",'Model inputs'!AI89&gt;=21))),IF('Model inputs'!AJ49="","",'Model inputs'!AJ49),IF(IF(IF(ISERROR('Model inputs'!AI89&gt;=18),'Model inputs'!AI89&gt;=18,IF('Model inputs'!AI89="","",'Model inputs'!AI89&gt;=18))="",FALSE,IF(ISERROR('Model inputs'!AI89&gt;=18),'Model inputs'!AI89&gt;=18,IF('Model inputs'!AI89="","",'Model inputs'!AI89&gt;=18))),IF('Model inputs'!AJ48="","",'Model inputs'!AJ48),IF(IF(IF(ISERROR('Model inputs'!AI89&gt;=15),'Model inputs'!AI89&gt;=15,IF('Model inputs'!AI89="","",'Model inputs'!AI89&gt;=15))="",FALSE,IF(ISERROR('Model inputs'!AI89&gt;=15),'Model inputs'!AI89&gt;=15,IF('Model inputs'!AI89="","",'Model inputs'!AI89&gt;=15))),IF('Model inputs'!AJ47="","",'Model inputs'!AJ47),IF(IF(IF(ISERROR('Model inputs'!AI89&gt;=12),'Model inputs'!AI89&gt;=12,IF('Model inputs'!AI89="","",'Model inputs'!AI89&gt;=12))="",FALSE,IF(ISERROR('Model inputs'!AI89&gt;=12),'Model inputs'!AI89&gt;=12,IF('Model inputs'!AI89="","",'Model inputs'!AI89&gt;=12))),IF('Model inputs'!AJ46="","",'Model inputs'!AJ46),IF(IF(IF(ISERROR('Model inputs'!AI89&gt;=9),'Model inputs'!AI89&gt;=9,IF('Model inputs'!AI89="","",'Model inputs'!AI89&gt;=9))="",FALSE,IF(ISERROR('Model inputs'!AI89&gt;=9),'Model inputs'!AI89&gt;=9,IF('Model inputs'!AI89="","",'Model inputs'!AI89&gt;=9))),IF('Model inputs'!AJ53="","",'Model inputs'!AJ53),IF(IF(IF(ISERROR('Model inputs'!AI89&gt;=6),'Model inputs'!AI89&gt;=6,IF('Model inputs'!AI89="","",'Model inputs'!AI89&gt;=6))="",FALSE,IF(ISERROR('Model inputs'!AI89&gt;=6),'Model inputs'!AI89&gt;=6,IF('Model inputs'!AI89="","",'Model inputs'!AI89&gt;=6))),IF('Model inputs'!AJ52="","",'Model inputs'!AJ52),0))))))))</f>
        <v>0</v>
      </c>
    </row>
    <row r="18">
      <c r="A18" t="inlineStr" s="14">
        <is>
          <t xml:space="preserve">Haq CSR launches</t>
        </is>
      </c>
      <c r="B18" s="15">
        <f>MAX('Model inputs'!B17-'Model inputs'!AI17,0)</f>
        <v>0</v>
      </c>
      <c r="C18" s="15">
        <f>MAX('Model inputs'!C17-'Model inputs'!B17,0)</f>
        <v>0</v>
      </c>
      <c r="D18" s="15">
        <f>MAX('Model inputs'!D17-'Model inputs'!C17,0)</f>
        <v>0</v>
      </c>
      <c r="E18" s="15">
        <f>MAX('Model inputs'!E17-'Model inputs'!D17,0)</f>
        <v>0</v>
      </c>
      <c r="F18" s="15">
        <f>MAX('Model inputs'!F17-'Model inputs'!E17,0)</f>
        <v>0</v>
      </c>
      <c r="G18" s="15">
        <f>MAX('Model inputs'!G17-'Model inputs'!F17,0)</f>
        <v>0</v>
      </c>
      <c r="H18" s="15">
        <f>MAX('Model inputs'!H17-'Model inputs'!G17,0)</f>
        <v>0</v>
      </c>
      <c r="I18" s="15">
        <f>MAX('Model inputs'!I17-'Model inputs'!H17,0)</f>
        <v>1</v>
      </c>
      <c r="J18" s="15">
        <f>MAX('Model inputs'!J17-'Model inputs'!I17,0)</f>
        <v>0</v>
      </c>
      <c r="K18" s="15">
        <f>MAX('Model inputs'!K17-'Model inputs'!J17,0)</f>
        <v>0</v>
      </c>
      <c r="L18" s="15">
        <f>MAX('Model inputs'!L17-'Model inputs'!K17,0)</f>
        <v>1</v>
      </c>
      <c r="M18" s="15">
        <f>MAX('Model inputs'!M17-'Model inputs'!L17,0)</f>
        <v>0</v>
      </c>
      <c r="N18" s="15">
        <f>MAX('Model inputs'!N17-'Model inputs'!M17,0)</f>
        <v>0</v>
      </c>
      <c r="O18" s="15">
        <f>MAX('Model inputs'!O17-'Model inputs'!N17,0)</f>
        <v>1</v>
      </c>
      <c r="P18" s="15">
        <f>MAX('Model inputs'!P17-'Model inputs'!O17,0)</f>
        <v>0</v>
      </c>
      <c r="Q18" s="15">
        <f>MAX('Model inputs'!Q17-'Model inputs'!P17,0)</f>
        <v>0</v>
      </c>
      <c r="R18" s="15">
        <f>MAX('Model inputs'!R17-'Model inputs'!Q17,0)</f>
        <v>1</v>
      </c>
      <c r="S18" s="15">
        <f>MAX('Model inputs'!S17-'Model inputs'!R17,0)</f>
        <v>0</v>
      </c>
      <c r="T18" s="15">
        <f>MAX('Model inputs'!T17-'Model inputs'!S17,0)</f>
        <v>0</v>
      </c>
      <c r="U18" s="15">
        <f>MAX('Model inputs'!U17-'Model inputs'!T17,0)</f>
        <v>1</v>
      </c>
      <c r="V18" s="15">
        <f>MAX('Model inputs'!V17-'Model inputs'!U17,0)</f>
        <v>0</v>
      </c>
      <c r="W18" s="15">
        <f>MAX('Model inputs'!W17-'Model inputs'!V17,0)</f>
        <v>0</v>
      </c>
      <c r="X18" s="15">
        <f>MAX('Model inputs'!X17-'Model inputs'!W17,0)</f>
        <v>1</v>
      </c>
      <c r="Y18" s="15">
        <f>MAX('Model inputs'!Y17-'Model inputs'!X17,0)</f>
        <v>0</v>
      </c>
      <c r="Z18" s="15">
        <f>MAX('Model inputs'!Z17-'Model inputs'!Y17,0)</f>
        <v>1</v>
      </c>
      <c r="AA18" s="15">
        <f>MAX('Model inputs'!AA17-'Model inputs'!Z17,0)</f>
        <v>1</v>
      </c>
      <c r="AB18" s="15">
        <f>MAX('Model inputs'!AB17-0,0)</f>
        <v>0</v>
      </c>
      <c r="AC18" s="15">
        <f>MAX('Model inputs'!AC17-'Model inputs'!AB17,0)</f>
        <v>0</v>
      </c>
      <c r="AD18" s="15">
        <f>MAX('Model inputs'!AD17-'Model inputs'!AC17,0)</f>
        <v>0</v>
      </c>
      <c r="AE18" s="15">
        <f>MAX('Model inputs'!AE17-'Model inputs'!AD17,0)</f>
        <v>0</v>
      </c>
      <c r="AF18" s="15">
        <f>MAX('Model inputs'!AF17-'Model inputs'!AE17,0)</f>
        <v>0</v>
      </c>
      <c r="AG18" s="15">
        <f>MAX('Model inputs'!AG17-'Model inputs'!AF17,0)</f>
        <v>0</v>
      </c>
      <c r="AH18" s="15">
        <f>MAX('Model inputs'!AH17-'Model inputs'!AG17,0)</f>
        <v>0</v>
      </c>
      <c r="AI18" s="15">
        <f>MAX('Model inputs'!AI17-'Model inputs'!AH17,0)</f>
        <v>0</v>
      </c>
    </row>
    <row r="19">
      <c r="A19" t="inlineStr" s="14">
        <is>
          <t xml:space="preserve">Haq CSR receipts</t>
        </is>
      </c>
      <c r="B19" s="9">
        <f>'Model inputs'!B18*'Model inputs'!AJ44+0*'Model inputs'!AJ33</f>
        <v>0</v>
      </c>
      <c r="C19" s="9">
        <f>'Model inputs'!C18*'Model inputs'!AJ44+0*'Model inputs'!AJ33</f>
        <v>0</v>
      </c>
      <c r="D19" s="9">
        <f>'Model inputs'!D18*'Model inputs'!AJ44+0*'Model inputs'!AJ33</f>
        <v>0</v>
      </c>
      <c r="E19" s="9">
        <f>'Model inputs'!E18*'Model inputs'!AJ44+0*'Model inputs'!AJ33</f>
        <v>0</v>
      </c>
      <c r="F19" s="9">
        <f>'Model inputs'!F18*'Model inputs'!AJ44+'Model inputs'!AB19*'Model inputs'!AJ33</f>
        <v>0</v>
      </c>
      <c r="G19" s="9">
        <f>'Model inputs'!G18*'Model inputs'!AJ44+'Model inputs'!AC19*'Model inputs'!AJ33</f>
        <v>0</v>
      </c>
      <c r="H19" s="9">
        <f>'Model inputs'!H18*'Model inputs'!AJ44+'Model inputs'!AD19*'Model inputs'!AJ33</f>
        <v>0</v>
      </c>
      <c r="I19" s="9">
        <f>'Model inputs'!I18*'Model inputs'!AJ44+'Model inputs'!AE19*'Model inputs'!AJ33</f>
        <v>500000</v>
      </c>
      <c r="J19" s="9">
        <f>'Model inputs'!J18*'Model inputs'!AJ44+'Model inputs'!AF19*'Model inputs'!AJ33</f>
        <v>0</v>
      </c>
      <c r="K19" s="9">
        <f>'Model inputs'!K18*'Model inputs'!AJ44+'Model inputs'!AG19*'Model inputs'!AJ33</f>
        <v>0</v>
      </c>
      <c r="L19" s="9">
        <f>'Model inputs'!L18*'Model inputs'!AJ44+'Model inputs'!AH19*'Model inputs'!AJ33</f>
        <v>500000</v>
      </c>
      <c r="M19" s="9">
        <f>'Model inputs'!M18*'Model inputs'!AJ44+'Model inputs'!AI19*'Model inputs'!AJ33</f>
        <v>0</v>
      </c>
      <c r="N19" s="9">
        <f>'Model inputs'!N18*'Model inputs'!AJ44+'Model inputs'!B19*'Model inputs'!AJ33</f>
        <v>0</v>
      </c>
      <c r="O19" s="9">
        <f>'Model inputs'!O18*'Model inputs'!AJ44+'Model inputs'!C19*'Model inputs'!AJ33</f>
        <v>500000</v>
      </c>
      <c r="P19" s="9">
        <f>'Model inputs'!P18*'Model inputs'!AJ44+'Model inputs'!D19*'Model inputs'!AJ33</f>
        <v>0</v>
      </c>
      <c r="Q19" s="9">
        <f>'Model inputs'!Q18*'Model inputs'!AJ44+'Model inputs'!E19*'Model inputs'!AJ33</f>
        <v>0</v>
      </c>
      <c r="R19" s="9">
        <f>'Model inputs'!R18*'Model inputs'!AJ44+'Model inputs'!F19*'Model inputs'!AJ33</f>
        <v>500000</v>
      </c>
      <c r="S19" s="9">
        <f>'Model inputs'!S18*'Model inputs'!AJ44+'Model inputs'!G19*'Model inputs'!AJ33</f>
        <v>0</v>
      </c>
      <c r="T19" s="9">
        <f>'Model inputs'!T18*'Model inputs'!AJ44+'Model inputs'!H19*'Model inputs'!AJ33</f>
        <v>0</v>
      </c>
      <c r="U19" s="9">
        <f>'Model inputs'!U18*'Model inputs'!AJ44+'Model inputs'!I19*'Model inputs'!AJ33</f>
        <v>1000000</v>
      </c>
      <c r="V19" s="9">
        <f>'Model inputs'!V18*'Model inputs'!AJ44+'Model inputs'!J19*'Model inputs'!AJ33</f>
        <v>0</v>
      </c>
      <c r="W19" s="9">
        <f>'Model inputs'!W18*'Model inputs'!AJ44+'Model inputs'!K19*'Model inputs'!AJ33</f>
        <v>0</v>
      </c>
      <c r="X19" s="9">
        <f>'Model inputs'!X18*'Model inputs'!AJ44+'Model inputs'!L19*'Model inputs'!AJ33</f>
        <v>1000000</v>
      </c>
      <c r="Y19" s="9">
        <f>'Model inputs'!Y18*'Model inputs'!AJ44+'Model inputs'!M19*'Model inputs'!AJ33</f>
        <v>0</v>
      </c>
      <c r="Z19" s="9">
        <f>'Model inputs'!Z18*'Model inputs'!AJ44+'Model inputs'!N19*'Model inputs'!AJ33</f>
        <v>500000</v>
      </c>
      <c r="AA19" s="9">
        <f>'Model inputs'!AA18*'Model inputs'!AJ44+'Model inputs'!O19*'Model inputs'!AJ33</f>
        <v>1000000</v>
      </c>
      <c r="AB19" s="9">
        <f>'Model inputs'!AB18*'Model inputs'!AJ44+0*'Model inputs'!AJ33</f>
        <v>0</v>
      </c>
      <c r="AC19" s="9">
        <f>'Model inputs'!AC18*'Model inputs'!AJ44+0*'Model inputs'!AJ33</f>
        <v>0</v>
      </c>
      <c r="AD19" s="9">
        <f>'Model inputs'!AD18*'Model inputs'!AJ44+0*'Model inputs'!AJ33</f>
        <v>0</v>
      </c>
      <c r="AE19" s="9">
        <f>'Model inputs'!AE18*'Model inputs'!AJ44+0*'Model inputs'!AJ33</f>
        <v>0</v>
      </c>
      <c r="AF19" s="9">
        <f>'Model inputs'!AF18*'Model inputs'!AJ44+0*'Model inputs'!AJ33</f>
        <v>0</v>
      </c>
      <c r="AG19" s="9">
        <f>'Model inputs'!AG18*'Model inputs'!AJ44+0*'Model inputs'!AJ33</f>
        <v>0</v>
      </c>
      <c r="AH19" s="9">
        <f>'Model inputs'!AH18*'Model inputs'!AJ44+0*'Model inputs'!AJ33</f>
        <v>0</v>
      </c>
      <c r="AI19" s="9">
        <f>'Model inputs'!AI18*'Model inputs'!AJ44+0*'Model inputs'!AJ33</f>
        <v>0</v>
      </c>
    </row>
    <row r="20">
      <c r="A20" t="inlineStr" s="14">
        <is>
          <t xml:space="preserve">Haq CSR revenue</t>
        </is>
      </c>
      <c r="B20" s="9">
        <f>'Model inputs'!B17*'Model inputs'!AJ44/12</f>
        <v>0</v>
      </c>
      <c r="C20" s="9">
        <f>'Model inputs'!C17*'Model inputs'!AJ44/12</f>
        <v>0</v>
      </c>
      <c r="D20" s="9">
        <f>'Model inputs'!D17*'Model inputs'!AJ44/12</f>
        <v>0</v>
      </c>
      <c r="E20" s="9">
        <f>'Model inputs'!E17*'Model inputs'!AJ44/12</f>
        <v>0</v>
      </c>
      <c r="F20" s="9">
        <f>'Model inputs'!F17*'Model inputs'!AJ44/12</f>
        <v>0</v>
      </c>
      <c r="G20" s="9">
        <f>'Model inputs'!G17*'Model inputs'!AJ44/12</f>
        <v>0</v>
      </c>
      <c r="H20" s="9">
        <f>'Model inputs'!H17*'Model inputs'!AJ44/12</f>
        <v>0</v>
      </c>
      <c r="I20" s="9">
        <f>'Model inputs'!I17*'Model inputs'!AJ44/12</f>
        <v>41666.666666666664</v>
      </c>
      <c r="J20" s="9">
        <f>'Model inputs'!J17*'Model inputs'!AJ44/12</f>
        <v>41666.666666666664</v>
      </c>
      <c r="K20" s="9">
        <f>'Model inputs'!K17*'Model inputs'!AJ44/12</f>
        <v>41666.666666666664</v>
      </c>
      <c r="L20" s="9">
        <f>'Model inputs'!L17*'Model inputs'!AJ44/12</f>
        <v>83333.33333333333</v>
      </c>
      <c r="M20" s="9">
        <f>'Model inputs'!M17*'Model inputs'!AJ44/12</f>
        <v>83333.33333333333</v>
      </c>
      <c r="N20" s="9">
        <f>'Model inputs'!N17*'Model inputs'!AJ44/12</f>
        <v>83333.33333333333</v>
      </c>
      <c r="O20" s="9">
        <f>'Model inputs'!O17*'Model inputs'!AJ44/12</f>
        <v>125000</v>
      </c>
      <c r="P20" s="9">
        <f>'Model inputs'!P17*'Model inputs'!AJ44/12</f>
        <v>125000</v>
      </c>
      <c r="Q20" s="9">
        <f>'Model inputs'!Q17*'Model inputs'!AJ44/12</f>
        <v>125000</v>
      </c>
      <c r="R20" s="9">
        <f>'Model inputs'!R17*'Model inputs'!AJ44/12</f>
        <v>166666.66666666666</v>
      </c>
      <c r="S20" s="9">
        <f>'Model inputs'!S17*'Model inputs'!AJ44/12</f>
        <v>166666.66666666666</v>
      </c>
      <c r="T20" s="9">
        <f>'Model inputs'!T17*'Model inputs'!AJ44/12</f>
        <v>166666.66666666666</v>
      </c>
      <c r="U20" s="9">
        <f>'Model inputs'!U17*'Model inputs'!AJ44/12</f>
        <v>208333.3333333333</v>
      </c>
      <c r="V20" s="9">
        <f>'Model inputs'!V17*'Model inputs'!AJ44/12</f>
        <v>208333.3333333333</v>
      </c>
      <c r="W20" s="9">
        <f>'Model inputs'!W17*'Model inputs'!AJ44/12</f>
        <v>208333.3333333333</v>
      </c>
      <c r="X20" s="9">
        <f>'Model inputs'!X17*'Model inputs'!AJ44/12</f>
        <v>250000</v>
      </c>
      <c r="Y20" s="9">
        <f>'Model inputs'!Y17*'Model inputs'!AJ44/12</f>
        <v>250000</v>
      </c>
      <c r="Z20" s="9">
        <f>'Model inputs'!Z17*'Model inputs'!AJ44/12</f>
        <v>291666.6666666666</v>
      </c>
      <c r="AA20" s="9">
        <f>'Model inputs'!AA17*'Model inputs'!AJ44/12</f>
        <v>333333.3333333333</v>
      </c>
      <c r="AB20" s="9">
        <f>'Model inputs'!AB17*'Model inputs'!AJ44/12</f>
        <v>0</v>
      </c>
      <c r="AC20" s="9">
        <f>'Model inputs'!AC17*'Model inputs'!AJ44/12</f>
        <v>0</v>
      </c>
      <c r="AD20" s="9">
        <f>'Model inputs'!AD17*'Model inputs'!AJ44/12</f>
        <v>0</v>
      </c>
      <c r="AE20" s="9">
        <f>'Model inputs'!AE17*'Model inputs'!AJ44/12</f>
        <v>0</v>
      </c>
      <c r="AF20" s="9">
        <f>'Model inputs'!AF17*'Model inputs'!AJ44/12</f>
        <v>0</v>
      </c>
      <c r="AG20" s="9">
        <f>'Model inputs'!AG17*'Model inputs'!AJ44/12</f>
        <v>0</v>
      </c>
      <c r="AH20" s="9">
        <f>'Model inputs'!AH17*'Model inputs'!AJ44/12</f>
        <v>0</v>
      </c>
      <c r="AI20" s="9">
        <f>'Model inputs'!AI17*'Model inputs'!AJ44/12</f>
        <v>0</v>
      </c>
    </row>
    <row r="21">
      <c r="A21" t="inlineStr" s="14">
        <is>
          <t xml:space="preserve">Haq Deferred revenue</t>
        </is>
      </c>
      <c r="B21" s="9">
        <f>'Model inputs'!AI21+'Model inputs'!B19+'Model inputs'!B26-'Model inputs'!B20-'Model inputs'!B27</f>
        <v>0</v>
      </c>
      <c r="C21" s="9">
        <f>'Model inputs'!B21+'Model inputs'!C19+'Model inputs'!C26-'Model inputs'!C20-'Model inputs'!C27</f>
        <v>0</v>
      </c>
      <c r="D21" s="9">
        <f>'Model inputs'!C21+'Model inputs'!D19+'Model inputs'!D26-'Model inputs'!D20-'Model inputs'!D27</f>
        <v>0</v>
      </c>
      <c r="E21" s="9">
        <f>'Model inputs'!D21+'Model inputs'!E19+'Model inputs'!E26-'Model inputs'!E20-'Model inputs'!E27</f>
        <v>0</v>
      </c>
      <c r="F21" s="9">
        <f>'Model inputs'!E21+'Model inputs'!F19+'Model inputs'!F26-'Model inputs'!F20-'Model inputs'!F27</f>
        <v>0</v>
      </c>
      <c r="G21" s="9">
        <f>'Model inputs'!F21+'Model inputs'!G19+'Model inputs'!G26-'Model inputs'!G20-'Model inputs'!G27</f>
        <v>0</v>
      </c>
      <c r="H21" s="9">
        <f>'Model inputs'!G21+'Model inputs'!H19+'Model inputs'!H26-'Model inputs'!H20-'Model inputs'!H27</f>
        <v>0</v>
      </c>
      <c r="I21" s="9">
        <f>'Model inputs'!H21+'Model inputs'!I19+'Model inputs'!I26-'Model inputs'!I20-'Model inputs'!I27</f>
        <v>458333.3333333333</v>
      </c>
      <c r="J21" s="9">
        <f>'Model inputs'!I21+'Model inputs'!J19+'Model inputs'!J26-'Model inputs'!J20-'Model inputs'!J27</f>
        <v>416666.6666666666</v>
      </c>
      <c r="K21" s="9">
        <f>'Model inputs'!J21+'Model inputs'!K19+'Model inputs'!K26-'Model inputs'!K20-'Model inputs'!K27</f>
        <v>374999.99999999994</v>
      </c>
      <c r="L21" s="9">
        <f>'Model inputs'!K21+'Model inputs'!L19+'Model inputs'!L26-'Model inputs'!L20-'Model inputs'!L27</f>
        <v>1250000</v>
      </c>
      <c r="M21" s="9">
        <f>'Model inputs'!L21+'Model inputs'!M19+'Model inputs'!M26-'Model inputs'!M20-'Model inputs'!M27</f>
        <v>1125000</v>
      </c>
      <c r="N21" s="9">
        <f>'Model inputs'!M21+'Model inputs'!N19+'Model inputs'!N26-'Model inputs'!N20-'Model inputs'!N27</f>
        <v>1000000</v>
      </c>
      <c r="O21" s="9">
        <f>'Model inputs'!N21+'Model inputs'!O19+'Model inputs'!O26-'Model inputs'!O20-'Model inputs'!O27</f>
        <v>1791666.6666666667</v>
      </c>
      <c r="P21" s="9">
        <f>'Model inputs'!O21+'Model inputs'!P19+'Model inputs'!P26-'Model inputs'!P20-'Model inputs'!P27</f>
        <v>1583333.3333333335</v>
      </c>
      <c r="Q21" s="9">
        <f>'Model inputs'!P21+'Model inputs'!Q19+'Model inputs'!Q26-'Model inputs'!Q20-'Model inputs'!Q27</f>
        <v>1375000.0000000002</v>
      </c>
      <c r="R21" s="9">
        <f>'Model inputs'!Q21+'Model inputs'!R19+'Model inputs'!R26-'Model inputs'!R20-'Model inputs'!R27</f>
        <v>1625000.0000000002</v>
      </c>
      <c r="S21" s="9">
        <f>'Model inputs'!R21+'Model inputs'!S19+'Model inputs'!S26-'Model inputs'!S20-'Model inputs'!S27</f>
        <v>1375000.0000000002</v>
      </c>
      <c r="T21" s="9">
        <f>'Model inputs'!S21+'Model inputs'!T19+'Model inputs'!T26-'Model inputs'!T20-'Model inputs'!T27</f>
        <v>1125000.0000000002</v>
      </c>
      <c r="U21" s="9">
        <f>'Model inputs'!T21+'Model inputs'!U19+'Model inputs'!U26-'Model inputs'!U20-'Model inputs'!U27</f>
        <v>2520833.333333333</v>
      </c>
      <c r="V21" s="9">
        <f>'Model inputs'!U21+'Model inputs'!V19+'Model inputs'!V26-'Model inputs'!V20-'Model inputs'!V27</f>
        <v>2166666.666666666</v>
      </c>
      <c r="W21" s="9">
        <f>'Model inputs'!V21+'Model inputs'!W19+'Model inputs'!W26-'Model inputs'!W20-'Model inputs'!W27</f>
        <v>1812499.9999999995</v>
      </c>
      <c r="X21" s="9">
        <f>'Model inputs'!W21+'Model inputs'!X19+'Model inputs'!X26-'Model inputs'!X20-'Model inputs'!X27</f>
        <v>2916666.666666666</v>
      </c>
      <c r="Y21" s="9">
        <f>'Model inputs'!X21+'Model inputs'!Y19+'Model inputs'!Y26-'Model inputs'!Y20-'Model inputs'!Y27</f>
        <v>2520833.3333333326</v>
      </c>
      <c r="Z21" s="9">
        <f>'Model inputs'!Y21+'Model inputs'!Z19+'Model inputs'!Z26-'Model inputs'!Z20-'Model inputs'!Z27</f>
        <v>2583333.3333333326</v>
      </c>
      <c r="AA21" s="9">
        <f>'Model inputs'!Z21+'Model inputs'!AA19+'Model inputs'!AA26-'Model inputs'!AA20-'Model inputs'!AA27</f>
        <v>4291666.666666666</v>
      </c>
      <c r="AB21" s="9">
        <f>0+'Model inputs'!AB19+'Model inputs'!AB26-'Model inputs'!AB20-'Model inputs'!AB27</f>
        <v>0</v>
      </c>
      <c r="AC21" s="9">
        <f>'Model inputs'!AB21+'Model inputs'!AC19+'Model inputs'!AC26-'Model inputs'!AC20-'Model inputs'!AC27</f>
        <v>0</v>
      </c>
      <c r="AD21" s="9">
        <f>'Model inputs'!AC21+'Model inputs'!AD19+'Model inputs'!AD26-'Model inputs'!AD20-'Model inputs'!AD27</f>
        <v>0</v>
      </c>
      <c r="AE21" s="9">
        <f>'Model inputs'!AD21+'Model inputs'!AE19+'Model inputs'!AE26-'Model inputs'!AE20-'Model inputs'!AE27</f>
        <v>0</v>
      </c>
      <c r="AF21" s="9">
        <f>'Model inputs'!AE21+'Model inputs'!AF19+'Model inputs'!AF26-'Model inputs'!AF20-'Model inputs'!AF27</f>
        <v>0</v>
      </c>
      <c r="AG21" s="9">
        <f>'Model inputs'!AF21+'Model inputs'!AG19+'Model inputs'!AG26-'Model inputs'!AG20-'Model inputs'!AG27</f>
        <v>0</v>
      </c>
      <c r="AH21" s="9">
        <f>'Model inputs'!AG21+'Model inputs'!AH19+'Model inputs'!AH26-'Model inputs'!AH20-'Model inputs'!AH27</f>
        <v>0</v>
      </c>
      <c r="AI21" s="9">
        <f>'Model inputs'!AH21+'Model inputs'!AI19+'Model inputs'!AI26-'Model inputs'!AI20-'Model inputs'!AI27</f>
        <v>0</v>
      </c>
    </row>
    <row r="22">
      <c r="A22" t="inlineStr" s="14">
        <is>
          <t xml:space="preserve">Haq Developer payroll</t>
        </is>
      </c>
      <c r="B22" s="9">
        <f>IF(IF(IF(ISERROR('Model inputs'!B89&gt;='Model inputs'!AJ63),'Model inputs'!B89&gt;='Model inputs'!AJ63,IF(OR('Model inputs'!B89="",'Model inputs'!AJ63=""),"",'Model inputs'!B89&gt;='Model inputs'!AJ63))="",FALSE,IF(ISERROR('Model inputs'!B89&gt;='Model inputs'!AJ63),'Model inputs'!B89&gt;='Model inputs'!AJ63,IF(OR('Model inputs'!B89="",'Model inputs'!AJ63=""),"",'Model inputs'!B89&gt;='Model inputs'!AJ63))),'Model inputs'!AJ62*'Model inputs'!AJ61,0)</f>
        <v>0</v>
      </c>
      <c r="C22" s="9">
        <f>IF(IF(IF(ISERROR('Model inputs'!C89&gt;='Model inputs'!AJ63),'Model inputs'!C89&gt;='Model inputs'!AJ63,IF(OR('Model inputs'!C89="",'Model inputs'!AJ63=""),"",'Model inputs'!C89&gt;='Model inputs'!AJ63))="",FALSE,IF(ISERROR('Model inputs'!C89&gt;='Model inputs'!AJ63),'Model inputs'!C89&gt;='Model inputs'!AJ63,IF(OR('Model inputs'!C89="",'Model inputs'!AJ63=""),"",'Model inputs'!C89&gt;='Model inputs'!AJ63))),'Model inputs'!AJ62*'Model inputs'!AJ61,0)</f>
        <v>0</v>
      </c>
      <c r="D22" s="9">
        <f>IF(IF(IF(ISERROR('Model inputs'!D89&gt;='Model inputs'!AJ63),'Model inputs'!D89&gt;='Model inputs'!AJ63,IF(OR('Model inputs'!D89="",'Model inputs'!AJ63=""),"",'Model inputs'!D89&gt;='Model inputs'!AJ63))="",FALSE,IF(ISERROR('Model inputs'!D89&gt;='Model inputs'!AJ63),'Model inputs'!D89&gt;='Model inputs'!AJ63,IF(OR('Model inputs'!D89="",'Model inputs'!AJ63=""),"",'Model inputs'!D89&gt;='Model inputs'!AJ63))),'Model inputs'!AJ62*'Model inputs'!AJ61,0)</f>
        <v>150000</v>
      </c>
      <c r="E22" s="9">
        <f>IF(IF(IF(ISERROR('Model inputs'!E89&gt;='Model inputs'!AJ63),'Model inputs'!E89&gt;='Model inputs'!AJ63,IF(OR('Model inputs'!E89="",'Model inputs'!AJ63=""),"",'Model inputs'!E89&gt;='Model inputs'!AJ63))="",FALSE,IF(ISERROR('Model inputs'!E89&gt;='Model inputs'!AJ63),'Model inputs'!E89&gt;='Model inputs'!AJ63,IF(OR('Model inputs'!E89="",'Model inputs'!AJ63=""),"",'Model inputs'!E89&gt;='Model inputs'!AJ63))),'Model inputs'!AJ62*'Model inputs'!AJ61,0)</f>
        <v>150000</v>
      </c>
      <c r="F22" s="9">
        <f>IF(IF(IF(ISERROR('Model inputs'!F89&gt;='Model inputs'!AJ63),'Model inputs'!F89&gt;='Model inputs'!AJ63,IF(OR('Model inputs'!F89="",'Model inputs'!AJ63=""),"",'Model inputs'!F89&gt;='Model inputs'!AJ63))="",FALSE,IF(ISERROR('Model inputs'!F89&gt;='Model inputs'!AJ63),'Model inputs'!F89&gt;='Model inputs'!AJ63,IF(OR('Model inputs'!F89="",'Model inputs'!AJ63=""),"",'Model inputs'!F89&gt;='Model inputs'!AJ63))),'Model inputs'!AJ62*'Model inputs'!AJ61,0)</f>
        <v>150000</v>
      </c>
      <c r="G22" s="9">
        <f>IF(IF(IF(ISERROR('Model inputs'!G89&gt;='Model inputs'!AJ63),'Model inputs'!G89&gt;='Model inputs'!AJ63,IF(OR('Model inputs'!G89="",'Model inputs'!AJ63=""),"",'Model inputs'!G89&gt;='Model inputs'!AJ63))="",FALSE,IF(ISERROR('Model inputs'!G89&gt;='Model inputs'!AJ63),'Model inputs'!G89&gt;='Model inputs'!AJ63,IF(OR('Model inputs'!G89="",'Model inputs'!AJ63=""),"",'Model inputs'!G89&gt;='Model inputs'!AJ63))),'Model inputs'!AJ62*'Model inputs'!AJ61,0)</f>
        <v>150000</v>
      </c>
      <c r="H22" s="9">
        <f>IF(IF(IF(ISERROR('Model inputs'!H89&gt;='Model inputs'!AJ63),'Model inputs'!H89&gt;='Model inputs'!AJ63,IF(OR('Model inputs'!H89="",'Model inputs'!AJ63=""),"",'Model inputs'!H89&gt;='Model inputs'!AJ63))="",FALSE,IF(ISERROR('Model inputs'!H89&gt;='Model inputs'!AJ63),'Model inputs'!H89&gt;='Model inputs'!AJ63,IF(OR('Model inputs'!H89="",'Model inputs'!AJ63=""),"",'Model inputs'!H89&gt;='Model inputs'!AJ63))),'Model inputs'!AJ62*'Model inputs'!AJ61,0)</f>
        <v>150000</v>
      </c>
      <c r="I22" s="9">
        <f>IF(IF(IF(ISERROR('Model inputs'!I89&gt;='Model inputs'!AJ63),'Model inputs'!I89&gt;='Model inputs'!AJ63,IF(OR('Model inputs'!I89="",'Model inputs'!AJ63=""),"",'Model inputs'!I89&gt;='Model inputs'!AJ63))="",FALSE,IF(ISERROR('Model inputs'!I89&gt;='Model inputs'!AJ63),'Model inputs'!I89&gt;='Model inputs'!AJ63,IF(OR('Model inputs'!I89="",'Model inputs'!AJ63=""),"",'Model inputs'!I89&gt;='Model inputs'!AJ63))),'Model inputs'!AJ62*'Model inputs'!AJ61,0)</f>
        <v>150000</v>
      </c>
      <c r="J22" s="9">
        <f>IF(IF(IF(ISERROR('Model inputs'!J89&gt;='Model inputs'!AJ63),'Model inputs'!J89&gt;='Model inputs'!AJ63,IF(OR('Model inputs'!J89="",'Model inputs'!AJ63=""),"",'Model inputs'!J89&gt;='Model inputs'!AJ63))="",FALSE,IF(ISERROR('Model inputs'!J89&gt;='Model inputs'!AJ63),'Model inputs'!J89&gt;='Model inputs'!AJ63,IF(OR('Model inputs'!J89="",'Model inputs'!AJ63=""),"",'Model inputs'!J89&gt;='Model inputs'!AJ63))),'Model inputs'!AJ62*'Model inputs'!AJ61,0)</f>
        <v>150000</v>
      </c>
      <c r="K22" s="9">
        <f>IF(IF(IF(ISERROR('Model inputs'!K89&gt;='Model inputs'!AJ63),'Model inputs'!K89&gt;='Model inputs'!AJ63,IF(OR('Model inputs'!K89="",'Model inputs'!AJ63=""),"",'Model inputs'!K89&gt;='Model inputs'!AJ63))="",FALSE,IF(ISERROR('Model inputs'!K89&gt;='Model inputs'!AJ63),'Model inputs'!K89&gt;='Model inputs'!AJ63,IF(OR('Model inputs'!K89="",'Model inputs'!AJ63=""),"",'Model inputs'!K89&gt;='Model inputs'!AJ63))),'Model inputs'!AJ62*'Model inputs'!AJ61,0)</f>
        <v>150000</v>
      </c>
      <c r="L22" s="9">
        <f>IF(IF(IF(ISERROR('Model inputs'!L89&gt;='Model inputs'!AJ63),'Model inputs'!L89&gt;='Model inputs'!AJ63,IF(OR('Model inputs'!L89="",'Model inputs'!AJ63=""),"",'Model inputs'!L89&gt;='Model inputs'!AJ63))="",FALSE,IF(ISERROR('Model inputs'!L89&gt;='Model inputs'!AJ63),'Model inputs'!L89&gt;='Model inputs'!AJ63,IF(OR('Model inputs'!L89="",'Model inputs'!AJ63=""),"",'Model inputs'!L89&gt;='Model inputs'!AJ63))),'Model inputs'!AJ62*'Model inputs'!AJ61,0)</f>
        <v>150000</v>
      </c>
      <c r="M22" s="9">
        <f>IF(IF(IF(ISERROR('Model inputs'!M89&gt;='Model inputs'!AJ63),'Model inputs'!M89&gt;='Model inputs'!AJ63,IF(OR('Model inputs'!M89="",'Model inputs'!AJ63=""),"",'Model inputs'!M89&gt;='Model inputs'!AJ63))="",FALSE,IF(ISERROR('Model inputs'!M89&gt;='Model inputs'!AJ63),'Model inputs'!M89&gt;='Model inputs'!AJ63,IF(OR('Model inputs'!M89="",'Model inputs'!AJ63=""),"",'Model inputs'!M89&gt;='Model inputs'!AJ63))),'Model inputs'!AJ62*'Model inputs'!AJ61,0)</f>
        <v>150000</v>
      </c>
      <c r="N22" s="9">
        <f>IF(IF(IF(ISERROR('Model inputs'!N89&gt;='Model inputs'!AJ63),'Model inputs'!N89&gt;='Model inputs'!AJ63,IF(OR('Model inputs'!N89="",'Model inputs'!AJ63=""),"",'Model inputs'!N89&gt;='Model inputs'!AJ63))="",FALSE,IF(ISERROR('Model inputs'!N89&gt;='Model inputs'!AJ63),'Model inputs'!N89&gt;='Model inputs'!AJ63,IF(OR('Model inputs'!N89="",'Model inputs'!AJ63=""),"",'Model inputs'!N89&gt;='Model inputs'!AJ63))),'Model inputs'!AJ62*'Model inputs'!AJ61,0)</f>
        <v>150000</v>
      </c>
      <c r="O22" s="9">
        <f>IF(IF(IF(ISERROR('Model inputs'!O89&gt;='Model inputs'!AJ63),'Model inputs'!O89&gt;='Model inputs'!AJ63,IF(OR('Model inputs'!O89="",'Model inputs'!AJ63=""),"",'Model inputs'!O89&gt;='Model inputs'!AJ63))="",FALSE,IF(ISERROR('Model inputs'!O89&gt;='Model inputs'!AJ63),'Model inputs'!O89&gt;='Model inputs'!AJ63,IF(OR('Model inputs'!O89="",'Model inputs'!AJ63=""),"",'Model inputs'!O89&gt;='Model inputs'!AJ63))),'Model inputs'!AJ62*'Model inputs'!AJ61,0)</f>
        <v>150000</v>
      </c>
      <c r="P22" s="9">
        <f>IF(IF(IF(ISERROR('Model inputs'!P89&gt;='Model inputs'!AJ63),'Model inputs'!P89&gt;='Model inputs'!AJ63,IF(OR('Model inputs'!P89="",'Model inputs'!AJ63=""),"",'Model inputs'!P89&gt;='Model inputs'!AJ63))="",FALSE,IF(ISERROR('Model inputs'!P89&gt;='Model inputs'!AJ63),'Model inputs'!P89&gt;='Model inputs'!AJ63,IF(OR('Model inputs'!P89="",'Model inputs'!AJ63=""),"",'Model inputs'!P89&gt;='Model inputs'!AJ63))),'Model inputs'!AJ62*'Model inputs'!AJ61,0)</f>
        <v>150000</v>
      </c>
      <c r="Q22" s="9">
        <f>IF(IF(IF(ISERROR('Model inputs'!Q89&gt;='Model inputs'!AJ63),'Model inputs'!Q89&gt;='Model inputs'!AJ63,IF(OR('Model inputs'!Q89="",'Model inputs'!AJ63=""),"",'Model inputs'!Q89&gt;='Model inputs'!AJ63))="",FALSE,IF(ISERROR('Model inputs'!Q89&gt;='Model inputs'!AJ63),'Model inputs'!Q89&gt;='Model inputs'!AJ63,IF(OR('Model inputs'!Q89="",'Model inputs'!AJ63=""),"",'Model inputs'!Q89&gt;='Model inputs'!AJ63))),'Model inputs'!AJ62*'Model inputs'!AJ61,0)</f>
        <v>150000</v>
      </c>
      <c r="R22" s="9">
        <f>IF(IF(IF(ISERROR('Model inputs'!R89&gt;='Model inputs'!AJ63),'Model inputs'!R89&gt;='Model inputs'!AJ63,IF(OR('Model inputs'!R89="",'Model inputs'!AJ63=""),"",'Model inputs'!R89&gt;='Model inputs'!AJ63))="",FALSE,IF(ISERROR('Model inputs'!R89&gt;='Model inputs'!AJ63),'Model inputs'!R89&gt;='Model inputs'!AJ63,IF(OR('Model inputs'!R89="",'Model inputs'!AJ63=""),"",'Model inputs'!R89&gt;='Model inputs'!AJ63))),'Model inputs'!AJ62*'Model inputs'!AJ61,0)</f>
        <v>150000</v>
      </c>
      <c r="S22" s="9">
        <f>IF(IF(IF(ISERROR('Model inputs'!S89&gt;='Model inputs'!AJ63),'Model inputs'!S89&gt;='Model inputs'!AJ63,IF(OR('Model inputs'!S89="",'Model inputs'!AJ63=""),"",'Model inputs'!S89&gt;='Model inputs'!AJ63))="",FALSE,IF(ISERROR('Model inputs'!S89&gt;='Model inputs'!AJ63),'Model inputs'!S89&gt;='Model inputs'!AJ63,IF(OR('Model inputs'!S89="",'Model inputs'!AJ63=""),"",'Model inputs'!S89&gt;='Model inputs'!AJ63))),'Model inputs'!AJ62*'Model inputs'!AJ61,0)</f>
        <v>150000</v>
      </c>
      <c r="T22" s="9">
        <f>IF(IF(IF(ISERROR('Model inputs'!T89&gt;='Model inputs'!AJ63),'Model inputs'!T89&gt;='Model inputs'!AJ63,IF(OR('Model inputs'!T89="",'Model inputs'!AJ63=""),"",'Model inputs'!T89&gt;='Model inputs'!AJ63))="",FALSE,IF(ISERROR('Model inputs'!T89&gt;='Model inputs'!AJ63),'Model inputs'!T89&gt;='Model inputs'!AJ63,IF(OR('Model inputs'!T89="",'Model inputs'!AJ63=""),"",'Model inputs'!T89&gt;='Model inputs'!AJ63))),'Model inputs'!AJ62*'Model inputs'!AJ61,0)</f>
        <v>150000</v>
      </c>
      <c r="U22" s="9">
        <f>IF(IF(IF(ISERROR('Model inputs'!U89&gt;='Model inputs'!AJ63),'Model inputs'!U89&gt;='Model inputs'!AJ63,IF(OR('Model inputs'!U89="",'Model inputs'!AJ63=""),"",'Model inputs'!U89&gt;='Model inputs'!AJ63))="",FALSE,IF(ISERROR('Model inputs'!U89&gt;='Model inputs'!AJ63),'Model inputs'!U89&gt;='Model inputs'!AJ63,IF(OR('Model inputs'!U89="",'Model inputs'!AJ63=""),"",'Model inputs'!U89&gt;='Model inputs'!AJ63))),'Model inputs'!AJ62*'Model inputs'!AJ61,0)</f>
        <v>150000</v>
      </c>
      <c r="V22" s="9">
        <f>IF(IF(IF(ISERROR('Model inputs'!V89&gt;='Model inputs'!AJ63),'Model inputs'!V89&gt;='Model inputs'!AJ63,IF(OR('Model inputs'!V89="",'Model inputs'!AJ63=""),"",'Model inputs'!V89&gt;='Model inputs'!AJ63))="",FALSE,IF(ISERROR('Model inputs'!V89&gt;='Model inputs'!AJ63),'Model inputs'!V89&gt;='Model inputs'!AJ63,IF(OR('Model inputs'!V89="",'Model inputs'!AJ63=""),"",'Model inputs'!V89&gt;='Model inputs'!AJ63))),'Model inputs'!AJ62*'Model inputs'!AJ61,0)</f>
        <v>150000</v>
      </c>
      <c r="W22" s="9">
        <f>IF(IF(IF(ISERROR('Model inputs'!W89&gt;='Model inputs'!AJ63),'Model inputs'!W89&gt;='Model inputs'!AJ63,IF(OR('Model inputs'!W89="",'Model inputs'!AJ63=""),"",'Model inputs'!W89&gt;='Model inputs'!AJ63))="",FALSE,IF(ISERROR('Model inputs'!W89&gt;='Model inputs'!AJ63),'Model inputs'!W89&gt;='Model inputs'!AJ63,IF(OR('Model inputs'!W89="",'Model inputs'!AJ63=""),"",'Model inputs'!W89&gt;='Model inputs'!AJ63))),'Model inputs'!AJ62*'Model inputs'!AJ61,0)</f>
        <v>150000</v>
      </c>
      <c r="X22" s="9">
        <f>IF(IF(IF(ISERROR('Model inputs'!X89&gt;='Model inputs'!AJ63),'Model inputs'!X89&gt;='Model inputs'!AJ63,IF(OR('Model inputs'!X89="",'Model inputs'!AJ63=""),"",'Model inputs'!X89&gt;='Model inputs'!AJ63))="",FALSE,IF(ISERROR('Model inputs'!X89&gt;='Model inputs'!AJ63),'Model inputs'!X89&gt;='Model inputs'!AJ63,IF(OR('Model inputs'!X89="",'Model inputs'!AJ63=""),"",'Model inputs'!X89&gt;='Model inputs'!AJ63))),'Model inputs'!AJ62*'Model inputs'!AJ61,0)</f>
        <v>150000</v>
      </c>
      <c r="Y22" s="9">
        <f>IF(IF(IF(ISERROR('Model inputs'!Y89&gt;='Model inputs'!AJ63),'Model inputs'!Y89&gt;='Model inputs'!AJ63,IF(OR('Model inputs'!Y89="",'Model inputs'!AJ63=""),"",'Model inputs'!Y89&gt;='Model inputs'!AJ63))="",FALSE,IF(ISERROR('Model inputs'!Y89&gt;='Model inputs'!AJ63),'Model inputs'!Y89&gt;='Model inputs'!AJ63,IF(OR('Model inputs'!Y89="",'Model inputs'!AJ63=""),"",'Model inputs'!Y89&gt;='Model inputs'!AJ63))),'Model inputs'!AJ62*'Model inputs'!AJ61,0)</f>
        <v>150000</v>
      </c>
      <c r="Z22" s="9">
        <f>IF(IF(IF(ISERROR('Model inputs'!Z89&gt;='Model inputs'!AJ63),'Model inputs'!Z89&gt;='Model inputs'!AJ63,IF(OR('Model inputs'!Z89="",'Model inputs'!AJ63=""),"",'Model inputs'!Z89&gt;='Model inputs'!AJ63))="",FALSE,IF(ISERROR('Model inputs'!Z89&gt;='Model inputs'!AJ63),'Model inputs'!Z89&gt;='Model inputs'!AJ63,IF(OR('Model inputs'!Z89="",'Model inputs'!AJ63=""),"",'Model inputs'!Z89&gt;='Model inputs'!AJ63))),'Model inputs'!AJ62*'Model inputs'!AJ61,0)</f>
        <v>150000</v>
      </c>
      <c r="AA22" s="9">
        <f>IF(IF(IF(ISERROR('Model inputs'!AA89&gt;='Model inputs'!AJ63),'Model inputs'!AA89&gt;='Model inputs'!AJ63,IF(OR('Model inputs'!AA89="",'Model inputs'!AJ63=""),"",'Model inputs'!AA89&gt;='Model inputs'!AJ63))="",FALSE,IF(ISERROR('Model inputs'!AA89&gt;='Model inputs'!AJ63),'Model inputs'!AA89&gt;='Model inputs'!AJ63,IF(OR('Model inputs'!AA89="",'Model inputs'!AJ63=""),"",'Model inputs'!AA89&gt;='Model inputs'!AJ63))),'Model inputs'!AJ62*'Model inputs'!AJ61,0)</f>
        <v>150000</v>
      </c>
      <c r="AB22" s="9">
        <f>IF(IF(IF(ISERROR('Model inputs'!AB89&gt;='Model inputs'!AJ63),'Model inputs'!AB89&gt;='Model inputs'!AJ63,IF(OR('Model inputs'!AB89="",'Model inputs'!AJ63=""),"",'Model inputs'!AB89&gt;='Model inputs'!AJ63))="",FALSE,IF(ISERROR('Model inputs'!AB89&gt;='Model inputs'!AJ63),'Model inputs'!AB89&gt;='Model inputs'!AJ63,IF(OR('Model inputs'!AB89="",'Model inputs'!AJ63=""),"",'Model inputs'!AB89&gt;='Model inputs'!AJ63))),'Model inputs'!AJ62*'Model inputs'!AJ61,0)</f>
        <v>0</v>
      </c>
      <c r="AC22" s="9">
        <f>IF(IF(IF(ISERROR('Model inputs'!AC89&gt;='Model inputs'!AJ63),'Model inputs'!AC89&gt;='Model inputs'!AJ63,IF(OR('Model inputs'!AC89="",'Model inputs'!AJ63=""),"",'Model inputs'!AC89&gt;='Model inputs'!AJ63))="",FALSE,IF(ISERROR('Model inputs'!AC89&gt;='Model inputs'!AJ63),'Model inputs'!AC89&gt;='Model inputs'!AJ63,IF(OR('Model inputs'!AC89="",'Model inputs'!AJ63=""),"",'Model inputs'!AC89&gt;='Model inputs'!AJ63))),'Model inputs'!AJ62*'Model inputs'!AJ61,0)</f>
        <v>0</v>
      </c>
      <c r="AD22" s="9">
        <f>IF(IF(IF(ISERROR('Model inputs'!AD89&gt;='Model inputs'!AJ63),'Model inputs'!AD89&gt;='Model inputs'!AJ63,IF(OR('Model inputs'!AD89="",'Model inputs'!AJ63=""),"",'Model inputs'!AD89&gt;='Model inputs'!AJ63))="",FALSE,IF(ISERROR('Model inputs'!AD89&gt;='Model inputs'!AJ63),'Model inputs'!AD89&gt;='Model inputs'!AJ63,IF(OR('Model inputs'!AD89="",'Model inputs'!AJ63=""),"",'Model inputs'!AD89&gt;='Model inputs'!AJ63))),'Model inputs'!AJ62*'Model inputs'!AJ61,0)</f>
        <v>0</v>
      </c>
      <c r="AE22" s="9">
        <f>IF(IF(IF(ISERROR('Model inputs'!AE89&gt;='Model inputs'!AJ63),'Model inputs'!AE89&gt;='Model inputs'!AJ63,IF(OR('Model inputs'!AE89="",'Model inputs'!AJ63=""),"",'Model inputs'!AE89&gt;='Model inputs'!AJ63))="",FALSE,IF(ISERROR('Model inputs'!AE89&gt;='Model inputs'!AJ63),'Model inputs'!AE89&gt;='Model inputs'!AJ63,IF(OR('Model inputs'!AE89="",'Model inputs'!AJ63=""),"",'Model inputs'!AE89&gt;='Model inputs'!AJ63))),'Model inputs'!AJ62*'Model inputs'!AJ61,0)</f>
        <v>0</v>
      </c>
      <c r="AF22" s="9">
        <f>IF(IF(IF(ISERROR('Model inputs'!AF89&gt;='Model inputs'!AJ63),'Model inputs'!AF89&gt;='Model inputs'!AJ63,IF(OR('Model inputs'!AF89="",'Model inputs'!AJ63=""),"",'Model inputs'!AF89&gt;='Model inputs'!AJ63))="",FALSE,IF(ISERROR('Model inputs'!AF89&gt;='Model inputs'!AJ63),'Model inputs'!AF89&gt;='Model inputs'!AJ63,IF(OR('Model inputs'!AF89="",'Model inputs'!AJ63=""),"",'Model inputs'!AF89&gt;='Model inputs'!AJ63))),'Model inputs'!AJ62*'Model inputs'!AJ61,0)</f>
        <v>0</v>
      </c>
      <c r="AG22" s="9">
        <f>IF(IF(IF(ISERROR('Model inputs'!AG89&gt;='Model inputs'!AJ63),'Model inputs'!AG89&gt;='Model inputs'!AJ63,IF(OR('Model inputs'!AG89="",'Model inputs'!AJ63=""),"",'Model inputs'!AG89&gt;='Model inputs'!AJ63))="",FALSE,IF(ISERROR('Model inputs'!AG89&gt;='Model inputs'!AJ63),'Model inputs'!AG89&gt;='Model inputs'!AJ63,IF(OR('Model inputs'!AG89="",'Model inputs'!AJ63=""),"",'Model inputs'!AG89&gt;='Model inputs'!AJ63))),'Model inputs'!AJ62*'Model inputs'!AJ61,0)</f>
        <v>0</v>
      </c>
      <c r="AH22" s="9">
        <f>IF(IF(IF(ISERROR('Model inputs'!AH89&gt;='Model inputs'!AJ63),'Model inputs'!AH89&gt;='Model inputs'!AJ63,IF(OR('Model inputs'!AH89="",'Model inputs'!AJ63=""),"",'Model inputs'!AH89&gt;='Model inputs'!AJ63))="",FALSE,IF(ISERROR('Model inputs'!AH89&gt;='Model inputs'!AJ63),'Model inputs'!AH89&gt;='Model inputs'!AJ63,IF(OR('Model inputs'!AH89="",'Model inputs'!AJ63=""),"",'Model inputs'!AH89&gt;='Model inputs'!AJ63))),'Model inputs'!AJ62*'Model inputs'!AJ61,0)</f>
        <v>0</v>
      </c>
      <c r="AI22" s="9">
        <f>IF(IF(IF(ISERROR('Model inputs'!AI89&gt;='Model inputs'!AJ63),'Model inputs'!AI89&gt;='Model inputs'!AJ63,IF(OR('Model inputs'!AI89="",'Model inputs'!AJ63=""),"",'Model inputs'!AI89&gt;='Model inputs'!AJ63))="",FALSE,IF(ISERROR('Model inputs'!AI89&gt;='Model inputs'!AJ63),'Model inputs'!AI89&gt;='Model inputs'!AJ63,IF(OR('Model inputs'!AI89="",'Model inputs'!AJ63=""),"",'Model inputs'!AI89&gt;='Model inputs'!AJ63))),'Model inputs'!AJ62*'Model inputs'!AJ61,0)</f>
        <v>0</v>
      </c>
    </row>
    <row r="23">
      <c r="A23" t="inlineStr" s="14">
        <is>
          <t xml:space="preserve">Haq District onboarding</t>
        </is>
      </c>
      <c r="B23" s="9">
        <f>'Model inputs'!B18*'Model inputs'!AJ64</f>
        <v>0</v>
      </c>
      <c r="C23" s="9">
        <f>'Model inputs'!C18*'Model inputs'!AJ64</f>
        <v>0</v>
      </c>
      <c r="D23" s="9">
        <f>'Model inputs'!D18*'Model inputs'!AJ64</f>
        <v>0</v>
      </c>
      <c r="E23" s="9">
        <f>'Model inputs'!E18*'Model inputs'!AJ64</f>
        <v>0</v>
      </c>
      <c r="F23" s="9">
        <f>'Model inputs'!F18*'Model inputs'!AJ64</f>
        <v>0</v>
      </c>
      <c r="G23" s="9">
        <f>'Model inputs'!G18*'Model inputs'!AJ64</f>
        <v>0</v>
      </c>
      <c r="H23" s="9">
        <f>'Model inputs'!H18*'Model inputs'!AJ64</f>
        <v>0</v>
      </c>
      <c r="I23" s="9">
        <f>'Model inputs'!I18*'Model inputs'!AJ64</f>
        <v>100000</v>
      </c>
      <c r="J23" s="9">
        <f>'Model inputs'!J18*'Model inputs'!AJ64</f>
        <v>0</v>
      </c>
      <c r="K23" s="9">
        <f>'Model inputs'!K18*'Model inputs'!AJ64</f>
        <v>0</v>
      </c>
      <c r="L23" s="9">
        <f>'Model inputs'!L18*'Model inputs'!AJ64</f>
        <v>100000</v>
      </c>
      <c r="M23" s="9">
        <f>'Model inputs'!M18*'Model inputs'!AJ64</f>
        <v>0</v>
      </c>
      <c r="N23" s="9">
        <f>'Model inputs'!N18*'Model inputs'!AJ64</f>
        <v>0</v>
      </c>
      <c r="O23" s="9">
        <f>'Model inputs'!O18*'Model inputs'!AJ64</f>
        <v>100000</v>
      </c>
      <c r="P23" s="9">
        <f>'Model inputs'!P18*'Model inputs'!AJ64</f>
        <v>0</v>
      </c>
      <c r="Q23" s="9">
        <f>'Model inputs'!Q18*'Model inputs'!AJ64</f>
        <v>0</v>
      </c>
      <c r="R23" s="9">
        <f>'Model inputs'!R18*'Model inputs'!AJ64</f>
        <v>100000</v>
      </c>
      <c r="S23" s="9">
        <f>'Model inputs'!S18*'Model inputs'!AJ64</f>
        <v>0</v>
      </c>
      <c r="T23" s="9">
        <f>'Model inputs'!T18*'Model inputs'!AJ64</f>
        <v>0</v>
      </c>
      <c r="U23" s="9">
        <f>'Model inputs'!U18*'Model inputs'!AJ64</f>
        <v>100000</v>
      </c>
      <c r="V23" s="9">
        <f>'Model inputs'!V18*'Model inputs'!AJ64</f>
        <v>0</v>
      </c>
      <c r="W23" s="9">
        <f>'Model inputs'!W18*'Model inputs'!AJ64</f>
        <v>0</v>
      </c>
      <c r="X23" s="9">
        <f>'Model inputs'!X18*'Model inputs'!AJ64</f>
        <v>100000</v>
      </c>
      <c r="Y23" s="9">
        <f>'Model inputs'!Y18*'Model inputs'!AJ64</f>
        <v>0</v>
      </c>
      <c r="Z23" s="9">
        <f>'Model inputs'!Z18*'Model inputs'!AJ64</f>
        <v>100000</v>
      </c>
      <c r="AA23" s="9">
        <f>'Model inputs'!AA18*'Model inputs'!AJ64</f>
        <v>100000</v>
      </c>
      <c r="AB23" s="9">
        <f>'Model inputs'!AB18*'Model inputs'!AJ64</f>
        <v>0</v>
      </c>
      <c r="AC23" s="9">
        <f>'Model inputs'!AC18*'Model inputs'!AJ64</f>
        <v>0</v>
      </c>
      <c r="AD23" s="9">
        <f>'Model inputs'!AD18*'Model inputs'!AJ64</f>
        <v>0</v>
      </c>
      <c r="AE23" s="9">
        <f>'Model inputs'!AE18*'Model inputs'!AJ64</f>
        <v>0</v>
      </c>
      <c r="AF23" s="9">
        <f>'Model inputs'!AF18*'Model inputs'!AJ64</f>
        <v>0</v>
      </c>
      <c r="AG23" s="9">
        <f>'Model inputs'!AG18*'Model inputs'!AJ64</f>
        <v>0</v>
      </c>
      <c r="AH23" s="9">
        <f>'Model inputs'!AH18*'Model inputs'!AJ64</f>
        <v>0</v>
      </c>
      <c r="AI23" s="9">
        <f>'Model inputs'!AI18*'Model inputs'!AJ64</f>
        <v>0</v>
      </c>
    </row>
    <row r="24">
      <c r="A24" t="inlineStr" s="14">
        <is>
          <t xml:space="preserve">Haq Employer checks</t>
        </is>
      </c>
      <c r="B24" s="15">
        <f>'Model inputs'!B28*'Model inputs'!AJ66/12</f>
        <v>0</v>
      </c>
      <c r="C24" s="15">
        <f>'Model inputs'!C28*'Model inputs'!AJ66/12</f>
        <v>0</v>
      </c>
      <c r="D24" s="15">
        <f>'Model inputs'!D28*'Model inputs'!AJ66/12</f>
        <v>0</v>
      </c>
      <c r="E24" s="15">
        <f>'Model inputs'!E28*'Model inputs'!AJ66/12</f>
        <v>0</v>
      </c>
      <c r="F24" s="15">
        <f>'Model inputs'!F28*'Model inputs'!AJ66/12</f>
        <v>0</v>
      </c>
      <c r="G24" s="15">
        <f>'Model inputs'!G28*'Model inputs'!AJ66/12</f>
        <v>0</v>
      </c>
      <c r="H24" s="15">
        <f>'Model inputs'!H28*'Model inputs'!AJ66/12</f>
        <v>0</v>
      </c>
      <c r="I24" s="15">
        <f>'Model inputs'!I28*'Model inputs'!AJ66/12</f>
        <v>0</v>
      </c>
      <c r="J24" s="15">
        <f>'Model inputs'!J28*'Model inputs'!AJ66/12</f>
        <v>0</v>
      </c>
      <c r="K24" s="15">
        <f>'Model inputs'!K28*'Model inputs'!AJ66/12</f>
        <v>0</v>
      </c>
      <c r="L24" s="15">
        <f>'Model inputs'!L28*'Model inputs'!AJ66/12</f>
        <v>833.3333333333333</v>
      </c>
      <c r="M24" s="15">
        <f>'Model inputs'!M28*'Model inputs'!AJ66/12</f>
        <v>833.3333333333333</v>
      </c>
      <c r="N24" s="15">
        <f>'Model inputs'!N28*'Model inputs'!AJ66/12</f>
        <v>833.3333333333333</v>
      </c>
      <c r="O24" s="15">
        <f>'Model inputs'!O28*'Model inputs'!AJ66/12</f>
        <v>1666.6666666666665</v>
      </c>
      <c r="P24" s="15">
        <f>'Model inputs'!P28*'Model inputs'!AJ66/12</f>
        <v>1666.6666666666665</v>
      </c>
      <c r="Q24" s="15">
        <f>'Model inputs'!Q28*'Model inputs'!AJ66/12</f>
        <v>1666.6666666666665</v>
      </c>
      <c r="R24" s="15">
        <f>'Model inputs'!R28*'Model inputs'!AJ66/12</f>
        <v>1666.6666666666665</v>
      </c>
      <c r="S24" s="15">
        <f>'Model inputs'!S28*'Model inputs'!AJ66/12</f>
        <v>1666.6666666666665</v>
      </c>
      <c r="T24" s="15">
        <f>'Model inputs'!T28*'Model inputs'!AJ66/12</f>
        <v>1666.6666666666665</v>
      </c>
      <c r="U24" s="15">
        <f>'Model inputs'!U28*'Model inputs'!AJ66/12</f>
        <v>2916.6666666666665</v>
      </c>
      <c r="V24" s="15">
        <f>'Model inputs'!V28*'Model inputs'!AJ66/12</f>
        <v>2916.6666666666665</v>
      </c>
      <c r="W24" s="15">
        <f>'Model inputs'!W28*'Model inputs'!AJ66/12</f>
        <v>2916.6666666666665</v>
      </c>
      <c r="X24" s="15">
        <f>'Model inputs'!X28*'Model inputs'!AJ66/12</f>
        <v>2916.6666666666665</v>
      </c>
      <c r="Y24" s="15">
        <f>'Model inputs'!Y28*'Model inputs'!AJ66/12</f>
        <v>2916.6666666666665</v>
      </c>
      <c r="Z24" s="15">
        <f>'Model inputs'!Z28*'Model inputs'!AJ66/12</f>
        <v>2916.6666666666665</v>
      </c>
      <c r="AA24" s="15">
        <f>'Model inputs'!AA28*'Model inputs'!AJ66/12</f>
        <v>4166.666666666666</v>
      </c>
      <c r="AB24" s="15">
        <f>'Model inputs'!AB28*'Model inputs'!AJ66/12</f>
        <v>0</v>
      </c>
      <c r="AC24" s="15">
        <f>'Model inputs'!AC28*'Model inputs'!AJ66/12</f>
        <v>0</v>
      </c>
      <c r="AD24" s="15">
        <f>'Model inputs'!AD28*'Model inputs'!AJ66/12</f>
        <v>0</v>
      </c>
      <c r="AE24" s="15">
        <f>'Model inputs'!AE28*'Model inputs'!AJ66/12</f>
        <v>0</v>
      </c>
      <c r="AF24" s="15">
        <f>'Model inputs'!AF28*'Model inputs'!AJ66/12</f>
        <v>0</v>
      </c>
      <c r="AG24" s="15">
        <f>'Model inputs'!AG28*'Model inputs'!AJ66/12</f>
        <v>0</v>
      </c>
      <c r="AH24" s="15">
        <f>'Model inputs'!AH28*'Model inputs'!AJ66/12</f>
        <v>0</v>
      </c>
      <c r="AI24" s="15">
        <f>'Model inputs'!AI28*'Model inputs'!AJ66/12</f>
        <v>0</v>
      </c>
    </row>
    <row r="25">
      <c r="A25" t="inlineStr" s="14">
        <is>
          <t xml:space="preserve">Haq Employer new workers</t>
        </is>
      </c>
      <c r="B25" s="15">
        <f>MAX('Model inputs'!B28-'Model inputs'!AI28,0)</f>
        <v>0</v>
      </c>
      <c r="C25" s="15">
        <f>MAX('Model inputs'!C28-'Model inputs'!B28,0)</f>
        <v>0</v>
      </c>
      <c r="D25" s="15">
        <f>MAX('Model inputs'!D28-'Model inputs'!C28,0)</f>
        <v>0</v>
      </c>
      <c r="E25" s="15">
        <f>MAX('Model inputs'!E28-'Model inputs'!D28,0)</f>
        <v>0</v>
      </c>
      <c r="F25" s="15">
        <f>MAX('Model inputs'!F28-'Model inputs'!E28,0)</f>
        <v>0</v>
      </c>
      <c r="G25" s="15">
        <f>MAX('Model inputs'!G28-'Model inputs'!F28,0)</f>
        <v>0</v>
      </c>
      <c r="H25" s="15">
        <f>MAX('Model inputs'!H28-'Model inputs'!G28,0)</f>
        <v>0</v>
      </c>
      <c r="I25" s="15">
        <f>MAX('Model inputs'!I28-'Model inputs'!H28,0)</f>
        <v>0</v>
      </c>
      <c r="J25" s="15">
        <f>MAX('Model inputs'!J28-'Model inputs'!I28,0)</f>
        <v>0</v>
      </c>
      <c r="K25" s="15">
        <f>MAX('Model inputs'!K28-'Model inputs'!J28,0)</f>
        <v>0</v>
      </c>
      <c r="L25" s="15">
        <f>MAX('Model inputs'!L28-'Model inputs'!K28,0)</f>
        <v>10000</v>
      </c>
      <c r="M25" s="15">
        <f>MAX('Model inputs'!M28-'Model inputs'!L28,0)</f>
        <v>0</v>
      </c>
      <c r="N25" s="15">
        <f>MAX('Model inputs'!N28-'Model inputs'!M28,0)</f>
        <v>0</v>
      </c>
      <c r="O25" s="15">
        <f>MAX('Model inputs'!O28-'Model inputs'!N28,0)</f>
        <v>10000</v>
      </c>
      <c r="P25" s="15">
        <f>MAX('Model inputs'!P28-'Model inputs'!O28,0)</f>
        <v>0</v>
      </c>
      <c r="Q25" s="15">
        <f>MAX('Model inputs'!Q28-'Model inputs'!P28,0)</f>
        <v>0</v>
      </c>
      <c r="R25" s="15">
        <f>MAX('Model inputs'!R28-'Model inputs'!Q28,0)</f>
        <v>0</v>
      </c>
      <c r="S25" s="15">
        <f>MAX('Model inputs'!S28-'Model inputs'!R28,0)</f>
        <v>0</v>
      </c>
      <c r="T25" s="15">
        <f>MAX('Model inputs'!T28-'Model inputs'!S28,0)</f>
        <v>0</v>
      </c>
      <c r="U25" s="15">
        <f>MAX('Model inputs'!U28-'Model inputs'!T28,0)</f>
        <v>15000</v>
      </c>
      <c r="V25" s="15">
        <f>MAX('Model inputs'!V28-'Model inputs'!U28,0)</f>
        <v>0</v>
      </c>
      <c r="W25" s="15">
        <f>MAX('Model inputs'!W28-'Model inputs'!V28,0)</f>
        <v>0</v>
      </c>
      <c r="X25" s="15">
        <f>MAX('Model inputs'!X28-'Model inputs'!W28,0)</f>
        <v>0</v>
      </c>
      <c r="Y25" s="15">
        <f>MAX('Model inputs'!Y28-'Model inputs'!X28,0)</f>
        <v>0</v>
      </c>
      <c r="Z25" s="15">
        <f>MAX('Model inputs'!Z28-'Model inputs'!Y28,0)</f>
        <v>0</v>
      </c>
      <c r="AA25" s="15">
        <f>MAX('Model inputs'!AA28-'Model inputs'!Z28,0)</f>
        <v>15000</v>
      </c>
      <c r="AB25" s="15">
        <f>MAX('Model inputs'!AB28-0,0)</f>
        <v>0</v>
      </c>
      <c r="AC25" s="15">
        <f>MAX('Model inputs'!AC28-'Model inputs'!AB28,0)</f>
        <v>0</v>
      </c>
      <c r="AD25" s="15">
        <f>MAX('Model inputs'!AD28-'Model inputs'!AC28,0)</f>
        <v>0</v>
      </c>
      <c r="AE25" s="15">
        <f>MAX('Model inputs'!AE28-'Model inputs'!AD28,0)</f>
        <v>0</v>
      </c>
      <c r="AF25" s="15">
        <f>MAX('Model inputs'!AF28-'Model inputs'!AE28,0)</f>
        <v>0</v>
      </c>
      <c r="AG25" s="15">
        <f>MAX('Model inputs'!AG28-'Model inputs'!AF28,0)</f>
        <v>0</v>
      </c>
      <c r="AH25" s="15">
        <f>MAX('Model inputs'!AH28-'Model inputs'!AG28,0)</f>
        <v>0</v>
      </c>
      <c r="AI25" s="15">
        <f>MAX('Model inputs'!AI28-'Model inputs'!AH28,0)</f>
        <v>0</v>
      </c>
    </row>
    <row r="26">
      <c r="A26" t="inlineStr" s="14">
        <is>
          <t xml:space="preserve">Haq Employer receipts</t>
        </is>
      </c>
      <c r="B26" s="9">
        <f>'Model inputs'!B25*'Model inputs'!AJ65+0*'Model inputs'!AJ33</f>
        <v>0</v>
      </c>
      <c r="C26" s="9">
        <f>'Model inputs'!C25*'Model inputs'!AJ65+0*'Model inputs'!AJ33</f>
        <v>0</v>
      </c>
      <c r="D26" s="9">
        <f>'Model inputs'!D25*'Model inputs'!AJ65+0*'Model inputs'!AJ33</f>
        <v>0</v>
      </c>
      <c r="E26" s="9">
        <f>'Model inputs'!E25*'Model inputs'!AJ65+0*'Model inputs'!AJ33</f>
        <v>0</v>
      </c>
      <c r="F26" s="9">
        <f>'Model inputs'!F25*'Model inputs'!AJ65+'Model inputs'!AB26*'Model inputs'!AJ33</f>
        <v>0</v>
      </c>
      <c r="G26" s="9">
        <f>'Model inputs'!G25*'Model inputs'!AJ65+'Model inputs'!AC26*'Model inputs'!AJ33</f>
        <v>0</v>
      </c>
      <c r="H26" s="9">
        <f>'Model inputs'!H25*'Model inputs'!AJ65+'Model inputs'!AD26*'Model inputs'!AJ33</f>
        <v>0</v>
      </c>
      <c r="I26" s="9">
        <f>'Model inputs'!I25*'Model inputs'!AJ65+'Model inputs'!AE26*'Model inputs'!AJ33</f>
        <v>0</v>
      </c>
      <c r="J26" s="9">
        <f>'Model inputs'!J25*'Model inputs'!AJ65+'Model inputs'!AF26*'Model inputs'!AJ33</f>
        <v>0</v>
      </c>
      <c r="K26" s="9">
        <f>'Model inputs'!K25*'Model inputs'!AJ65+'Model inputs'!AG26*'Model inputs'!AJ33</f>
        <v>0</v>
      </c>
      <c r="L26" s="9">
        <f>'Model inputs'!L25*'Model inputs'!AJ65+'Model inputs'!AH26*'Model inputs'!AJ33</f>
        <v>500000</v>
      </c>
      <c r="M26" s="9">
        <f>'Model inputs'!M25*'Model inputs'!AJ65+'Model inputs'!AI26*'Model inputs'!AJ33</f>
        <v>0</v>
      </c>
      <c r="N26" s="9">
        <f>'Model inputs'!N25*'Model inputs'!AJ65+'Model inputs'!B26*'Model inputs'!AJ33</f>
        <v>0</v>
      </c>
      <c r="O26" s="9">
        <f>'Model inputs'!O25*'Model inputs'!AJ65+'Model inputs'!C26*'Model inputs'!AJ33</f>
        <v>500000</v>
      </c>
      <c r="P26" s="9">
        <f>'Model inputs'!P25*'Model inputs'!AJ65+'Model inputs'!D26*'Model inputs'!AJ33</f>
        <v>0</v>
      </c>
      <c r="Q26" s="9">
        <f>'Model inputs'!Q25*'Model inputs'!AJ65+'Model inputs'!E26*'Model inputs'!AJ33</f>
        <v>0</v>
      </c>
      <c r="R26" s="9">
        <f>'Model inputs'!R25*'Model inputs'!AJ65+'Model inputs'!F26*'Model inputs'!AJ33</f>
        <v>0</v>
      </c>
      <c r="S26" s="9">
        <f>'Model inputs'!S25*'Model inputs'!AJ65+'Model inputs'!G26*'Model inputs'!AJ33</f>
        <v>0</v>
      </c>
      <c r="T26" s="9">
        <f>'Model inputs'!T25*'Model inputs'!AJ65+'Model inputs'!H26*'Model inputs'!AJ33</f>
        <v>0</v>
      </c>
      <c r="U26" s="9">
        <f>'Model inputs'!U25*'Model inputs'!AJ65+'Model inputs'!I26*'Model inputs'!AJ33</f>
        <v>750000</v>
      </c>
      <c r="V26" s="9">
        <f>'Model inputs'!V25*'Model inputs'!AJ65+'Model inputs'!J26*'Model inputs'!AJ33</f>
        <v>0</v>
      </c>
      <c r="W26" s="9">
        <f>'Model inputs'!W25*'Model inputs'!AJ65+'Model inputs'!K26*'Model inputs'!AJ33</f>
        <v>0</v>
      </c>
      <c r="X26" s="9">
        <f>'Model inputs'!X25*'Model inputs'!AJ65+'Model inputs'!L26*'Model inputs'!AJ33</f>
        <v>500000</v>
      </c>
      <c r="Y26" s="9">
        <f>'Model inputs'!Y25*'Model inputs'!AJ65+'Model inputs'!M26*'Model inputs'!AJ33</f>
        <v>0</v>
      </c>
      <c r="Z26" s="9">
        <f>'Model inputs'!Z25*'Model inputs'!AJ65+'Model inputs'!N26*'Model inputs'!AJ33</f>
        <v>0</v>
      </c>
      <c r="AA26" s="9">
        <f>'Model inputs'!AA25*'Model inputs'!AJ65+'Model inputs'!O26*'Model inputs'!AJ33</f>
        <v>1250000</v>
      </c>
      <c r="AB26" s="9">
        <f>'Model inputs'!AB25*'Model inputs'!AJ65+0*'Model inputs'!AJ33</f>
        <v>0</v>
      </c>
      <c r="AC26" s="9">
        <f>'Model inputs'!AC25*'Model inputs'!AJ65+0*'Model inputs'!AJ33</f>
        <v>0</v>
      </c>
      <c r="AD26" s="9">
        <f>'Model inputs'!AD25*'Model inputs'!AJ65+0*'Model inputs'!AJ33</f>
        <v>0</v>
      </c>
      <c r="AE26" s="9">
        <f>'Model inputs'!AE25*'Model inputs'!AJ65+0*'Model inputs'!AJ33</f>
        <v>0</v>
      </c>
      <c r="AF26" s="9">
        <f>'Model inputs'!AF25*'Model inputs'!AJ65+0*'Model inputs'!AJ33</f>
        <v>0</v>
      </c>
      <c r="AG26" s="9">
        <f>'Model inputs'!AG25*'Model inputs'!AJ65+0*'Model inputs'!AJ33</f>
        <v>0</v>
      </c>
      <c r="AH26" s="9">
        <f>'Model inputs'!AH25*'Model inputs'!AJ65+0*'Model inputs'!AJ33</f>
        <v>0</v>
      </c>
      <c r="AI26" s="9">
        <f>'Model inputs'!AI25*'Model inputs'!AJ65+0*'Model inputs'!AJ33</f>
        <v>0</v>
      </c>
    </row>
    <row r="27">
      <c r="A27" t="inlineStr" s="14">
        <is>
          <t xml:space="preserve">Haq Employer revenue</t>
        </is>
      </c>
      <c r="B27" s="9">
        <f>'Model inputs'!B28*'Model inputs'!AJ65/12</f>
        <v>0</v>
      </c>
      <c r="C27" s="9">
        <f>'Model inputs'!C28*'Model inputs'!AJ65/12</f>
        <v>0</v>
      </c>
      <c r="D27" s="9">
        <f>'Model inputs'!D28*'Model inputs'!AJ65/12</f>
        <v>0</v>
      </c>
      <c r="E27" s="9">
        <f>'Model inputs'!E28*'Model inputs'!AJ65/12</f>
        <v>0</v>
      </c>
      <c r="F27" s="9">
        <f>'Model inputs'!F28*'Model inputs'!AJ65/12</f>
        <v>0</v>
      </c>
      <c r="G27" s="9">
        <f>'Model inputs'!G28*'Model inputs'!AJ65/12</f>
        <v>0</v>
      </c>
      <c r="H27" s="9">
        <f>'Model inputs'!H28*'Model inputs'!AJ65/12</f>
        <v>0</v>
      </c>
      <c r="I27" s="9">
        <f>'Model inputs'!I28*'Model inputs'!AJ65/12</f>
        <v>0</v>
      </c>
      <c r="J27" s="9">
        <f>'Model inputs'!J28*'Model inputs'!AJ65/12</f>
        <v>0</v>
      </c>
      <c r="K27" s="9">
        <f>'Model inputs'!K28*'Model inputs'!AJ65/12</f>
        <v>0</v>
      </c>
      <c r="L27" s="9">
        <f>'Model inputs'!L28*'Model inputs'!AJ65/12</f>
        <v>41666.666666666664</v>
      </c>
      <c r="M27" s="9">
        <f>'Model inputs'!M28*'Model inputs'!AJ65/12</f>
        <v>41666.666666666664</v>
      </c>
      <c r="N27" s="9">
        <f>'Model inputs'!N28*'Model inputs'!AJ65/12</f>
        <v>41666.666666666664</v>
      </c>
      <c r="O27" s="9">
        <f>'Model inputs'!O28*'Model inputs'!AJ65/12</f>
        <v>83333.33333333333</v>
      </c>
      <c r="P27" s="9">
        <f>'Model inputs'!P28*'Model inputs'!AJ65/12</f>
        <v>83333.33333333333</v>
      </c>
      <c r="Q27" s="9">
        <f>'Model inputs'!Q28*'Model inputs'!AJ65/12</f>
        <v>83333.33333333333</v>
      </c>
      <c r="R27" s="9">
        <f>'Model inputs'!R28*'Model inputs'!AJ65/12</f>
        <v>83333.33333333333</v>
      </c>
      <c r="S27" s="9">
        <f>'Model inputs'!S28*'Model inputs'!AJ65/12</f>
        <v>83333.33333333333</v>
      </c>
      <c r="T27" s="9">
        <f>'Model inputs'!T28*'Model inputs'!AJ65/12</f>
        <v>83333.33333333333</v>
      </c>
      <c r="U27" s="9">
        <f>'Model inputs'!U28*'Model inputs'!AJ65/12</f>
        <v>145833.3333333333</v>
      </c>
      <c r="V27" s="9">
        <f>'Model inputs'!V28*'Model inputs'!AJ65/12</f>
        <v>145833.3333333333</v>
      </c>
      <c r="W27" s="9">
        <f>'Model inputs'!W28*'Model inputs'!AJ65/12</f>
        <v>145833.3333333333</v>
      </c>
      <c r="X27" s="9">
        <f>'Model inputs'!X28*'Model inputs'!AJ65/12</f>
        <v>145833.3333333333</v>
      </c>
      <c r="Y27" s="9">
        <f>'Model inputs'!Y28*'Model inputs'!AJ65/12</f>
        <v>145833.3333333333</v>
      </c>
      <c r="Z27" s="9">
        <f>'Model inputs'!Z28*'Model inputs'!AJ65/12</f>
        <v>145833.3333333333</v>
      </c>
      <c r="AA27" s="9">
        <f>'Model inputs'!AA28*'Model inputs'!AJ65/12</f>
        <v>208333.3333333333</v>
      </c>
      <c r="AB27" s="9">
        <f>'Model inputs'!AB28*'Model inputs'!AJ65/12</f>
        <v>0</v>
      </c>
      <c r="AC27" s="9">
        <f>'Model inputs'!AC28*'Model inputs'!AJ65/12</f>
        <v>0</v>
      </c>
      <c r="AD27" s="9">
        <f>'Model inputs'!AD28*'Model inputs'!AJ65/12</f>
        <v>0</v>
      </c>
      <c r="AE27" s="9">
        <f>'Model inputs'!AE28*'Model inputs'!AJ65/12</f>
        <v>0</v>
      </c>
      <c r="AF27" s="9">
        <f>'Model inputs'!AF28*'Model inputs'!AJ65/12</f>
        <v>0</v>
      </c>
      <c r="AG27" s="9">
        <f>'Model inputs'!AG28*'Model inputs'!AJ65/12</f>
        <v>0</v>
      </c>
      <c r="AH27" s="9">
        <f>'Model inputs'!AH28*'Model inputs'!AJ65/12</f>
        <v>0</v>
      </c>
      <c r="AI27" s="9">
        <f>'Model inputs'!AI28*'Model inputs'!AJ65/12</f>
        <v>0</v>
      </c>
    </row>
    <row r="28">
      <c r="A28" t="inlineStr" s="14">
        <is>
          <t xml:space="preserve">Haq Employer workers</t>
        </is>
      </c>
      <c r="B28" s="15">
        <f>IF(IF(IF(ISERROR('Model inputs'!B89&gt;=24),'Model inputs'!B89&gt;=24,IF('Model inputs'!B89="","",'Model inputs'!B89&gt;=24))="",FALSE,IF(ISERROR('Model inputs'!B89&gt;=24),'Model inputs'!B89&gt;=24,IF('Model inputs'!B89="","",'Model inputs'!B89&gt;=24))),IF('Model inputs'!AJ69="","",'Model inputs'!AJ69),IF(IF(IF(ISERROR('Model inputs'!B89&gt;=18),'Model inputs'!B89&gt;=18,IF('Model inputs'!B89="","",'Model inputs'!B89&gt;=18))="",FALSE,IF(ISERROR('Model inputs'!B89&gt;=18),'Model inputs'!B89&gt;=18,IF('Model inputs'!B89="","",'Model inputs'!B89&gt;=18))),IF('Model inputs'!AJ68="","",'Model inputs'!AJ68),IF(IF(IF(ISERROR('Model inputs'!B89&gt;=12),'Model inputs'!B89&gt;=12,IF('Model inputs'!B89="","",'Model inputs'!B89&gt;=12))="",FALSE,IF(ISERROR('Model inputs'!B89&gt;=12),'Model inputs'!B89&gt;=12,IF('Model inputs'!B89="","",'Model inputs'!B89&gt;=12))),IF('Model inputs'!AJ67="","",'Model inputs'!AJ67),IF(IF(IF(ISERROR('Model inputs'!B89&gt;=9),'Model inputs'!B89&gt;=9,IF('Model inputs'!B89="","",'Model inputs'!B89&gt;=9))="",FALSE,IF(ISERROR('Model inputs'!B89&gt;=9),'Model inputs'!B89&gt;=9,IF('Model inputs'!B89="","",'Model inputs'!B89&gt;=9))),IF('Model inputs'!AJ70="","",'Model inputs'!AJ70),0))))</f>
        <v>0</v>
      </c>
      <c r="C28" s="15">
        <f>IF(IF(IF(ISERROR('Model inputs'!C89&gt;=24),'Model inputs'!C89&gt;=24,IF('Model inputs'!C89="","",'Model inputs'!C89&gt;=24))="",FALSE,IF(ISERROR('Model inputs'!C89&gt;=24),'Model inputs'!C89&gt;=24,IF('Model inputs'!C89="","",'Model inputs'!C89&gt;=24))),IF('Model inputs'!AJ69="","",'Model inputs'!AJ69),IF(IF(IF(ISERROR('Model inputs'!C89&gt;=18),'Model inputs'!C89&gt;=18,IF('Model inputs'!C89="","",'Model inputs'!C89&gt;=18))="",FALSE,IF(ISERROR('Model inputs'!C89&gt;=18),'Model inputs'!C89&gt;=18,IF('Model inputs'!C89="","",'Model inputs'!C89&gt;=18))),IF('Model inputs'!AJ68="","",'Model inputs'!AJ68),IF(IF(IF(ISERROR('Model inputs'!C89&gt;=12),'Model inputs'!C89&gt;=12,IF('Model inputs'!C89="","",'Model inputs'!C89&gt;=12))="",FALSE,IF(ISERROR('Model inputs'!C89&gt;=12),'Model inputs'!C89&gt;=12,IF('Model inputs'!C89="","",'Model inputs'!C89&gt;=12))),IF('Model inputs'!AJ67="","",'Model inputs'!AJ67),IF(IF(IF(ISERROR('Model inputs'!C89&gt;=9),'Model inputs'!C89&gt;=9,IF('Model inputs'!C89="","",'Model inputs'!C89&gt;=9))="",FALSE,IF(ISERROR('Model inputs'!C89&gt;=9),'Model inputs'!C89&gt;=9,IF('Model inputs'!C89="","",'Model inputs'!C89&gt;=9))),IF('Model inputs'!AJ70="","",'Model inputs'!AJ70),0))))</f>
        <v>0</v>
      </c>
      <c r="D28" s="15">
        <f>IF(IF(IF(ISERROR('Model inputs'!D89&gt;=24),'Model inputs'!D89&gt;=24,IF('Model inputs'!D89="","",'Model inputs'!D89&gt;=24))="",FALSE,IF(ISERROR('Model inputs'!D89&gt;=24),'Model inputs'!D89&gt;=24,IF('Model inputs'!D89="","",'Model inputs'!D89&gt;=24))),IF('Model inputs'!AJ69="","",'Model inputs'!AJ69),IF(IF(IF(ISERROR('Model inputs'!D89&gt;=18),'Model inputs'!D89&gt;=18,IF('Model inputs'!D89="","",'Model inputs'!D89&gt;=18))="",FALSE,IF(ISERROR('Model inputs'!D89&gt;=18),'Model inputs'!D89&gt;=18,IF('Model inputs'!D89="","",'Model inputs'!D89&gt;=18))),IF('Model inputs'!AJ68="","",'Model inputs'!AJ68),IF(IF(IF(ISERROR('Model inputs'!D89&gt;=12),'Model inputs'!D89&gt;=12,IF('Model inputs'!D89="","",'Model inputs'!D89&gt;=12))="",FALSE,IF(ISERROR('Model inputs'!D89&gt;=12),'Model inputs'!D89&gt;=12,IF('Model inputs'!D89="","",'Model inputs'!D89&gt;=12))),IF('Model inputs'!AJ67="","",'Model inputs'!AJ67),IF(IF(IF(ISERROR('Model inputs'!D89&gt;=9),'Model inputs'!D89&gt;=9,IF('Model inputs'!D89="","",'Model inputs'!D89&gt;=9))="",FALSE,IF(ISERROR('Model inputs'!D89&gt;=9),'Model inputs'!D89&gt;=9,IF('Model inputs'!D89="","",'Model inputs'!D89&gt;=9))),IF('Model inputs'!AJ70="","",'Model inputs'!AJ70),0))))</f>
        <v>0</v>
      </c>
      <c r="E28" s="15">
        <f>IF(IF(IF(ISERROR('Model inputs'!E89&gt;=24),'Model inputs'!E89&gt;=24,IF('Model inputs'!E89="","",'Model inputs'!E89&gt;=24))="",FALSE,IF(ISERROR('Model inputs'!E89&gt;=24),'Model inputs'!E89&gt;=24,IF('Model inputs'!E89="","",'Model inputs'!E89&gt;=24))),IF('Model inputs'!AJ69="","",'Model inputs'!AJ69),IF(IF(IF(ISERROR('Model inputs'!E89&gt;=18),'Model inputs'!E89&gt;=18,IF('Model inputs'!E89="","",'Model inputs'!E89&gt;=18))="",FALSE,IF(ISERROR('Model inputs'!E89&gt;=18),'Model inputs'!E89&gt;=18,IF('Model inputs'!E89="","",'Model inputs'!E89&gt;=18))),IF('Model inputs'!AJ68="","",'Model inputs'!AJ68),IF(IF(IF(ISERROR('Model inputs'!E89&gt;=12),'Model inputs'!E89&gt;=12,IF('Model inputs'!E89="","",'Model inputs'!E89&gt;=12))="",FALSE,IF(ISERROR('Model inputs'!E89&gt;=12),'Model inputs'!E89&gt;=12,IF('Model inputs'!E89="","",'Model inputs'!E89&gt;=12))),IF('Model inputs'!AJ67="","",'Model inputs'!AJ67),IF(IF(IF(ISERROR('Model inputs'!E89&gt;=9),'Model inputs'!E89&gt;=9,IF('Model inputs'!E89="","",'Model inputs'!E89&gt;=9))="",FALSE,IF(ISERROR('Model inputs'!E89&gt;=9),'Model inputs'!E89&gt;=9,IF('Model inputs'!E89="","",'Model inputs'!E89&gt;=9))),IF('Model inputs'!AJ70="","",'Model inputs'!AJ70),0))))</f>
        <v>0</v>
      </c>
      <c r="F28" s="15">
        <f>IF(IF(IF(ISERROR('Model inputs'!F89&gt;=24),'Model inputs'!F89&gt;=24,IF('Model inputs'!F89="","",'Model inputs'!F89&gt;=24))="",FALSE,IF(ISERROR('Model inputs'!F89&gt;=24),'Model inputs'!F89&gt;=24,IF('Model inputs'!F89="","",'Model inputs'!F89&gt;=24))),IF('Model inputs'!AJ69="","",'Model inputs'!AJ69),IF(IF(IF(ISERROR('Model inputs'!F89&gt;=18),'Model inputs'!F89&gt;=18,IF('Model inputs'!F89="","",'Model inputs'!F89&gt;=18))="",FALSE,IF(ISERROR('Model inputs'!F89&gt;=18),'Model inputs'!F89&gt;=18,IF('Model inputs'!F89="","",'Model inputs'!F89&gt;=18))),IF('Model inputs'!AJ68="","",'Model inputs'!AJ68),IF(IF(IF(ISERROR('Model inputs'!F89&gt;=12),'Model inputs'!F89&gt;=12,IF('Model inputs'!F89="","",'Model inputs'!F89&gt;=12))="",FALSE,IF(ISERROR('Model inputs'!F89&gt;=12),'Model inputs'!F89&gt;=12,IF('Model inputs'!F89="","",'Model inputs'!F89&gt;=12))),IF('Model inputs'!AJ67="","",'Model inputs'!AJ67),IF(IF(IF(ISERROR('Model inputs'!F89&gt;=9),'Model inputs'!F89&gt;=9,IF('Model inputs'!F89="","",'Model inputs'!F89&gt;=9))="",FALSE,IF(ISERROR('Model inputs'!F89&gt;=9),'Model inputs'!F89&gt;=9,IF('Model inputs'!F89="","",'Model inputs'!F89&gt;=9))),IF('Model inputs'!AJ70="","",'Model inputs'!AJ70),0))))</f>
        <v>0</v>
      </c>
      <c r="G28" s="15">
        <f>IF(IF(IF(ISERROR('Model inputs'!G89&gt;=24),'Model inputs'!G89&gt;=24,IF('Model inputs'!G89="","",'Model inputs'!G89&gt;=24))="",FALSE,IF(ISERROR('Model inputs'!G89&gt;=24),'Model inputs'!G89&gt;=24,IF('Model inputs'!G89="","",'Model inputs'!G89&gt;=24))),IF('Model inputs'!AJ69="","",'Model inputs'!AJ69),IF(IF(IF(ISERROR('Model inputs'!G89&gt;=18),'Model inputs'!G89&gt;=18,IF('Model inputs'!G89="","",'Model inputs'!G89&gt;=18))="",FALSE,IF(ISERROR('Model inputs'!G89&gt;=18),'Model inputs'!G89&gt;=18,IF('Model inputs'!G89="","",'Model inputs'!G89&gt;=18))),IF('Model inputs'!AJ68="","",'Model inputs'!AJ68),IF(IF(IF(ISERROR('Model inputs'!G89&gt;=12),'Model inputs'!G89&gt;=12,IF('Model inputs'!G89="","",'Model inputs'!G89&gt;=12))="",FALSE,IF(ISERROR('Model inputs'!G89&gt;=12),'Model inputs'!G89&gt;=12,IF('Model inputs'!G89="","",'Model inputs'!G89&gt;=12))),IF('Model inputs'!AJ67="","",'Model inputs'!AJ67),IF(IF(IF(ISERROR('Model inputs'!G89&gt;=9),'Model inputs'!G89&gt;=9,IF('Model inputs'!G89="","",'Model inputs'!G89&gt;=9))="",FALSE,IF(ISERROR('Model inputs'!G89&gt;=9),'Model inputs'!G89&gt;=9,IF('Model inputs'!G89="","",'Model inputs'!G89&gt;=9))),IF('Model inputs'!AJ70="","",'Model inputs'!AJ70),0))))</f>
        <v>0</v>
      </c>
      <c r="H28" s="15">
        <f>IF(IF(IF(ISERROR('Model inputs'!H89&gt;=24),'Model inputs'!H89&gt;=24,IF('Model inputs'!H89="","",'Model inputs'!H89&gt;=24))="",FALSE,IF(ISERROR('Model inputs'!H89&gt;=24),'Model inputs'!H89&gt;=24,IF('Model inputs'!H89="","",'Model inputs'!H89&gt;=24))),IF('Model inputs'!AJ69="","",'Model inputs'!AJ69),IF(IF(IF(ISERROR('Model inputs'!H89&gt;=18),'Model inputs'!H89&gt;=18,IF('Model inputs'!H89="","",'Model inputs'!H89&gt;=18))="",FALSE,IF(ISERROR('Model inputs'!H89&gt;=18),'Model inputs'!H89&gt;=18,IF('Model inputs'!H89="","",'Model inputs'!H89&gt;=18))),IF('Model inputs'!AJ68="","",'Model inputs'!AJ68),IF(IF(IF(ISERROR('Model inputs'!H89&gt;=12),'Model inputs'!H89&gt;=12,IF('Model inputs'!H89="","",'Model inputs'!H89&gt;=12))="",FALSE,IF(ISERROR('Model inputs'!H89&gt;=12),'Model inputs'!H89&gt;=12,IF('Model inputs'!H89="","",'Model inputs'!H89&gt;=12))),IF('Model inputs'!AJ67="","",'Model inputs'!AJ67),IF(IF(IF(ISERROR('Model inputs'!H89&gt;=9),'Model inputs'!H89&gt;=9,IF('Model inputs'!H89="","",'Model inputs'!H89&gt;=9))="",FALSE,IF(ISERROR('Model inputs'!H89&gt;=9),'Model inputs'!H89&gt;=9,IF('Model inputs'!H89="","",'Model inputs'!H89&gt;=9))),IF('Model inputs'!AJ70="","",'Model inputs'!AJ70),0))))</f>
        <v>0</v>
      </c>
      <c r="I28" s="15">
        <f>IF(IF(IF(ISERROR('Model inputs'!I89&gt;=24),'Model inputs'!I89&gt;=24,IF('Model inputs'!I89="","",'Model inputs'!I89&gt;=24))="",FALSE,IF(ISERROR('Model inputs'!I89&gt;=24),'Model inputs'!I89&gt;=24,IF('Model inputs'!I89="","",'Model inputs'!I89&gt;=24))),IF('Model inputs'!AJ69="","",'Model inputs'!AJ69),IF(IF(IF(ISERROR('Model inputs'!I89&gt;=18),'Model inputs'!I89&gt;=18,IF('Model inputs'!I89="","",'Model inputs'!I89&gt;=18))="",FALSE,IF(ISERROR('Model inputs'!I89&gt;=18),'Model inputs'!I89&gt;=18,IF('Model inputs'!I89="","",'Model inputs'!I89&gt;=18))),IF('Model inputs'!AJ68="","",'Model inputs'!AJ68),IF(IF(IF(ISERROR('Model inputs'!I89&gt;=12),'Model inputs'!I89&gt;=12,IF('Model inputs'!I89="","",'Model inputs'!I89&gt;=12))="",FALSE,IF(ISERROR('Model inputs'!I89&gt;=12),'Model inputs'!I89&gt;=12,IF('Model inputs'!I89="","",'Model inputs'!I89&gt;=12))),IF('Model inputs'!AJ67="","",'Model inputs'!AJ67),IF(IF(IF(ISERROR('Model inputs'!I89&gt;=9),'Model inputs'!I89&gt;=9,IF('Model inputs'!I89="","",'Model inputs'!I89&gt;=9))="",FALSE,IF(ISERROR('Model inputs'!I89&gt;=9),'Model inputs'!I89&gt;=9,IF('Model inputs'!I89="","",'Model inputs'!I89&gt;=9))),IF('Model inputs'!AJ70="","",'Model inputs'!AJ70),0))))</f>
        <v>0</v>
      </c>
      <c r="J28" s="15">
        <f>IF(IF(IF(ISERROR('Model inputs'!J89&gt;=24),'Model inputs'!J89&gt;=24,IF('Model inputs'!J89="","",'Model inputs'!J89&gt;=24))="",FALSE,IF(ISERROR('Model inputs'!J89&gt;=24),'Model inputs'!J89&gt;=24,IF('Model inputs'!J89="","",'Model inputs'!J89&gt;=24))),IF('Model inputs'!AJ69="","",'Model inputs'!AJ69),IF(IF(IF(ISERROR('Model inputs'!J89&gt;=18),'Model inputs'!J89&gt;=18,IF('Model inputs'!J89="","",'Model inputs'!J89&gt;=18))="",FALSE,IF(ISERROR('Model inputs'!J89&gt;=18),'Model inputs'!J89&gt;=18,IF('Model inputs'!J89="","",'Model inputs'!J89&gt;=18))),IF('Model inputs'!AJ68="","",'Model inputs'!AJ68),IF(IF(IF(ISERROR('Model inputs'!J89&gt;=12),'Model inputs'!J89&gt;=12,IF('Model inputs'!J89="","",'Model inputs'!J89&gt;=12))="",FALSE,IF(ISERROR('Model inputs'!J89&gt;=12),'Model inputs'!J89&gt;=12,IF('Model inputs'!J89="","",'Model inputs'!J89&gt;=12))),IF('Model inputs'!AJ67="","",'Model inputs'!AJ67),IF(IF(IF(ISERROR('Model inputs'!J89&gt;=9),'Model inputs'!J89&gt;=9,IF('Model inputs'!J89="","",'Model inputs'!J89&gt;=9))="",FALSE,IF(ISERROR('Model inputs'!J89&gt;=9),'Model inputs'!J89&gt;=9,IF('Model inputs'!J89="","",'Model inputs'!J89&gt;=9))),IF('Model inputs'!AJ70="","",'Model inputs'!AJ70),0))))</f>
        <v>0</v>
      </c>
      <c r="K28" s="15">
        <f>IF(IF(IF(ISERROR('Model inputs'!K89&gt;=24),'Model inputs'!K89&gt;=24,IF('Model inputs'!K89="","",'Model inputs'!K89&gt;=24))="",FALSE,IF(ISERROR('Model inputs'!K89&gt;=24),'Model inputs'!K89&gt;=24,IF('Model inputs'!K89="","",'Model inputs'!K89&gt;=24))),IF('Model inputs'!AJ69="","",'Model inputs'!AJ69),IF(IF(IF(ISERROR('Model inputs'!K89&gt;=18),'Model inputs'!K89&gt;=18,IF('Model inputs'!K89="","",'Model inputs'!K89&gt;=18))="",FALSE,IF(ISERROR('Model inputs'!K89&gt;=18),'Model inputs'!K89&gt;=18,IF('Model inputs'!K89="","",'Model inputs'!K89&gt;=18))),IF('Model inputs'!AJ68="","",'Model inputs'!AJ68),IF(IF(IF(ISERROR('Model inputs'!K89&gt;=12),'Model inputs'!K89&gt;=12,IF('Model inputs'!K89="","",'Model inputs'!K89&gt;=12))="",FALSE,IF(ISERROR('Model inputs'!K89&gt;=12),'Model inputs'!K89&gt;=12,IF('Model inputs'!K89="","",'Model inputs'!K89&gt;=12))),IF('Model inputs'!AJ67="","",'Model inputs'!AJ67),IF(IF(IF(ISERROR('Model inputs'!K89&gt;=9),'Model inputs'!K89&gt;=9,IF('Model inputs'!K89="","",'Model inputs'!K89&gt;=9))="",FALSE,IF(ISERROR('Model inputs'!K89&gt;=9),'Model inputs'!K89&gt;=9,IF('Model inputs'!K89="","",'Model inputs'!K89&gt;=9))),IF('Model inputs'!AJ70="","",'Model inputs'!AJ70),0))))</f>
        <v>0</v>
      </c>
      <c r="L28" s="15">
        <f>IF(IF(IF(ISERROR('Model inputs'!L89&gt;=24),'Model inputs'!L89&gt;=24,IF('Model inputs'!L89="","",'Model inputs'!L89&gt;=24))="",FALSE,IF(ISERROR('Model inputs'!L89&gt;=24),'Model inputs'!L89&gt;=24,IF('Model inputs'!L89="","",'Model inputs'!L89&gt;=24))),IF('Model inputs'!AJ69="","",'Model inputs'!AJ69),IF(IF(IF(ISERROR('Model inputs'!L89&gt;=18),'Model inputs'!L89&gt;=18,IF('Model inputs'!L89="","",'Model inputs'!L89&gt;=18))="",FALSE,IF(ISERROR('Model inputs'!L89&gt;=18),'Model inputs'!L89&gt;=18,IF('Model inputs'!L89="","",'Model inputs'!L89&gt;=18))),IF('Model inputs'!AJ68="","",'Model inputs'!AJ68),IF(IF(IF(ISERROR('Model inputs'!L89&gt;=12),'Model inputs'!L89&gt;=12,IF('Model inputs'!L89="","",'Model inputs'!L89&gt;=12))="",FALSE,IF(ISERROR('Model inputs'!L89&gt;=12),'Model inputs'!L89&gt;=12,IF('Model inputs'!L89="","",'Model inputs'!L89&gt;=12))),IF('Model inputs'!AJ67="","",'Model inputs'!AJ67),IF(IF(IF(ISERROR('Model inputs'!L89&gt;=9),'Model inputs'!L89&gt;=9,IF('Model inputs'!L89="","",'Model inputs'!L89&gt;=9))="",FALSE,IF(ISERROR('Model inputs'!L89&gt;=9),'Model inputs'!L89&gt;=9,IF('Model inputs'!L89="","",'Model inputs'!L89&gt;=9))),IF('Model inputs'!AJ70="","",'Model inputs'!AJ70),0))))</f>
        <v>10000</v>
      </c>
      <c r="M28" s="15">
        <f>IF(IF(IF(ISERROR('Model inputs'!M89&gt;=24),'Model inputs'!M89&gt;=24,IF('Model inputs'!M89="","",'Model inputs'!M89&gt;=24))="",FALSE,IF(ISERROR('Model inputs'!M89&gt;=24),'Model inputs'!M89&gt;=24,IF('Model inputs'!M89="","",'Model inputs'!M89&gt;=24))),IF('Model inputs'!AJ69="","",'Model inputs'!AJ69),IF(IF(IF(ISERROR('Model inputs'!M89&gt;=18),'Model inputs'!M89&gt;=18,IF('Model inputs'!M89="","",'Model inputs'!M89&gt;=18))="",FALSE,IF(ISERROR('Model inputs'!M89&gt;=18),'Model inputs'!M89&gt;=18,IF('Model inputs'!M89="","",'Model inputs'!M89&gt;=18))),IF('Model inputs'!AJ68="","",'Model inputs'!AJ68),IF(IF(IF(ISERROR('Model inputs'!M89&gt;=12),'Model inputs'!M89&gt;=12,IF('Model inputs'!M89="","",'Model inputs'!M89&gt;=12))="",FALSE,IF(ISERROR('Model inputs'!M89&gt;=12),'Model inputs'!M89&gt;=12,IF('Model inputs'!M89="","",'Model inputs'!M89&gt;=12))),IF('Model inputs'!AJ67="","",'Model inputs'!AJ67),IF(IF(IF(ISERROR('Model inputs'!M89&gt;=9),'Model inputs'!M89&gt;=9,IF('Model inputs'!M89="","",'Model inputs'!M89&gt;=9))="",FALSE,IF(ISERROR('Model inputs'!M89&gt;=9),'Model inputs'!M89&gt;=9,IF('Model inputs'!M89="","",'Model inputs'!M89&gt;=9))),IF('Model inputs'!AJ70="","",'Model inputs'!AJ70),0))))</f>
        <v>10000</v>
      </c>
      <c r="N28" s="15">
        <f>IF(IF(IF(ISERROR('Model inputs'!N89&gt;=24),'Model inputs'!N89&gt;=24,IF('Model inputs'!N89="","",'Model inputs'!N89&gt;=24))="",FALSE,IF(ISERROR('Model inputs'!N89&gt;=24),'Model inputs'!N89&gt;=24,IF('Model inputs'!N89="","",'Model inputs'!N89&gt;=24))),IF('Model inputs'!AJ69="","",'Model inputs'!AJ69),IF(IF(IF(ISERROR('Model inputs'!N89&gt;=18),'Model inputs'!N89&gt;=18,IF('Model inputs'!N89="","",'Model inputs'!N89&gt;=18))="",FALSE,IF(ISERROR('Model inputs'!N89&gt;=18),'Model inputs'!N89&gt;=18,IF('Model inputs'!N89="","",'Model inputs'!N89&gt;=18))),IF('Model inputs'!AJ68="","",'Model inputs'!AJ68),IF(IF(IF(ISERROR('Model inputs'!N89&gt;=12),'Model inputs'!N89&gt;=12,IF('Model inputs'!N89="","",'Model inputs'!N89&gt;=12))="",FALSE,IF(ISERROR('Model inputs'!N89&gt;=12),'Model inputs'!N89&gt;=12,IF('Model inputs'!N89="","",'Model inputs'!N89&gt;=12))),IF('Model inputs'!AJ67="","",'Model inputs'!AJ67),IF(IF(IF(ISERROR('Model inputs'!N89&gt;=9),'Model inputs'!N89&gt;=9,IF('Model inputs'!N89="","",'Model inputs'!N89&gt;=9))="",FALSE,IF(ISERROR('Model inputs'!N89&gt;=9),'Model inputs'!N89&gt;=9,IF('Model inputs'!N89="","",'Model inputs'!N89&gt;=9))),IF('Model inputs'!AJ70="","",'Model inputs'!AJ70),0))))</f>
        <v>10000</v>
      </c>
      <c r="O28" s="15">
        <f>IF(IF(IF(ISERROR('Model inputs'!O89&gt;=24),'Model inputs'!O89&gt;=24,IF('Model inputs'!O89="","",'Model inputs'!O89&gt;=24))="",FALSE,IF(ISERROR('Model inputs'!O89&gt;=24),'Model inputs'!O89&gt;=24,IF('Model inputs'!O89="","",'Model inputs'!O89&gt;=24))),IF('Model inputs'!AJ69="","",'Model inputs'!AJ69),IF(IF(IF(ISERROR('Model inputs'!O89&gt;=18),'Model inputs'!O89&gt;=18,IF('Model inputs'!O89="","",'Model inputs'!O89&gt;=18))="",FALSE,IF(ISERROR('Model inputs'!O89&gt;=18),'Model inputs'!O89&gt;=18,IF('Model inputs'!O89="","",'Model inputs'!O89&gt;=18))),IF('Model inputs'!AJ68="","",'Model inputs'!AJ68),IF(IF(IF(ISERROR('Model inputs'!O89&gt;=12),'Model inputs'!O89&gt;=12,IF('Model inputs'!O89="","",'Model inputs'!O89&gt;=12))="",FALSE,IF(ISERROR('Model inputs'!O89&gt;=12),'Model inputs'!O89&gt;=12,IF('Model inputs'!O89="","",'Model inputs'!O89&gt;=12))),IF('Model inputs'!AJ67="","",'Model inputs'!AJ67),IF(IF(IF(ISERROR('Model inputs'!O89&gt;=9),'Model inputs'!O89&gt;=9,IF('Model inputs'!O89="","",'Model inputs'!O89&gt;=9))="",FALSE,IF(ISERROR('Model inputs'!O89&gt;=9),'Model inputs'!O89&gt;=9,IF('Model inputs'!O89="","",'Model inputs'!O89&gt;=9))),IF('Model inputs'!AJ70="","",'Model inputs'!AJ70),0))))</f>
        <v>20000</v>
      </c>
      <c r="P28" s="15">
        <f>IF(IF(IF(ISERROR('Model inputs'!P89&gt;=24),'Model inputs'!P89&gt;=24,IF('Model inputs'!P89="","",'Model inputs'!P89&gt;=24))="",FALSE,IF(ISERROR('Model inputs'!P89&gt;=24),'Model inputs'!P89&gt;=24,IF('Model inputs'!P89="","",'Model inputs'!P89&gt;=24))),IF('Model inputs'!AJ69="","",'Model inputs'!AJ69),IF(IF(IF(ISERROR('Model inputs'!P89&gt;=18),'Model inputs'!P89&gt;=18,IF('Model inputs'!P89="","",'Model inputs'!P89&gt;=18))="",FALSE,IF(ISERROR('Model inputs'!P89&gt;=18),'Model inputs'!P89&gt;=18,IF('Model inputs'!P89="","",'Model inputs'!P89&gt;=18))),IF('Model inputs'!AJ68="","",'Model inputs'!AJ68),IF(IF(IF(ISERROR('Model inputs'!P89&gt;=12),'Model inputs'!P89&gt;=12,IF('Model inputs'!P89="","",'Model inputs'!P89&gt;=12))="",FALSE,IF(ISERROR('Model inputs'!P89&gt;=12),'Model inputs'!P89&gt;=12,IF('Model inputs'!P89="","",'Model inputs'!P89&gt;=12))),IF('Model inputs'!AJ67="","",'Model inputs'!AJ67),IF(IF(IF(ISERROR('Model inputs'!P89&gt;=9),'Model inputs'!P89&gt;=9,IF('Model inputs'!P89="","",'Model inputs'!P89&gt;=9))="",FALSE,IF(ISERROR('Model inputs'!P89&gt;=9),'Model inputs'!P89&gt;=9,IF('Model inputs'!P89="","",'Model inputs'!P89&gt;=9))),IF('Model inputs'!AJ70="","",'Model inputs'!AJ70),0))))</f>
        <v>20000</v>
      </c>
      <c r="Q28" s="15">
        <f>IF(IF(IF(ISERROR('Model inputs'!Q89&gt;=24),'Model inputs'!Q89&gt;=24,IF('Model inputs'!Q89="","",'Model inputs'!Q89&gt;=24))="",FALSE,IF(ISERROR('Model inputs'!Q89&gt;=24),'Model inputs'!Q89&gt;=24,IF('Model inputs'!Q89="","",'Model inputs'!Q89&gt;=24))),IF('Model inputs'!AJ69="","",'Model inputs'!AJ69),IF(IF(IF(ISERROR('Model inputs'!Q89&gt;=18),'Model inputs'!Q89&gt;=18,IF('Model inputs'!Q89="","",'Model inputs'!Q89&gt;=18))="",FALSE,IF(ISERROR('Model inputs'!Q89&gt;=18),'Model inputs'!Q89&gt;=18,IF('Model inputs'!Q89="","",'Model inputs'!Q89&gt;=18))),IF('Model inputs'!AJ68="","",'Model inputs'!AJ68),IF(IF(IF(ISERROR('Model inputs'!Q89&gt;=12),'Model inputs'!Q89&gt;=12,IF('Model inputs'!Q89="","",'Model inputs'!Q89&gt;=12))="",FALSE,IF(ISERROR('Model inputs'!Q89&gt;=12),'Model inputs'!Q89&gt;=12,IF('Model inputs'!Q89="","",'Model inputs'!Q89&gt;=12))),IF('Model inputs'!AJ67="","",'Model inputs'!AJ67),IF(IF(IF(ISERROR('Model inputs'!Q89&gt;=9),'Model inputs'!Q89&gt;=9,IF('Model inputs'!Q89="","",'Model inputs'!Q89&gt;=9))="",FALSE,IF(ISERROR('Model inputs'!Q89&gt;=9),'Model inputs'!Q89&gt;=9,IF('Model inputs'!Q89="","",'Model inputs'!Q89&gt;=9))),IF('Model inputs'!AJ70="","",'Model inputs'!AJ70),0))))</f>
        <v>20000</v>
      </c>
      <c r="R28" s="15">
        <f>IF(IF(IF(ISERROR('Model inputs'!R89&gt;=24),'Model inputs'!R89&gt;=24,IF('Model inputs'!R89="","",'Model inputs'!R89&gt;=24))="",FALSE,IF(ISERROR('Model inputs'!R89&gt;=24),'Model inputs'!R89&gt;=24,IF('Model inputs'!R89="","",'Model inputs'!R89&gt;=24))),IF('Model inputs'!AJ69="","",'Model inputs'!AJ69),IF(IF(IF(ISERROR('Model inputs'!R89&gt;=18),'Model inputs'!R89&gt;=18,IF('Model inputs'!R89="","",'Model inputs'!R89&gt;=18))="",FALSE,IF(ISERROR('Model inputs'!R89&gt;=18),'Model inputs'!R89&gt;=18,IF('Model inputs'!R89="","",'Model inputs'!R89&gt;=18))),IF('Model inputs'!AJ68="","",'Model inputs'!AJ68),IF(IF(IF(ISERROR('Model inputs'!R89&gt;=12),'Model inputs'!R89&gt;=12,IF('Model inputs'!R89="","",'Model inputs'!R89&gt;=12))="",FALSE,IF(ISERROR('Model inputs'!R89&gt;=12),'Model inputs'!R89&gt;=12,IF('Model inputs'!R89="","",'Model inputs'!R89&gt;=12))),IF('Model inputs'!AJ67="","",'Model inputs'!AJ67),IF(IF(IF(ISERROR('Model inputs'!R89&gt;=9),'Model inputs'!R89&gt;=9,IF('Model inputs'!R89="","",'Model inputs'!R89&gt;=9))="",FALSE,IF(ISERROR('Model inputs'!R89&gt;=9),'Model inputs'!R89&gt;=9,IF('Model inputs'!R89="","",'Model inputs'!R89&gt;=9))),IF('Model inputs'!AJ70="","",'Model inputs'!AJ70),0))))</f>
        <v>20000</v>
      </c>
      <c r="S28" s="15">
        <f>IF(IF(IF(ISERROR('Model inputs'!S89&gt;=24),'Model inputs'!S89&gt;=24,IF('Model inputs'!S89="","",'Model inputs'!S89&gt;=24))="",FALSE,IF(ISERROR('Model inputs'!S89&gt;=24),'Model inputs'!S89&gt;=24,IF('Model inputs'!S89="","",'Model inputs'!S89&gt;=24))),IF('Model inputs'!AJ69="","",'Model inputs'!AJ69),IF(IF(IF(ISERROR('Model inputs'!S89&gt;=18),'Model inputs'!S89&gt;=18,IF('Model inputs'!S89="","",'Model inputs'!S89&gt;=18))="",FALSE,IF(ISERROR('Model inputs'!S89&gt;=18),'Model inputs'!S89&gt;=18,IF('Model inputs'!S89="","",'Model inputs'!S89&gt;=18))),IF('Model inputs'!AJ68="","",'Model inputs'!AJ68),IF(IF(IF(ISERROR('Model inputs'!S89&gt;=12),'Model inputs'!S89&gt;=12,IF('Model inputs'!S89="","",'Model inputs'!S89&gt;=12))="",FALSE,IF(ISERROR('Model inputs'!S89&gt;=12),'Model inputs'!S89&gt;=12,IF('Model inputs'!S89="","",'Model inputs'!S89&gt;=12))),IF('Model inputs'!AJ67="","",'Model inputs'!AJ67),IF(IF(IF(ISERROR('Model inputs'!S89&gt;=9),'Model inputs'!S89&gt;=9,IF('Model inputs'!S89="","",'Model inputs'!S89&gt;=9))="",FALSE,IF(ISERROR('Model inputs'!S89&gt;=9),'Model inputs'!S89&gt;=9,IF('Model inputs'!S89="","",'Model inputs'!S89&gt;=9))),IF('Model inputs'!AJ70="","",'Model inputs'!AJ70),0))))</f>
        <v>20000</v>
      </c>
      <c r="T28" s="15">
        <f>IF(IF(IF(ISERROR('Model inputs'!T89&gt;=24),'Model inputs'!T89&gt;=24,IF('Model inputs'!T89="","",'Model inputs'!T89&gt;=24))="",FALSE,IF(ISERROR('Model inputs'!T89&gt;=24),'Model inputs'!T89&gt;=24,IF('Model inputs'!T89="","",'Model inputs'!T89&gt;=24))),IF('Model inputs'!AJ69="","",'Model inputs'!AJ69),IF(IF(IF(ISERROR('Model inputs'!T89&gt;=18),'Model inputs'!T89&gt;=18,IF('Model inputs'!T89="","",'Model inputs'!T89&gt;=18))="",FALSE,IF(ISERROR('Model inputs'!T89&gt;=18),'Model inputs'!T89&gt;=18,IF('Model inputs'!T89="","",'Model inputs'!T89&gt;=18))),IF('Model inputs'!AJ68="","",'Model inputs'!AJ68),IF(IF(IF(ISERROR('Model inputs'!T89&gt;=12),'Model inputs'!T89&gt;=12,IF('Model inputs'!T89="","",'Model inputs'!T89&gt;=12))="",FALSE,IF(ISERROR('Model inputs'!T89&gt;=12),'Model inputs'!T89&gt;=12,IF('Model inputs'!T89="","",'Model inputs'!T89&gt;=12))),IF('Model inputs'!AJ67="","",'Model inputs'!AJ67),IF(IF(IF(ISERROR('Model inputs'!T89&gt;=9),'Model inputs'!T89&gt;=9,IF('Model inputs'!T89="","",'Model inputs'!T89&gt;=9))="",FALSE,IF(ISERROR('Model inputs'!T89&gt;=9),'Model inputs'!T89&gt;=9,IF('Model inputs'!T89="","",'Model inputs'!T89&gt;=9))),IF('Model inputs'!AJ70="","",'Model inputs'!AJ70),0))))</f>
        <v>20000</v>
      </c>
      <c r="U28" s="15">
        <f>IF(IF(IF(ISERROR('Model inputs'!U89&gt;=24),'Model inputs'!U89&gt;=24,IF('Model inputs'!U89="","",'Model inputs'!U89&gt;=24))="",FALSE,IF(ISERROR('Model inputs'!U89&gt;=24),'Model inputs'!U89&gt;=24,IF('Model inputs'!U89="","",'Model inputs'!U89&gt;=24))),IF('Model inputs'!AJ69="","",'Model inputs'!AJ69),IF(IF(IF(ISERROR('Model inputs'!U89&gt;=18),'Model inputs'!U89&gt;=18,IF('Model inputs'!U89="","",'Model inputs'!U89&gt;=18))="",FALSE,IF(ISERROR('Model inputs'!U89&gt;=18),'Model inputs'!U89&gt;=18,IF('Model inputs'!U89="","",'Model inputs'!U89&gt;=18))),IF('Model inputs'!AJ68="","",'Model inputs'!AJ68),IF(IF(IF(ISERROR('Model inputs'!U89&gt;=12),'Model inputs'!U89&gt;=12,IF('Model inputs'!U89="","",'Model inputs'!U89&gt;=12))="",FALSE,IF(ISERROR('Model inputs'!U89&gt;=12),'Model inputs'!U89&gt;=12,IF('Model inputs'!U89="","",'Model inputs'!U89&gt;=12))),IF('Model inputs'!AJ67="","",'Model inputs'!AJ67),IF(IF(IF(ISERROR('Model inputs'!U89&gt;=9),'Model inputs'!U89&gt;=9,IF('Model inputs'!U89="","",'Model inputs'!U89&gt;=9))="",FALSE,IF(ISERROR('Model inputs'!U89&gt;=9),'Model inputs'!U89&gt;=9,IF('Model inputs'!U89="","",'Model inputs'!U89&gt;=9))),IF('Model inputs'!AJ70="","",'Model inputs'!AJ70),0))))</f>
        <v>35000</v>
      </c>
      <c r="V28" s="15">
        <f>IF(IF(IF(ISERROR('Model inputs'!V89&gt;=24),'Model inputs'!V89&gt;=24,IF('Model inputs'!V89="","",'Model inputs'!V89&gt;=24))="",FALSE,IF(ISERROR('Model inputs'!V89&gt;=24),'Model inputs'!V89&gt;=24,IF('Model inputs'!V89="","",'Model inputs'!V89&gt;=24))),IF('Model inputs'!AJ69="","",'Model inputs'!AJ69),IF(IF(IF(ISERROR('Model inputs'!V89&gt;=18),'Model inputs'!V89&gt;=18,IF('Model inputs'!V89="","",'Model inputs'!V89&gt;=18))="",FALSE,IF(ISERROR('Model inputs'!V89&gt;=18),'Model inputs'!V89&gt;=18,IF('Model inputs'!V89="","",'Model inputs'!V89&gt;=18))),IF('Model inputs'!AJ68="","",'Model inputs'!AJ68),IF(IF(IF(ISERROR('Model inputs'!V89&gt;=12),'Model inputs'!V89&gt;=12,IF('Model inputs'!V89="","",'Model inputs'!V89&gt;=12))="",FALSE,IF(ISERROR('Model inputs'!V89&gt;=12),'Model inputs'!V89&gt;=12,IF('Model inputs'!V89="","",'Model inputs'!V89&gt;=12))),IF('Model inputs'!AJ67="","",'Model inputs'!AJ67),IF(IF(IF(ISERROR('Model inputs'!V89&gt;=9),'Model inputs'!V89&gt;=9,IF('Model inputs'!V89="","",'Model inputs'!V89&gt;=9))="",FALSE,IF(ISERROR('Model inputs'!V89&gt;=9),'Model inputs'!V89&gt;=9,IF('Model inputs'!V89="","",'Model inputs'!V89&gt;=9))),IF('Model inputs'!AJ70="","",'Model inputs'!AJ70),0))))</f>
        <v>35000</v>
      </c>
      <c r="W28" s="15">
        <f>IF(IF(IF(ISERROR('Model inputs'!W89&gt;=24),'Model inputs'!W89&gt;=24,IF('Model inputs'!W89="","",'Model inputs'!W89&gt;=24))="",FALSE,IF(ISERROR('Model inputs'!W89&gt;=24),'Model inputs'!W89&gt;=24,IF('Model inputs'!W89="","",'Model inputs'!W89&gt;=24))),IF('Model inputs'!AJ69="","",'Model inputs'!AJ69),IF(IF(IF(ISERROR('Model inputs'!W89&gt;=18),'Model inputs'!W89&gt;=18,IF('Model inputs'!W89="","",'Model inputs'!W89&gt;=18))="",FALSE,IF(ISERROR('Model inputs'!W89&gt;=18),'Model inputs'!W89&gt;=18,IF('Model inputs'!W89="","",'Model inputs'!W89&gt;=18))),IF('Model inputs'!AJ68="","",'Model inputs'!AJ68),IF(IF(IF(ISERROR('Model inputs'!W89&gt;=12),'Model inputs'!W89&gt;=12,IF('Model inputs'!W89="","",'Model inputs'!W89&gt;=12))="",FALSE,IF(ISERROR('Model inputs'!W89&gt;=12),'Model inputs'!W89&gt;=12,IF('Model inputs'!W89="","",'Model inputs'!W89&gt;=12))),IF('Model inputs'!AJ67="","",'Model inputs'!AJ67),IF(IF(IF(ISERROR('Model inputs'!W89&gt;=9),'Model inputs'!W89&gt;=9,IF('Model inputs'!W89="","",'Model inputs'!W89&gt;=9))="",FALSE,IF(ISERROR('Model inputs'!W89&gt;=9),'Model inputs'!W89&gt;=9,IF('Model inputs'!W89="","",'Model inputs'!W89&gt;=9))),IF('Model inputs'!AJ70="","",'Model inputs'!AJ70),0))))</f>
        <v>35000</v>
      </c>
      <c r="X28" s="15">
        <f>IF(IF(IF(ISERROR('Model inputs'!X89&gt;=24),'Model inputs'!X89&gt;=24,IF('Model inputs'!X89="","",'Model inputs'!X89&gt;=24))="",FALSE,IF(ISERROR('Model inputs'!X89&gt;=24),'Model inputs'!X89&gt;=24,IF('Model inputs'!X89="","",'Model inputs'!X89&gt;=24))),IF('Model inputs'!AJ69="","",'Model inputs'!AJ69),IF(IF(IF(ISERROR('Model inputs'!X89&gt;=18),'Model inputs'!X89&gt;=18,IF('Model inputs'!X89="","",'Model inputs'!X89&gt;=18))="",FALSE,IF(ISERROR('Model inputs'!X89&gt;=18),'Model inputs'!X89&gt;=18,IF('Model inputs'!X89="","",'Model inputs'!X89&gt;=18))),IF('Model inputs'!AJ68="","",'Model inputs'!AJ68),IF(IF(IF(ISERROR('Model inputs'!X89&gt;=12),'Model inputs'!X89&gt;=12,IF('Model inputs'!X89="","",'Model inputs'!X89&gt;=12))="",FALSE,IF(ISERROR('Model inputs'!X89&gt;=12),'Model inputs'!X89&gt;=12,IF('Model inputs'!X89="","",'Model inputs'!X89&gt;=12))),IF('Model inputs'!AJ67="","",'Model inputs'!AJ67),IF(IF(IF(ISERROR('Model inputs'!X89&gt;=9),'Model inputs'!X89&gt;=9,IF('Model inputs'!X89="","",'Model inputs'!X89&gt;=9))="",FALSE,IF(ISERROR('Model inputs'!X89&gt;=9),'Model inputs'!X89&gt;=9,IF('Model inputs'!X89="","",'Model inputs'!X89&gt;=9))),IF('Model inputs'!AJ70="","",'Model inputs'!AJ70),0))))</f>
        <v>35000</v>
      </c>
      <c r="Y28" s="15">
        <f>IF(IF(IF(ISERROR('Model inputs'!Y89&gt;=24),'Model inputs'!Y89&gt;=24,IF('Model inputs'!Y89="","",'Model inputs'!Y89&gt;=24))="",FALSE,IF(ISERROR('Model inputs'!Y89&gt;=24),'Model inputs'!Y89&gt;=24,IF('Model inputs'!Y89="","",'Model inputs'!Y89&gt;=24))),IF('Model inputs'!AJ69="","",'Model inputs'!AJ69),IF(IF(IF(ISERROR('Model inputs'!Y89&gt;=18),'Model inputs'!Y89&gt;=18,IF('Model inputs'!Y89="","",'Model inputs'!Y89&gt;=18))="",FALSE,IF(ISERROR('Model inputs'!Y89&gt;=18),'Model inputs'!Y89&gt;=18,IF('Model inputs'!Y89="","",'Model inputs'!Y89&gt;=18))),IF('Model inputs'!AJ68="","",'Model inputs'!AJ68),IF(IF(IF(ISERROR('Model inputs'!Y89&gt;=12),'Model inputs'!Y89&gt;=12,IF('Model inputs'!Y89="","",'Model inputs'!Y89&gt;=12))="",FALSE,IF(ISERROR('Model inputs'!Y89&gt;=12),'Model inputs'!Y89&gt;=12,IF('Model inputs'!Y89="","",'Model inputs'!Y89&gt;=12))),IF('Model inputs'!AJ67="","",'Model inputs'!AJ67),IF(IF(IF(ISERROR('Model inputs'!Y89&gt;=9),'Model inputs'!Y89&gt;=9,IF('Model inputs'!Y89="","",'Model inputs'!Y89&gt;=9))="",FALSE,IF(ISERROR('Model inputs'!Y89&gt;=9),'Model inputs'!Y89&gt;=9,IF('Model inputs'!Y89="","",'Model inputs'!Y89&gt;=9))),IF('Model inputs'!AJ70="","",'Model inputs'!AJ70),0))))</f>
        <v>35000</v>
      </c>
      <c r="Z28" s="15">
        <f>IF(IF(IF(ISERROR('Model inputs'!Z89&gt;=24),'Model inputs'!Z89&gt;=24,IF('Model inputs'!Z89="","",'Model inputs'!Z89&gt;=24))="",FALSE,IF(ISERROR('Model inputs'!Z89&gt;=24),'Model inputs'!Z89&gt;=24,IF('Model inputs'!Z89="","",'Model inputs'!Z89&gt;=24))),IF('Model inputs'!AJ69="","",'Model inputs'!AJ69),IF(IF(IF(ISERROR('Model inputs'!Z89&gt;=18),'Model inputs'!Z89&gt;=18,IF('Model inputs'!Z89="","",'Model inputs'!Z89&gt;=18))="",FALSE,IF(ISERROR('Model inputs'!Z89&gt;=18),'Model inputs'!Z89&gt;=18,IF('Model inputs'!Z89="","",'Model inputs'!Z89&gt;=18))),IF('Model inputs'!AJ68="","",'Model inputs'!AJ68),IF(IF(IF(ISERROR('Model inputs'!Z89&gt;=12),'Model inputs'!Z89&gt;=12,IF('Model inputs'!Z89="","",'Model inputs'!Z89&gt;=12))="",FALSE,IF(ISERROR('Model inputs'!Z89&gt;=12),'Model inputs'!Z89&gt;=12,IF('Model inputs'!Z89="","",'Model inputs'!Z89&gt;=12))),IF('Model inputs'!AJ67="","",'Model inputs'!AJ67),IF(IF(IF(ISERROR('Model inputs'!Z89&gt;=9),'Model inputs'!Z89&gt;=9,IF('Model inputs'!Z89="","",'Model inputs'!Z89&gt;=9))="",FALSE,IF(ISERROR('Model inputs'!Z89&gt;=9),'Model inputs'!Z89&gt;=9,IF('Model inputs'!Z89="","",'Model inputs'!Z89&gt;=9))),IF('Model inputs'!AJ70="","",'Model inputs'!AJ70),0))))</f>
        <v>35000</v>
      </c>
      <c r="AA28" s="15">
        <f>IF(IF(IF(ISERROR('Model inputs'!AA89&gt;=24),'Model inputs'!AA89&gt;=24,IF('Model inputs'!AA89="","",'Model inputs'!AA89&gt;=24))="",FALSE,IF(ISERROR('Model inputs'!AA89&gt;=24),'Model inputs'!AA89&gt;=24,IF('Model inputs'!AA89="","",'Model inputs'!AA89&gt;=24))),IF('Model inputs'!AJ69="","",'Model inputs'!AJ69),IF(IF(IF(ISERROR('Model inputs'!AA89&gt;=18),'Model inputs'!AA89&gt;=18,IF('Model inputs'!AA89="","",'Model inputs'!AA89&gt;=18))="",FALSE,IF(ISERROR('Model inputs'!AA89&gt;=18),'Model inputs'!AA89&gt;=18,IF('Model inputs'!AA89="","",'Model inputs'!AA89&gt;=18))),IF('Model inputs'!AJ68="","",'Model inputs'!AJ68),IF(IF(IF(ISERROR('Model inputs'!AA89&gt;=12),'Model inputs'!AA89&gt;=12,IF('Model inputs'!AA89="","",'Model inputs'!AA89&gt;=12))="",FALSE,IF(ISERROR('Model inputs'!AA89&gt;=12),'Model inputs'!AA89&gt;=12,IF('Model inputs'!AA89="","",'Model inputs'!AA89&gt;=12))),IF('Model inputs'!AJ67="","",'Model inputs'!AJ67),IF(IF(IF(ISERROR('Model inputs'!AA89&gt;=9),'Model inputs'!AA89&gt;=9,IF('Model inputs'!AA89="","",'Model inputs'!AA89&gt;=9))="",FALSE,IF(ISERROR('Model inputs'!AA89&gt;=9),'Model inputs'!AA89&gt;=9,IF('Model inputs'!AA89="","",'Model inputs'!AA89&gt;=9))),IF('Model inputs'!AJ70="","",'Model inputs'!AJ70),0))))</f>
        <v>50000</v>
      </c>
      <c r="AB28" s="15">
        <f>IF(IF(IF(ISERROR('Model inputs'!AB89&gt;=24),'Model inputs'!AB89&gt;=24,IF('Model inputs'!AB89="","",'Model inputs'!AB89&gt;=24))="",FALSE,IF(ISERROR('Model inputs'!AB89&gt;=24),'Model inputs'!AB89&gt;=24,IF('Model inputs'!AB89="","",'Model inputs'!AB89&gt;=24))),IF('Model inputs'!AJ69="","",'Model inputs'!AJ69),IF(IF(IF(ISERROR('Model inputs'!AB89&gt;=18),'Model inputs'!AB89&gt;=18,IF('Model inputs'!AB89="","",'Model inputs'!AB89&gt;=18))="",FALSE,IF(ISERROR('Model inputs'!AB89&gt;=18),'Model inputs'!AB89&gt;=18,IF('Model inputs'!AB89="","",'Model inputs'!AB89&gt;=18))),IF('Model inputs'!AJ68="","",'Model inputs'!AJ68),IF(IF(IF(ISERROR('Model inputs'!AB89&gt;=12),'Model inputs'!AB89&gt;=12,IF('Model inputs'!AB89="","",'Model inputs'!AB89&gt;=12))="",FALSE,IF(ISERROR('Model inputs'!AB89&gt;=12),'Model inputs'!AB89&gt;=12,IF('Model inputs'!AB89="","",'Model inputs'!AB89&gt;=12))),IF('Model inputs'!AJ67="","",'Model inputs'!AJ67),IF(IF(IF(ISERROR('Model inputs'!AB89&gt;=9),'Model inputs'!AB89&gt;=9,IF('Model inputs'!AB89="","",'Model inputs'!AB89&gt;=9))="",FALSE,IF(ISERROR('Model inputs'!AB89&gt;=9),'Model inputs'!AB89&gt;=9,IF('Model inputs'!AB89="","",'Model inputs'!AB89&gt;=9))),IF('Model inputs'!AJ70="","",'Model inputs'!AJ70),0))))</f>
        <v>0</v>
      </c>
      <c r="AC28" s="15">
        <f>IF(IF(IF(ISERROR('Model inputs'!AC89&gt;=24),'Model inputs'!AC89&gt;=24,IF('Model inputs'!AC89="","",'Model inputs'!AC89&gt;=24))="",FALSE,IF(ISERROR('Model inputs'!AC89&gt;=24),'Model inputs'!AC89&gt;=24,IF('Model inputs'!AC89="","",'Model inputs'!AC89&gt;=24))),IF('Model inputs'!AJ69="","",'Model inputs'!AJ69),IF(IF(IF(ISERROR('Model inputs'!AC89&gt;=18),'Model inputs'!AC89&gt;=18,IF('Model inputs'!AC89="","",'Model inputs'!AC89&gt;=18))="",FALSE,IF(ISERROR('Model inputs'!AC89&gt;=18),'Model inputs'!AC89&gt;=18,IF('Model inputs'!AC89="","",'Model inputs'!AC89&gt;=18))),IF('Model inputs'!AJ68="","",'Model inputs'!AJ68),IF(IF(IF(ISERROR('Model inputs'!AC89&gt;=12),'Model inputs'!AC89&gt;=12,IF('Model inputs'!AC89="","",'Model inputs'!AC89&gt;=12))="",FALSE,IF(ISERROR('Model inputs'!AC89&gt;=12),'Model inputs'!AC89&gt;=12,IF('Model inputs'!AC89="","",'Model inputs'!AC89&gt;=12))),IF('Model inputs'!AJ67="","",'Model inputs'!AJ67),IF(IF(IF(ISERROR('Model inputs'!AC89&gt;=9),'Model inputs'!AC89&gt;=9,IF('Model inputs'!AC89="","",'Model inputs'!AC89&gt;=9))="",FALSE,IF(ISERROR('Model inputs'!AC89&gt;=9),'Model inputs'!AC89&gt;=9,IF('Model inputs'!AC89="","",'Model inputs'!AC89&gt;=9))),IF('Model inputs'!AJ70="","",'Model inputs'!AJ70),0))))</f>
        <v>0</v>
      </c>
      <c r="AD28" s="15">
        <f>IF(IF(IF(ISERROR('Model inputs'!AD89&gt;=24),'Model inputs'!AD89&gt;=24,IF('Model inputs'!AD89="","",'Model inputs'!AD89&gt;=24))="",FALSE,IF(ISERROR('Model inputs'!AD89&gt;=24),'Model inputs'!AD89&gt;=24,IF('Model inputs'!AD89="","",'Model inputs'!AD89&gt;=24))),IF('Model inputs'!AJ69="","",'Model inputs'!AJ69),IF(IF(IF(ISERROR('Model inputs'!AD89&gt;=18),'Model inputs'!AD89&gt;=18,IF('Model inputs'!AD89="","",'Model inputs'!AD89&gt;=18))="",FALSE,IF(ISERROR('Model inputs'!AD89&gt;=18),'Model inputs'!AD89&gt;=18,IF('Model inputs'!AD89="","",'Model inputs'!AD89&gt;=18))),IF('Model inputs'!AJ68="","",'Model inputs'!AJ68),IF(IF(IF(ISERROR('Model inputs'!AD89&gt;=12),'Model inputs'!AD89&gt;=12,IF('Model inputs'!AD89="","",'Model inputs'!AD89&gt;=12))="",FALSE,IF(ISERROR('Model inputs'!AD89&gt;=12),'Model inputs'!AD89&gt;=12,IF('Model inputs'!AD89="","",'Model inputs'!AD89&gt;=12))),IF('Model inputs'!AJ67="","",'Model inputs'!AJ67),IF(IF(IF(ISERROR('Model inputs'!AD89&gt;=9),'Model inputs'!AD89&gt;=9,IF('Model inputs'!AD89="","",'Model inputs'!AD89&gt;=9))="",FALSE,IF(ISERROR('Model inputs'!AD89&gt;=9),'Model inputs'!AD89&gt;=9,IF('Model inputs'!AD89="","",'Model inputs'!AD89&gt;=9))),IF('Model inputs'!AJ70="","",'Model inputs'!AJ70),0))))</f>
        <v>0</v>
      </c>
      <c r="AE28" s="15">
        <f>IF(IF(IF(ISERROR('Model inputs'!AE89&gt;=24),'Model inputs'!AE89&gt;=24,IF('Model inputs'!AE89="","",'Model inputs'!AE89&gt;=24))="",FALSE,IF(ISERROR('Model inputs'!AE89&gt;=24),'Model inputs'!AE89&gt;=24,IF('Model inputs'!AE89="","",'Model inputs'!AE89&gt;=24))),IF('Model inputs'!AJ69="","",'Model inputs'!AJ69),IF(IF(IF(ISERROR('Model inputs'!AE89&gt;=18),'Model inputs'!AE89&gt;=18,IF('Model inputs'!AE89="","",'Model inputs'!AE89&gt;=18))="",FALSE,IF(ISERROR('Model inputs'!AE89&gt;=18),'Model inputs'!AE89&gt;=18,IF('Model inputs'!AE89="","",'Model inputs'!AE89&gt;=18))),IF('Model inputs'!AJ68="","",'Model inputs'!AJ68),IF(IF(IF(ISERROR('Model inputs'!AE89&gt;=12),'Model inputs'!AE89&gt;=12,IF('Model inputs'!AE89="","",'Model inputs'!AE89&gt;=12))="",FALSE,IF(ISERROR('Model inputs'!AE89&gt;=12),'Model inputs'!AE89&gt;=12,IF('Model inputs'!AE89="","",'Model inputs'!AE89&gt;=12))),IF('Model inputs'!AJ67="","",'Model inputs'!AJ67),IF(IF(IF(ISERROR('Model inputs'!AE89&gt;=9),'Model inputs'!AE89&gt;=9,IF('Model inputs'!AE89="","",'Model inputs'!AE89&gt;=9))="",FALSE,IF(ISERROR('Model inputs'!AE89&gt;=9),'Model inputs'!AE89&gt;=9,IF('Model inputs'!AE89="","",'Model inputs'!AE89&gt;=9))),IF('Model inputs'!AJ70="","",'Model inputs'!AJ70),0))))</f>
        <v>0</v>
      </c>
      <c r="AF28" s="15">
        <f>IF(IF(IF(ISERROR('Model inputs'!AF89&gt;=24),'Model inputs'!AF89&gt;=24,IF('Model inputs'!AF89="","",'Model inputs'!AF89&gt;=24))="",FALSE,IF(ISERROR('Model inputs'!AF89&gt;=24),'Model inputs'!AF89&gt;=24,IF('Model inputs'!AF89="","",'Model inputs'!AF89&gt;=24))),IF('Model inputs'!AJ69="","",'Model inputs'!AJ69),IF(IF(IF(ISERROR('Model inputs'!AF89&gt;=18),'Model inputs'!AF89&gt;=18,IF('Model inputs'!AF89="","",'Model inputs'!AF89&gt;=18))="",FALSE,IF(ISERROR('Model inputs'!AF89&gt;=18),'Model inputs'!AF89&gt;=18,IF('Model inputs'!AF89="","",'Model inputs'!AF89&gt;=18))),IF('Model inputs'!AJ68="","",'Model inputs'!AJ68),IF(IF(IF(ISERROR('Model inputs'!AF89&gt;=12),'Model inputs'!AF89&gt;=12,IF('Model inputs'!AF89="","",'Model inputs'!AF89&gt;=12))="",FALSE,IF(ISERROR('Model inputs'!AF89&gt;=12),'Model inputs'!AF89&gt;=12,IF('Model inputs'!AF89="","",'Model inputs'!AF89&gt;=12))),IF('Model inputs'!AJ67="","",'Model inputs'!AJ67),IF(IF(IF(ISERROR('Model inputs'!AF89&gt;=9),'Model inputs'!AF89&gt;=9,IF('Model inputs'!AF89="","",'Model inputs'!AF89&gt;=9))="",FALSE,IF(ISERROR('Model inputs'!AF89&gt;=9),'Model inputs'!AF89&gt;=9,IF('Model inputs'!AF89="","",'Model inputs'!AF89&gt;=9))),IF('Model inputs'!AJ70="","",'Model inputs'!AJ70),0))))</f>
        <v>0</v>
      </c>
      <c r="AG28" s="15">
        <f>IF(IF(IF(ISERROR('Model inputs'!AG89&gt;=24),'Model inputs'!AG89&gt;=24,IF('Model inputs'!AG89="","",'Model inputs'!AG89&gt;=24))="",FALSE,IF(ISERROR('Model inputs'!AG89&gt;=24),'Model inputs'!AG89&gt;=24,IF('Model inputs'!AG89="","",'Model inputs'!AG89&gt;=24))),IF('Model inputs'!AJ69="","",'Model inputs'!AJ69),IF(IF(IF(ISERROR('Model inputs'!AG89&gt;=18),'Model inputs'!AG89&gt;=18,IF('Model inputs'!AG89="","",'Model inputs'!AG89&gt;=18))="",FALSE,IF(ISERROR('Model inputs'!AG89&gt;=18),'Model inputs'!AG89&gt;=18,IF('Model inputs'!AG89="","",'Model inputs'!AG89&gt;=18))),IF('Model inputs'!AJ68="","",'Model inputs'!AJ68),IF(IF(IF(ISERROR('Model inputs'!AG89&gt;=12),'Model inputs'!AG89&gt;=12,IF('Model inputs'!AG89="","",'Model inputs'!AG89&gt;=12))="",FALSE,IF(ISERROR('Model inputs'!AG89&gt;=12),'Model inputs'!AG89&gt;=12,IF('Model inputs'!AG89="","",'Model inputs'!AG89&gt;=12))),IF('Model inputs'!AJ67="","",'Model inputs'!AJ67),IF(IF(IF(ISERROR('Model inputs'!AG89&gt;=9),'Model inputs'!AG89&gt;=9,IF('Model inputs'!AG89="","",'Model inputs'!AG89&gt;=9))="",FALSE,IF(ISERROR('Model inputs'!AG89&gt;=9),'Model inputs'!AG89&gt;=9,IF('Model inputs'!AG89="","",'Model inputs'!AG89&gt;=9))),IF('Model inputs'!AJ70="","",'Model inputs'!AJ70),0))))</f>
        <v>0</v>
      </c>
      <c r="AH28" s="15">
        <f>IF(IF(IF(ISERROR('Model inputs'!AH89&gt;=24),'Model inputs'!AH89&gt;=24,IF('Model inputs'!AH89="","",'Model inputs'!AH89&gt;=24))="",FALSE,IF(ISERROR('Model inputs'!AH89&gt;=24),'Model inputs'!AH89&gt;=24,IF('Model inputs'!AH89="","",'Model inputs'!AH89&gt;=24))),IF('Model inputs'!AJ69="","",'Model inputs'!AJ69),IF(IF(IF(ISERROR('Model inputs'!AH89&gt;=18),'Model inputs'!AH89&gt;=18,IF('Model inputs'!AH89="","",'Model inputs'!AH89&gt;=18))="",FALSE,IF(ISERROR('Model inputs'!AH89&gt;=18),'Model inputs'!AH89&gt;=18,IF('Model inputs'!AH89="","",'Model inputs'!AH89&gt;=18))),IF('Model inputs'!AJ68="","",'Model inputs'!AJ68),IF(IF(IF(ISERROR('Model inputs'!AH89&gt;=12),'Model inputs'!AH89&gt;=12,IF('Model inputs'!AH89="","",'Model inputs'!AH89&gt;=12))="",FALSE,IF(ISERROR('Model inputs'!AH89&gt;=12),'Model inputs'!AH89&gt;=12,IF('Model inputs'!AH89="","",'Model inputs'!AH89&gt;=12))),IF('Model inputs'!AJ67="","",'Model inputs'!AJ67),IF(IF(IF(ISERROR('Model inputs'!AH89&gt;=9),'Model inputs'!AH89&gt;=9,IF('Model inputs'!AH89="","",'Model inputs'!AH89&gt;=9))="",FALSE,IF(ISERROR('Model inputs'!AH89&gt;=9),'Model inputs'!AH89&gt;=9,IF('Model inputs'!AH89="","",'Model inputs'!AH89&gt;=9))),IF('Model inputs'!AJ70="","",'Model inputs'!AJ70),0))))</f>
        <v>0</v>
      </c>
      <c r="AI28" s="15">
        <f>IF(IF(IF(ISERROR('Model inputs'!AI89&gt;=24),'Model inputs'!AI89&gt;=24,IF('Model inputs'!AI89="","",'Model inputs'!AI89&gt;=24))="",FALSE,IF(ISERROR('Model inputs'!AI89&gt;=24),'Model inputs'!AI89&gt;=24,IF('Model inputs'!AI89="","",'Model inputs'!AI89&gt;=24))),IF('Model inputs'!AJ69="","",'Model inputs'!AJ69),IF(IF(IF(ISERROR('Model inputs'!AI89&gt;=18),'Model inputs'!AI89&gt;=18,IF('Model inputs'!AI89="","",'Model inputs'!AI89&gt;=18))="",FALSE,IF(ISERROR('Model inputs'!AI89&gt;=18),'Model inputs'!AI89&gt;=18,IF('Model inputs'!AI89="","",'Model inputs'!AI89&gt;=18))),IF('Model inputs'!AJ68="","",'Model inputs'!AJ68),IF(IF(IF(ISERROR('Model inputs'!AI89&gt;=12),'Model inputs'!AI89&gt;=12,IF('Model inputs'!AI89="","",'Model inputs'!AI89&gt;=12))="",FALSE,IF(ISERROR('Model inputs'!AI89&gt;=12),'Model inputs'!AI89&gt;=12,IF('Model inputs'!AI89="","",'Model inputs'!AI89&gt;=12))),IF('Model inputs'!AJ67="","",'Model inputs'!AJ67),IF(IF(IF(ISERROR('Model inputs'!AI89&gt;=9),'Model inputs'!AI89&gt;=9,IF('Model inputs'!AI89="","",'Model inputs'!AI89&gt;=9))="",FALSE,IF(ISERROR('Model inputs'!AI89&gt;=9),'Model inputs'!AI89&gt;=9,IF('Model inputs'!AI89="","",'Model inputs'!AI89&gt;=9))),IF('Model inputs'!AJ70="","",'Model inputs'!AJ70),0))))</f>
        <v>0</v>
      </c>
    </row>
    <row r="29">
      <c r="A29" t="inlineStr" s="14">
        <is>
          <t xml:space="preserve">Haq Ending cash</t>
        </is>
      </c>
      <c r="B29" s="9">
        <f>IF(IF(IF(IF(ISERROR('Model inputs'!B89=1),'Model inputs'!B89=1,IF('Model inputs'!B89="","",'Model inputs'!B89=1))="",FALSE,IF(ISERROR('Model inputs'!B89=1),'Model inputs'!B89=1,IF('Model inputs'!B89="","",'Model inputs'!B89=1))),IF('Model inputs'!AJ86="","",'Model inputs'!AJ86),IF('Model inputs'!AI29="","",'Model inputs'!AI29))="",0,IF(IF(IF(ISERROR('Model inputs'!B89=1),'Model inputs'!B89=1,IF('Model inputs'!B89="","",'Model inputs'!B89=1))="",FALSE,IF(ISERROR('Model inputs'!B89=1),'Model inputs'!B89=1,IF('Model inputs'!B89="","",'Model inputs'!B89=1))),IF('Model inputs'!AJ86="","",'Model inputs'!AJ86),IF('Model inputs'!AI29="","",'Model inputs'!AI29)))+'Model inputs'!B90</f>
        <v>-675000</v>
      </c>
      <c r="C29" s="9">
        <f>IF(IF(IF(IF(ISERROR('Model inputs'!C89=1),'Model inputs'!C89=1,IF('Model inputs'!C89="","",'Model inputs'!C89=1))="",FALSE,IF(ISERROR('Model inputs'!C89=1),'Model inputs'!C89=1,IF('Model inputs'!C89="","",'Model inputs'!C89=1))),IF('Model inputs'!AJ86="","",'Model inputs'!AJ86),IF('Model inputs'!B29="","",'Model inputs'!B29))="",0,IF(IF(IF(ISERROR('Model inputs'!C89=1),'Model inputs'!C89=1,IF('Model inputs'!C89="","",'Model inputs'!C89=1))="",FALSE,IF(ISERROR('Model inputs'!C89=1),'Model inputs'!C89=1,IF('Model inputs'!C89="","",'Model inputs'!C89=1))),IF('Model inputs'!AJ86="","",'Model inputs'!AJ86),IF('Model inputs'!B29="","",'Model inputs'!B29)))+'Model inputs'!C90</f>
        <v>-750000</v>
      </c>
      <c r="D29" s="9">
        <f>IF(IF(IF(IF(ISERROR('Model inputs'!D89=1),'Model inputs'!D89=1,IF('Model inputs'!D89="","",'Model inputs'!D89=1))="",FALSE,IF(ISERROR('Model inputs'!D89=1),'Model inputs'!D89=1,IF('Model inputs'!D89="","",'Model inputs'!D89=1))),IF('Model inputs'!AJ86="","",'Model inputs'!AJ86),IF('Model inputs'!C29="","",'Model inputs'!C29))="",0,IF(IF(IF(ISERROR('Model inputs'!D89=1),'Model inputs'!D89=1,IF('Model inputs'!D89="","",'Model inputs'!D89=1))="",FALSE,IF(ISERROR('Model inputs'!D89=1),'Model inputs'!D89=1,IF('Model inputs'!D89="","",'Model inputs'!D89=1))),IF('Model inputs'!AJ86="","",'Model inputs'!AJ86),IF('Model inputs'!C29="","",'Model inputs'!C29)))+'Model inputs'!D90</f>
        <v>2275000</v>
      </c>
      <c r="E29" s="9">
        <f>IF(IF(IF(IF(ISERROR('Model inputs'!E89=1),'Model inputs'!E89=1,IF('Model inputs'!E89="","",'Model inputs'!E89=1))="",FALSE,IF(ISERROR('Model inputs'!E89=1),'Model inputs'!E89=1,IF('Model inputs'!E89="","",'Model inputs'!E89=1))),IF('Model inputs'!AJ86="","",'Model inputs'!AJ86),IF('Model inputs'!D29="","",'Model inputs'!D29))="",0,IF(IF(IF(ISERROR('Model inputs'!E89=1),'Model inputs'!E89=1,IF('Model inputs'!E89="","",'Model inputs'!E89=1))="",FALSE,IF(ISERROR('Model inputs'!E89=1),'Model inputs'!E89=1,IF('Model inputs'!E89="","",'Model inputs'!E89=1))),IF('Model inputs'!AJ86="","",'Model inputs'!AJ86),IF('Model inputs'!D29="","",'Model inputs'!D29)))+'Model inputs'!E90</f>
        <v>2050000</v>
      </c>
      <c r="F29" s="9">
        <f>IF(IF(IF(IF(ISERROR('Model inputs'!F89=1),'Model inputs'!F89=1,IF('Model inputs'!F89="","",'Model inputs'!F89=1))="",FALSE,IF(ISERROR('Model inputs'!F89=1),'Model inputs'!F89=1,IF('Model inputs'!F89="","",'Model inputs'!F89=1))),IF('Model inputs'!AJ86="","",'Model inputs'!AJ86),IF('Model inputs'!E29="","",'Model inputs'!E29))="",0,IF(IF(IF(ISERROR('Model inputs'!F89=1),'Model inputs'!F89=1,IF('Model inputs'!F89="","",'Model inputs'!F89=1))="",FALSE,IF(ISERROR('Model inputs'!F89=1),'Model inputs'!F89=1,IF('Model inputs'!F89="","",'Model inputs'!F89=1))),IF('Model inputs'!AJ86="","",'Model inputs'!AJ86),IF('Model inputs'!E29="","",'Model inputs'!E29)))+'Model inputs'!F90</f>
        <v>1825000</v>
      </c>
      <c r="G29" s="9">
        <f>IF(IF(IF(IF(ISERROR('Model inputs'!G89=1),'Model inputs'!G89=1,IF('Model inputs'!G89="","",'Model inputs'!G89=1))="",FALSE,IF(ISERROR('Model inputs'!G89=1),'Model inputs'!G89=1,IF('Model inputs'!G89="","",'Model inputs'!G89=1))),IF('Model inputs'!AJ86="","",'Model inputs'!AJ86),IF('Model inputs'!F29="","",'Model inputs'!F29))="",0,IF(IF(IF(ISERROR('Model inputs'!G89=1),'Model inputs'!G89=1,IF('Model inputs'!G89="","",'Model inputs'!G89=1))="",FALSE,IF(ISERROR('Model inputs'!G89=1),'Model inputs'!G89=1,IF('Model inputs'!G89="","",'Model inputs'!G89=1))),IF('Model inputs'!AJ86="","",'Model inputs'!AJ86),IF('Model inputs'!F29="","",'Model inputs'!F29)))+'Model inputs'!G90</f>
        <v>1583411</v>
      </c>
      <c r="H29" s="9">
        <f>IF(IF(IF(IF(ISERROR('Model inputs'!H89=1),'Model inputs'!H89=1,IF('Model inputs'!H89="","",'Model inputs'!H89=1))="",FALSE,IF(ISERROR('Model inputs'!H89=1),'Model inputs'!H89=1,IF('Model inputs'!H89="","",'Model inputs'!H89=1))),IF('Model inputs'!AJ86="","",'Model inputs'!AJ86),IF('Model inputs'!G29="","",'Model inputs'!G29))="",0,IF(IF(IF(ISERROR('Model inputs'!H89=1),'Model inputs'!H89=1,IF('Model inputs'!H89="","",'Model inputs'!H89=1))="",FALSE,IF(ISERROR('Model inputs'!H89=1),'Model inputs'!H89=1,IF('Model inputs'!H89="","",'Model inputs'!H89=1))),IF('Model inputs'!AJ86="","",'Model inputs'!AJ86),IF('Model inputs'!G29="","",'Model inputs'!G29)))+'Model inputs'!H90</f>
        <v>1396833.65</v>
      </c>
      <c r="I29" s="9">
        <f>IF(IF(IF(IF(ISERROR('Model inputs'!I89=1),'Model inputs'!I89=1,IF('Model inputs'!I89="","",'Model inputs'!I89=1))="",FALSE,IF(ISERROR('Model inputs'!I89=1),'Model inputs'!I89=1,IF('Model inputs'!I89="","",'Model inputs'!I89=1))),IF('Model inputs'!AJ86="","",'Model inputs'!AJ86),IF('Model inputs'!H29="","",'Model inputs'!H29))="",0,IF(IF(IF(ISERROR('Model inputs'!I89=1),'Model inputs'!I89=1,IF('Model inputs'!I89="","",'Model inputs'!I89=1))="",FALSE,IF(ISERROR('Model inputs'!I89=1),'Model inputs'!I89=1,IF('Model inputs'!I89="","",'Model inputs'!I89=1))),IF('Model inputs'!AJ86="","",'Model inputs'!AJ86),IF('Model inputs'!H29="","",'Model inputs'!H29)))+'Model inputs'!I90</f>
        <v>1525165.5308333333</v>
      </c>
      <c r="J29" s="9">
        <f>IF(IF(IF(IF(ISERROR('Model inputs'!J89=1),'Model inputs'!J89=1,IF('Model inputs'!J89="","",'Model inputs'!J89=1))="",FALSE,IF(ISERROR('Model inputs'!J89=1),'Model inputs'!J89=1,IF('Model inputs'!J89="","",'Model inputs'!J89=1))),IF('Model inputs'!AJ86="","",'Model inputs'!AJ86),IF('Model inputs'!I29="","",'Model inputs'!I29))="",0,IF(IF(IF(ISERROR('Model inputs'!J89=1),'Model inputs'!J89=1,IF('Model inputs'!J89="","",'Model inputs'!J89=1))="",FALSE,IF(ISERROR('Model inputs'!J89=1),'Model inputs'!J89=1,IF('Model inputs'!J89="","",'Model inputs'!J89=1))),IF('Model inputs'!AJ86="","",'Model inputs'!AJ86),IF('Model inputs'!I29="","",'Model inputs'!I29)))+'Model inputs'!J90</f>
        <v>1170125.3187916665</v>
      </c>
      <c r="K29" s="9">
        <f>IF(IF(IF(IF(ISERROR('Model inputs'!K89=1),'Model inputs'!K89=1,IF('Model inputs'!K89="","",'Model inputs'!K89=1))="",FALSE,IF(ISERROR('Model inputs'!K89=1),'Model inputs'!K89=1,IF('Model inputs'!K89="","",'Model inputs'!K89=1))),IF('Model inputs'!AJ86="","",'Model inputs'!AJ86),IF('Model inputs'!J29="","",'Model inputs'!J29))="",0,IF(IF(IF(ISERROR('Model inputs'!K89=1),'Model inputs'!K89=1,IF('Model inputs'!K89="","",'Model inputs'!K89=1))="",FALSE,IF(ISERROR('Model inputs'!K89=1),'Model inputs'!K89=1,IF('Model inputs'!K89="","",'Model inputs'!K89=1))),IF('Model inputs'!AJ86="","",'Model inputs'!AJ86),IF('Model inputs'!J29="","",'Model inputs'!J29)))+'Model inputs'!K90</f>
        <v>822707.1999437499</v>
      </c>
      <c r="L29" s="9">
        <f>IF(IF(IF(IF(ISERROR('Model inputs'!L89=1),'Model inputs'!L89=1,IF('Model inputs'!L89="","",'Model inputs'!L89=1))="",FALSE,IF(ISERROR('Model inputs'!L89=1),'Model inputs'!L89=1,IF('Model inputs'!L89="","",'Model inputs'!L89=1))),IF('Model inputs'!AJ86="","",'Model inputs'!AJ86),IF('Model inputs'!K29="","",'Model inputs'!K29))="",0,IF(IF(IF(ISERROR('Model inputs'!L89=1),'Model inputs'!L89=1,IF('Model inputs'!L89="","",'Model inputs'!L89=1))="",FALSE,IF(ISERROR('Model inputs'!L89=1),'Model inputs'!L89=1,IF('Model inputs'!L89="","",'Model inputs'!L89=1))),IF('Model inputs'!AJ86="","",'Model inputs'!AJ86),IF('Model inputs'!K29="","",'Model inputs'!K29)))+'Model inputs'!L90</f>
        <v>1334858.6549353122</v>
      </c>
      <c r="M29" s="9">
        <f>IF(IF(IF(IF(ISERROR('Model inputs'!M89=1),'Model inputs'!M89=1,IF('Model inputs'!M89="","",'Model inputs'!M89=1))="",FALSE,IF(ISERROR('Model inputs'!M89=1),'Model inputs'!M89=1,IF('Model inputs'!M89="","",'Model inputs'!M89=1))),IF('Model inputs'!AJ86="","",'Model inputs'!AJ86),IF('Model inputs'!L29="","",'Model inputs'!L29))="",0,IF(IF(IF(ISERROR('Model inputs'!M89=1),'Model inputs'!M89=1,IF('Model inputs'!M89="","",'Model inputs'!M89=1))="",FALSE,IF(ISERROR('Model inputs'!M89=1),'Model inputs'!M89=1,IF('Model inputs'!M89="","",'Model inputs'!M89=1))),IF('Model inputs'!AJ86="","",'Model inputs'!AJ86),IF('Model inputs'!L29="","",'Model inputs'!L29)))+'Model inputs'!M90</f>
        <v>1062603.786550609</v>
      </c>
      <c r="N29" s="9">
        <f>IF(IF(IF(IF(ISERROR('Model inputs'!N89=1),'Model inputs'!N89=1,IF('Model inputs'!N89="","",'Model inputs'!N89=1))="",FALSE,IF(ISERROR('Model inputs'!N89=1),'Model inputs'!N89=1,IF('Model inputs'!N89="","",'Model inputs'!N89=1))),IF('Model inputs'!AJ86="","",'Model inputs'!AJ86),IF('Model inputs'!M29="","",'Model inputs'!M29))="",0,IF(IF(IF(ISERROR('Model inputs'!N89=1),'Model inputs'!N89=1,IF('Model inputs'!N89="","",'Model inputs'!N89=1))="",FALSE,IF(ISERROR('Model inputs'!N89=1),'Model inputs'!N89=1,IF('Model inputs'!N89="","",'Model inputs'!N89=1))),IF('Model inputs'!AJ86="","",'Model inputs'!AJ86),IF('Model inputs'!M29="","",'Model inputs'!M29)))+'Model inputs'!N90</f>
        <v>810268.1879082002</v>
      </c>
      <c r="O29" s="9">
        <f>IF(IF(IF(IF(ISERROR('Model inputs'!O89=1),'Model inputs'!O89=1,IF('Model inputs'!O89="","",'Model inputs'!O89=1))="",FALSE,IF(ISERROR('Model inputs'!O89=1),'Model inputs'!O89=1,IF('Model inputs'!O89="","",'Model inputs'!O89=1))),IF('Model inputs'!AJ86="","",'Model inputs'!AJ86),IF('Model inputs'!N29="","",'Model inputs'!N29))="",0,IF(IF(IF(ISERROR('Model inputs'!O89=1),'Model inputs'!O89=1,IF('Model inputs'!O89="","",'Model inputs'!O89=1))="",FALSE,IF(ISERROR('Model inputs'!O89=1),'Model inputs'!O89=1,IF('Model inputs'!O89="","",'Model inputs'!O89=1))),IF('Model inputs'!AJ86="","",'Model inputs'!AJ86),IF('Model inputs'!N29="","",'Model inputs'!N29)))+'Model inputs'!O90</f>
        <v>1445943.518526722</v>
      </c>
      <c r="P29" s="9">
        <f>IF(IF(IF(IF(ISERROR('Model inputs'!P89=1),'Model inputs'!P89=1,IF('Model inputs'!P89="","",'Model inputs'!P89=1))="",FALSE,IF(ISERROR('Model inputs'!P89=1),'Model inputs'!P89=1,IF('Model inputs'!P89="","",'Model inputs'!P89=1))),IF('Model inputs'!AJ86="","",'Model inputs'!AJ86),IF('Model inputs'!O29="","",'Model inputs'!O29))="",0,IF(IF(IF(ISERROR('Model inputs'!P89=1),'Model inputs'!P89=1,IF('Model inputs'!P89="","",'Model inputs'!P89=1))="",FALSE,IF(ISERROR('Model inputs'!P89=1),'Model inputs'!P89=1,IF('Model inputs'!P89="","",'Model inputs'!P89=1))),IF('Model inputs'!AJ86="","",'Model inputs'!AJ86),IF('Model inputs'!O29="","",'Model inputs'!O29)))+'Model inputs'!P90</f>
        <v>1219982.023738022</v>
      </c>
      <c r="Q29" s="9">
        <f>IF(IF(IF(IF(ISERROR('Model inputs'!Q89=1),'Model inputs'!Q89=1,IF('Model inputs'!Q89="","",'Model inputs'!Q89=1))="",FALSE,IF(ISERROR('Model inputs'!Q89=1),'Model inputs'!Q89=1,IF('Model inputs'!Q89="","",'Model inputs'!Q89=1))),IF('Model inputs'!AJ86="","",'Model inputs'!AJ86),IF('Model inputs'!P29="","",'Model inputs'!P29))="",0,IF(IF(IF(ISERROR('Model inputs'!Q89=1),'Model inputs'!Q89=1,IF('Model inputs'!Q89="","",'Model inputs'!Q89=1))="",FALSE,IF(ISERROR('Model inputs'!Q89=1),'Model inputs'!Q89=1,IF('Model inputs'!Q89="","",'Model inputs'!Q89=1))),IF('Model inputs'!AJ86="","",'Model inputs'!AJ86),IF('Model inputs'!P29="","",'Model inputs'!P29)))+'Model inputs'!Q90</f>
        <v>1015138.1797310169</v>
      </c>
      <c r="R29" s="9">
        <f>IF(IF(IF(IF(ISERROR('Model inputs'!R89=1),'Model inputs'!R89=1,IF('Model inputs'!R89="","",'Model inputs'!R89=1))="",FALSE,IF(ISERROR('Model inputs'!R89=1),'Model inputs'!R89=1,IF('Model inputs'!R89="","",'Model inputs'!R89=1))),IF('Model inputs'!AJ86="","",'Model inputs'!AJ86),IF('Model inputs'!Q29="","",'Model inputs'!Q29))="",0,IF(IF(IF(ISERROR('Model inputs'!R89=1),'Model inputs'!R89=1,IF('Model inputs'!R89="","",'Model inputs'!R89=1))="",FALSE,IF(ISERROR('Model inputs'!R89=1),'Model inputs'!R89=1,IF('Model inputs'!R89="","",'Model inputs'!R89=1))),IF('Model inputs'!AJ86="","",'Model inputs'!AJ86),IF('Model inputs'!Q29="","",'Model inputs'!Q29)))+'Model inputs'!R90</f>
        <v>1216225.4674562942</v>
      </c>
      <c r="S29" s="9">
        <f>IF(IF(IF(IF(ISERROR('Model inputs'!S89=1),'Model inputs'!S89=1,IF('Model inputs'!S89="","",'Model inputs'!S89=1))="",FALSE,IF(ISERROR('Model inputs'!S89=1),'Model inputs'!S89=1,IF('Model inputs'!S89="","",'Model inputs'!S89=1))),IF('Model inputs'!AJ86="","",'Model inputs'!AJ86),IF('Model inputs'!R29="","",'Model inputs'!R29))="",0,IF(IF(IF(ISERROR('Model inputs'!S89=1),'Model inputs'!S89=1,IF('Model inputs'!S89="","",'Model inputs'!S89=1))="",FALSE,IF(ISERROR('Model inputs'!S89=1),'Model inputs'!S89=1,IF('Model inputs'!S89="","",'Model inputs'!S89=1))),IF('Model inputs'!AJ86="","",'Model inputs'!AJ86),IF('Model inputs'!R29="","",'Model inputs'!R29)))+'Model inputs'!S90</f>
        <v>1055240.8483403632</v>
      </c>
      <c r="T29" s="9">
        <f>IF(IF(IF(IF(ISERROR('Model inputs'!T89=1),'Model inputs'!T89=1,IF('Model inputs'!T89="","",'Model inputs'!T89=1))="",FALSE,IF(ISERROR('Model inputs'!T89=1),'Model inputs'!T89=1,IF('Model inputs'!T89="","",'Model inputs'!T89=1))),IF('Model inputs'!AJ86="","",'Model inputs'!AJ86),IF('Model inputs'!S29="","",'Model inputs'!S29))="",0,IF(IF(IF(ISERROR('Model inputs'!T89=1),'Model inputs'!T89=1,IF('Model inputs'!T89="","",'Model inputs'!T89=1))="",FALSE,IF(ISERROR('Model inputs'!T89=1),'Model inputs'!T89=1,IF('Model inputs'!T89="","",'Model inputs'!T89=1))),IF('Model inputs'!AJ86="","",'Model inputs'!AJ86),IF('Model inputs'!S29="","",'Model inputs'!S29)))+'Model inputs'!T90</f>
        <v>926373.5363570427</v>
      </c>
      <c r="U29" s="9">
        <f>IF(IF(IF(IF(ISERROR('Model inputs'!U89=1),'Model inputs'!U89=1,IF('Model inputs'!U89="","",'Model inputs'!U89=1))="",FALSE,IF(ISERROR('Model inputs'!U89=1),'Model inputs'!U89=1,IF('Model inputs'!U89="","",'Model inputs'!U89=1))),IF('Model inputs'!AJ86="","",'Model inputs'!AJ86),IF('Model inputs'!T29="","",'Model inputs'!T29))="",0,IF(IF(IF(ISERROR('Model inputs'!U89=1),'Model inputs'!U89=1,IF('Model inputs'!U89="","",'Model inputs'!U89=1))="",FALSE,IF(ISERROR('Model inputs'!U89=1),'Model inputs'!U89=1,IF('Model inputs'!U89="","",'Model inputs'!U89=1))),IF('Model inputs'!AJ86="","",'Model inputs'!AJ86),IF('Model inputs'!T29="","",'Model inputs'!T29)))+'Model inputs'!U90</f>
        <v>2436074.4609095575</v>
      </c>
      <c r="V29" s="9">
        <f>IF(IF(IF(IF(ISERROR('Model inputs'!V89=1),'Model inputs'!V89=1,IF('Model inputs'!V89="","",'Model inputs'!V89=1))="",FALSE,IF(ISERROR('Model inputs'!V89=1),'Model inputs'!V89=1,IF('Model inputs'!V89="","",'Model inputs'!V89=1))),IF('Model inputs'!AJ86="","",'Model inputs'!AJ86),IF('Model inputs'!U29="","",'Model inputs'!U29))="",0,IF(IF(IF(ISERROR('Model inputs'!V89=1),'Model inputs'!V89=1,IF('Model inputs'!V89="","",'Model inputs'!V89=1))="",FALSE,IF(ISERROR('Model inputs'!V89=1),'Model inputs'!V89=1,IF('Model inputs'!V89="","",'Model inputs'!V89=1))),IF('Model inputs'!AJ86="","",'Model inputs'!AJ86),IF('Model inputs'!U29="","",'Model inputs'!U29)))+'Model inputs'!V90</f>
        <v>2373250.5241449494</v>
      </c>
      <c r="W29" s="9">
        <f>IF(IF(IF(IF(ISERROR('Model inputs'!W89=1),'Model inputs'!W89=1,IF('Model inputs'!W89="","",'Model inputs'!W89=1))="",FALSE,IF(ISERROR('Model inputs'!W89=1),'Model inputs'!W89=1,IF('Model inputs'!W89="","",'Model inputs'!W89=1))),IF('Model inputs'!AJ86="","",'Model inputs'!AJ86),IF('Model inputs'!V29="","",'Model inputs'!V29))="",0,IF(IF(IF(ISERROR('Model inputs'!W89=1),'Model inputs'!W89=1,IF('Model inputs'!W89="","",'Model inputs'!W89=1))="",FALSE,IF(ISERROR('Model inputs'!W89=1),'Model inputs'!W89=1,IF('Model inputs'!W89="","",'Model inputs'!W89=1))),IF('Model inputs'!AJ86="","",'Model inputs'!AJ86),IF('Model inputs'!V29="","",'Model inputs'!V29)))+'Model inputs'!W90</f>
        <v>2359272.99686565</v>
      </c>
      <c r="X29" s="9">
        <f>IF(IF(IF(IF(ISERROR('Model inputs'!X89=1),'Model inputs'!X89=1,IF('Model inputs'!X89="","",'Model inputs'!X89=1))="",FALSE,IF(ISERROR('Model inputs'!X89=1),'Model inputs'!X89=1,IF('Model inputs'!X89="","",'Model inputs'!X89=1))),IF('Model inputs'!AJ86="","",'Model inputs'!AJ86),IF('Model inputs'!W29="","",'Model inputs'!W29))="",0,IF(IF(IF(ISERROR('Model inputs'!X89=1),'Model inputs'!X89=1,IF('Model inputs'!X89="","",'Model inputs'!X89=1))="",FALSE,IF(ISERROR('Model inputs'!X89=1),'Model inputs'!X89=1,IF('Model inputs'!X89="","",'Model inputs'!X89=1))),IF('Model inputs'!AJ86="","",'Model inputs'!AJ86),IF('Model inputs'!W29="","",'Model inputs'!W29)))+'Model inputs'!X90</f>
        <v>3763114.673827789</v>
      </c>
      <c r="Y29" s="9">
        <f>IF(IF(IF(IF(ISERROR('Model inputs'!Y89=1),'Model inputs'!Y89=1,IF('Model inputs'!Y89="","",'Model inputs'!Y89=1))="",FALSE,IF(ISERROR('Model inputs'!Y89=1),'Model inputs'!Y89=1,IF('Model inputs'!Y89="","",'Model inputs'!Y89=1))),IF('Model inputs'!AJ86="","",'Model inputs'!AJ86),IF('Model inputs'!X29="","",'Model inputs'!X29))="",0,IF(IF(IF(ISERROR('Model inputs'!Y89=1),'Model inputs'!Y89=1,IF('Model inputs'!Y89="","",'Model inputs'!Y89=1))="",FALSE,IF(ISERROR('Model inputs'!Y89=1),'Model inputs'!Y89=1,IF('Model inputs'!Y89="","",'Model inputs'!Y89=1))),IF('Model inputs'!AJ86="","",'Model inputs'!AJ86),IF('Model inputs'!X29="","",'Model inputs'!X29)))+'Model inputs'!Y90</f>
        <v>3861555.7273342484</v>
      </c>
      <c r="Z29" s="9">
        <f>IF(IF(IF(IF(ISERROR('Model inputs'!Z89=1),'Model inputs'!Z89=1,IF('Model inputs'!Z89="","",'Model inputs'!Z89=1))="",FALSE,IF(ISERROR('Model inputs'!Z89=1),'Model inputs'!Z89=1,IF('Model inputs'!Z89="","",'Model inputs'!Z89=1))),IF('Model inputs'!AJ86="","",'Model inputs'!AJ86),IF('Model inputs'!Y29="","",'Model inputs'!Y29))="",0,IF(IF(IF(ISERROR('Model inputs'!Z89=1),'Model inputs'!Z89=1,IF('Model inputs'!Z89="","",'Model inputs'!Z89=1))="",FALSE,IF(ISERROR('Model inputs'!Z89=1),'Model inputs'!Z89=1,IF('Model inputs'!Z89="","",'Model inputs'!Z89=1))),IF('Model inputs'!AJ86="","",'Model inputs'!AJ86),IF('Model inputs'!Y29="","",'Model inputs'!Y29)))+'Model inputs'!Z90</f>
        <v>4415931.897200011</v>
      </c>
      <c r="AA29" s="9">
        <f>IF(IF(IF(IF(ISERROR('Model inputs'!AA89=1),'Model inputs'!AA89=1,IF('Model inputs'!AA89="","",'Model inputs'!AA89=1))="",FALSE,IF(ISERROR('Model inputs'!AA89=1),'Model inputs'!AA89=1,IF('Model inputs'!AA89="","",'Model inputs'!AA89=1))),IF('Model inputs'!AJ86="","",'Model inputs'!AJ86),IF('Model inputs'!Z29="","",'Model inputs'!Z29))="",0,IF(IF(IF(ISERROR('Model inputs'!AA89=1),'Model inputs'!AA89=1,IF('Model inputs'!AA89="","",'Model inputs'!AA89=1))="",FALSE,IF(ISERROR('Model inputs'!AA89=1),'Model inputs'!AA89=1,IF('Model inputs'!AA89="","",'Model inputs'!AA89=1))),IF('Model inputs'!AJ86="","",'Model inputs'!AJ86),IF('Model inputs'!Z29="","",'Model inputs'!Z29)))+'Model inputs'!AA90</f>
        <v>6757374.07587897</v>
      </c>
      <c r="AB29" s="9">
        <f>IF(IF(IF(IF(ISERROR('Model inputs'!AB89=1),'Model inputs'!AB89=1,IF('Model inputs'!AB89="","",'Model inputs'!AB89=1))="",FALSE,IF(ISERROR('Model inputs'!AB89=1),'Model inputs'!AB89=1,IF('Model inputs'!AB89="","",'Model inputs'!AB89=1))),IF('Model inputs'!AJ86="","",'Model inputs'!AJ86),"")="",0,IF(IF(IF(ISERROR('Model inputs'!AB89=1),'Model inputs'!AB89=1,IF('Model inputs'!AB89="","",'Model inputs'!AB89=1))="",FALSE,IF(ISERROR('Model inputs'!AB89=1),'Model inputs'!AB89=1,IF('Model inputs'!AB89="","",'Model inputs'!AB89=1))),IF('Model inputs'!AJ86="","",'Model inputs'!AJ86),""))+'Model inputs'!AB90</f>
        <v>-75000</v>
      </c>
      <c r="AC29" s="9">
        <f>IF(IF(IF(IF(ISERROR('Model inputs'!AC89=1),'Model inputs'!AC89=1,IF('Model inputs'!AC89="","",'Model inputs'!AC89=1))="",FALSE,IF(ISERROR('Model inputs'!AC89=1),'Model inputs'!AC89=1,IF('Model inputs'!AC89="","",'Model inputs'!AC89=1))),IF('Model inputs'!AJ86="","",'Model inputs'!AJ86),IF('Model inputs'!AB29="","",'Model inputs'!AB29))="",0,IF(IF(IF(ISERROR('Model inputs'!AC89=1),'Model inputs'!AC89=1,IF('Model inputs'!AC89="","",'Model inputs'!AC89=1))="",FALSE,IF(ISERROR('Model inputs'!AC89=1),'Model inputs'!AC89=1,IF('Model inputs'!AC89="","",'Model inputs'!AC89=1))),IF('Model inputs'!AJ86="","",'Model inputs'!AJ86),IF('Model inputs'!AB29="","",'Model inputs'!AB29)))+'Model inputs'!AC90</f>
        <v>-150000</v>
      </c>
      <c r="AD29" s="9">
        <f>IF(IF(IF(IF(ISERROR('Model inputs'!AD89=1),'Model inputs'!AD89=1,IF('Model inputs'!AD89="","",'Model inputs'!AD89=1))="",FALSE,IF(ISERROR('Model inputs'!AD89=1),'Model inputs'!AD89=1,IF('Model inputs'!AD89="","",'Model inputs'!AD89=1))),IF('Model inputs'!AJ86="","",'Model inputs'!AJ86),IF('Model inputs'!AC29="","",'Model inputs'!AC29))="",0,IF(IF(IF(ISERROR('Model inputs'!AD89=1),'Model inputs'!AD89=1,IF('Model inputs'!AD89="","",'Model inputs'!AD89=1))="",FALSE,IF(ISERROR('Model inputs'!AD89=1),'Model inputs'!AD89=1,IF('Model inputs'!AD89="","",'Model inputs'!AD89=1))),IF('Model inputs'!AJ86="","",'Model inputs'!AJ86),IF('Model inputs'!AC29="","",'Model inputs'!AC29)))+'Model inputs'!AD90</f>
        <v>-225000</v>
      </c>
      <c r="AE29" s="9">
        <f>IF(IF(IF(IF(ISERROR('Model inputs'!AE89=1),'Model inputs'!AE89=1,IF('Model inputs'!AE89="","",'Model inputs'!AE89=1))="",FALSE,IF(ISERROR('Model inputs'!AE89=1),'Model inputs'!AE89=1,IF('Model inputs'!AE89="","",'Model inputs'!AE89=1))),IF('Model inputs'!AJ86="","",'Model inputs'!AJ86),IF('Model inputs'!AD29="","",'Model inputs'!AD29))="",0,IF(IF(IF(ISERROR('Model inputs'!AE89=1),'Model inputs'!AE89=1,IF('Model inputs'!AE89="","",'Model inputs'!AE89=1))="",FALSE,IF(ISERROR('Model inputs'!AE89=1),'Model inputs'!AE89=1,IF('Model inputs'!AE89="","",'Model inputs'!AE89=1))),IF('Model inputs'!AJ86="","",'Model inputs'!AJ86),IF('Model inputs'!AD29="","",'Model inputs'!AD29)))+'Model inputs'!AE90</f>
        <v>-300000</v>
      </c>
      <c r="AF29" s="9">
        <f>IF(IF(IF(IF(ISERROR('Model inputs'!AF89=1),'Model inputs'!AF89=1,IF('Model inputs'!AF89="","",'Model inputs'!AF89=1))="",FALSE,IF(ISERROR('Model inputs'!AF89=1),'Model inputs'!AF89=1,IF('Model inputs'!AF89="","",'Model inputs'!AF89=1))),IF('Model inputs'!AJ86="","",'Model inputs'!AJ86),IF('Model inputs'!AE29="","",'Model inputs'!AE29))="",0,IF(IF(IF(ISERROR('Model inputs'!AF89=1),'Model inputs'!AF89=1,IF('Model inputs'!AF89="","",'Model inputs'!AF89=1))="",FALSE,IF(ISERROR('Model inputs'!AF89=1),'Model inputs'!AF89=1,IF('Model inputs'!AF89="","",'Model inputs'!AF89=1))),IF('Model inputs'!AJ86="","",'Model inputs'!AJ86),IF('Model inputs'!AE29="","",'Model inputs'!AE29)))+'Model inputs'!AF90</f>
        <v>-375000</v>
      </c>
      <c r="AG29" s="9">
        <f>IF(IF(IF(IF(ISERROR('Model inputs'!AG89=1),'Model inputs'!AG89=1,IF('Model inputs'!AG89="","",'Model inputs'!AG89=1))="",FALSE,IF(ISERROR('Model inputs'!AG89=1),'Model inputs'!AG89=1,IF('Model inputs'!AG89="","",'Model inputs'!AG89=1))),IF('Model inputs'!AJ86="","",'Model inputs'!AJ86),IF('Model inputs'!AF29="","",'Model inputs'!AF29))="",0,IF(IF(IF(ISERROR('Model inputs'!AG89=1),'Model inputs'!AG89=1,IF('Model inputs'!AG89="","",'Model inputs'!AG89=1))="",FALSE,IF(ISERROR('Model inputs'!AG89=1),'Model inputs'!AG89=1,IF('Model inputs'!AG89="","",'Model inputs'!AG89=1))),IF('Model inputs'!AJ86="","",'Model inputs'!AJ86),IF('Model inputs'!AF29="","",'Model inputs'!AF29)))+'Model inputs'!AG90</f>
        <v>-450000</v>
      </c>
      <c r="AH29" s="9">
        <f>IF(IF(IF(IF(ISERROR('Model inputs'!AH89=1),'Model inputs'!AH89=1,IF('Model inputs'!AH89="","",'Model inputs'!AH89=1))="",FALSE,IF(ISERROR('Model inputs'!AH89=1),'Model inputs'!AH89=1,IF('Model inputs'!AH89="","",'Model inputs'!AH89=1))),IF('Model inputs'!AJ86="","",'Model inputs'!AJ86),IF('Model inputs'!AG29="","",'Model inputs'!AG29))="",0,IF(IF(IF(ISERROR('Model inputs'!AH89=1),'Model inputs'!AH89=1,IF('Model inputs'!AH89="","",'Model inputs'!AH89=1))="",FALSE,IF(ISERROR('Model inputs'!AH89=1),'Model inputs'!AH89=1,IF('Model inputs'!AH89="","",'Model inputs'!AH89=1))),IF('Model inputs'!AJ86="","",'Model inputs'!AJ86),IF('Model inputs'!AG29="","",'Model inputs'!AG29)))+'Model inputs'!AH90</f>
        <v>-525000</v>
      </c>
      <c r="AI29" s="9">
        <f>IF(IF(IF(IF(ISERROR('Model inputs'!AI89=1),'Model inputs'!AI89=1,IF('Model inputs'!AI89="","",'Model inputs'!AI89=1))="",FALSE,IF(ISERROR('Model inputs'!AI89=1),'Model inputs'!AI89=1,IF('Model inputs'!AI89="","",'Model inputs'!AI89=1))),IF('Model inputs'!AJ86="","",'Model inputs'!AJ86),IF('Model inputs'!AH29="","",'Model inputs'!AH29))="",0,IF(IF(IF(ISERROR('Model inputs'!AI89=1),'Model inputs'!AI89=1,IF('Model inputs'!AI89="","",'Model inputs'!AI89=1))="",FALSE,IF(ISERROR('Model inputs'!AI89=1),'Model inputs'!AI89=1,IF('Model inputs'!AI89="","",'Model inputs'!AI89=1))),IF('Model inputs'!AJ86="","",'Model inputs'!AJ86),IF('Model inputs'!AH29="","",'Model inputs'!AH29)))+'Model inputs'!AI90</f>
        <v>-600000</v>
      </c>
    </row>
    <row r="30">
      <c r="A30" t="inlineStr" s="14">
        <is>
          <t xml:space="preserve">Haq Field lead payroll</t>
        </is>
      </c>
      <c r="B30" s="9">
        <f>IF(IF(IF(ISERROR('Model inputs'!B89&gt;='Model inputs'!AJ73),'Model inputs'!B89&gt;='Model inputs'!AJ73,IF(OR('Model inputs'!B89="",'Model inputs'!AJ73=""),"",'Model inputs'!B89&gt;='Model inputs'!AJ73))="",FALSE,IF(ISERROR('Model inputs'!B89&gt;='Model inputs'!AJ73),'Model inputs'!B89&gt;='Model inputs'!AJ73,IF(OR('Model inputs'!B89="",'Model inputs'!AJ73=""),"",'Model inputs'!B89&gt;='Model inputs'!AJ73))),'Model inputs'!AJ72*'Model inputs'!AJ71,0)</f>
        <v>0</v>
      </c>
      <c r="C30" s="9">
        <f>IF(IF(IF(ISERROR('Model inputs'!C89&gt;='Model inputs'!AJ73),'Model inputs'!C89&gt;='Model inputs'!AJ73,IF(OR('Model inputs'!C89="",'Model inputs'!AJ73=""),"",'Model inputs'!C89&gt;='Model inputs'!AJ73))="",FALSE,IF(ISERROR('Model inputs'!C89&gt;='Model inputs'!AJ73),'Model inputs'!C89&gt;='Model inputs'!AJ73,IF(OR('Model inputs'!C89="",'Model inputs'!AJ73=""),"",'Model inputs'!C89&gt;='Model inputs'!AJ73))),'Model inputs'!AJ72*'Model inputs'!AJ71,0)</f>
        <v>0</v>
      </c>
      <c r="D30" s="9">
        <f>IF(IF(IF(ISERROR('Model inputs'!D89&gt;='Model inputs'!AJ73),'Model inputs'!D89&gt;='Model inputs'!AJ73,IF(OR('Model inputs'!D89="",'Model inputs'!AJ73=""),"",'Model inputs'!D89&gt;='Model inputs'!AJ73))="",FALSE,IF(ISERROR('Model inputs'!D89&gt;='Model inputs'!AJ73),'Model inputs'!D89&gt;='Model inputs'!AJ73,IF(OR('Model inputs'!D89="",'Model inputs'!AJ73=""),"",'Model inputs'!D89&gt;='Model inputs'!AJ73))),'Model inputs'!AJ72*'Model inputs'!AJ71,0)</f>
        <v>0</v>
      </c>
      <c r="E30" s="9">
        <f>IF(IF(IF(ISERROR('Model inputs'!E89&gt;='Model inputs'!AJ73),'Model inputs'!E89&gt;='Model inputs'!AJ73,IF(OR('Model inputs'!E89="",'Model inputs'!AJ73=""),"",'Model inputs'!E89&gt;='Model inputs'!AJ73))="",FALSE,IF(ISERROR('Model inputs'!E89&gt;='Model inputs'!AJ73),'Model inputs'!E89&gt;='Model inputs'!AJ73,IF(OR('Model inputs'!E89="",'Model inputs'!AJ73=""),"",'Model inputs'!E89&gt;='Model inputs'!AJ73))),'Model inputs'!AJ72*'Model inputs'!AJ71,0)</f>
        <v>0</v>
      </c>
      <c r="F30" s="9">
        <f>IF(IF(IF(ISERROR('Model inputs'!F89&gt;='Model inputs'!AJ73),'Model inputs'!F89&gt;='Model inputs'!AJ73,IF(OR('Model inputs'!F89="",'Model inputs'!AJ73=""),"",'Model inputs'!F89&gt;='Model inputs'!AJ73))="",FALSE,IF(ISERROR('Model inputs'!F89&gt;='Model inputs'!AJ73),'Model inputs'!F89&gt;='Model inputs'!AJ73,IF(OR('Model inputs'!F89="",'Model inputs'!AJ73=""),"",'Model inputs'!F89&gt;='Model inputs'!AJ73))),'Model inputs'!AJ72*'Model inputs'!AJ71,0)</f>
        <v>0</v>
      </c>
      <c r="G30" s="9">
        <f>IF(IF(IF(ISERROR('Model inputs'!G89&gt;='Model inputs'!AJ73),'Model inputs'!G89&gt;='Model inputs'!AJ73,IF(OR('Model inputs'!G89="",'Model inputs'!AJ73=""),"",'Model inputs'!G89&gt;='Model inputs'!AJ73))="",FALSE,IF(ISERROR('Model inputs'!G89&gt;='Model inputs'!AJ73),'Model inputs'!G89&gt;='Model inputs'!AJ73,IF(OR('Model inputs'!G89="",'Model inputs'!AJ73=""),"",'Model inputs'!G89&gt;='Model inputs'!AJ73))),'Model inputs'!AJ72*'Model inputs'!AJ71,0)</f>
        <v>0</v>
      </c>
      <c r="H30" s="9">
        <f>IF(IF(IF(ISERROR('Model inputs'!H89&gt;='Model inputs'!AJ73),'Model inputs'!H89&gt;='Model inputs'!AJ73,IF(OR('Model inputs'!H89="",'Model inputs'!AJ73=""),"",'Model inputs'!H89&gt;='Model inputs'!AJ73))="",FALSE,IF(ISERROR('Model inputs'!H89&gt;='Model inputs'!AJ73),'Model inputs'!H89&gt;='Model inputs'!AJ73,IF(OR('Model inputs'!H89="",'Model inputs'!AJ73=""),"",'Model inputs'!H89&gt;='Model inputs'!AJ73))),'Model inputs'!AJ72*'Model inputs'!AJ71,0)</f>
        <v>0</v>
      </c>
      <c r="I30" s="9">
        <f>IF(IF(IF(ISERROR('Model inputs'!I89&gt;='Model inputs'!AJ73),'Model inputs'!I89&gt;='Model inputs'!AJ73,IF(OR('Model inputs'!I89="",'Model inputs'!AJ73=""),"",'Model inputs'!I89&gt;='Model inputs'!AJ73))="",FALSE,IF(ISERROR('Model inputs'!I89&gt;='Model inputs'!AJ73),'Model inputs'!I89&gt;='Model inputs'!AJ73,IF(OR('Model inputs'!I89="",'Model inputs'!AJ73=""),"",'Model inputs'!I89&gt;='Model inputs'!AJ73))),'Model inputs'!AJ72*'Model inputs'!AJ71,0)</f>
        <v>60000</v>
      </c>
      <c r="J30" s="9">
        <f>IF(IF(IF(ISERROR('Model inputs'!J89&gt;='Model inputs'!AJ73),'Model inputs'!J89&gt;='Model inputs'!AJ73,IF(OR('Model inputs'!J89="",'Model inputs'!AJ73=""),"",'Model inputs'!J89&gt;='Model inputs'!AJ73))="",FALSE,IF(ISERROR('Model inputs'!J89&gt;='Model inputs'!AJ73),'Model inputs'!J89&gt;='Model inputs'!AJ73,IF(OR('Model inputs'!J89="",'Model inputs'!AJ73=""),"",'Model inputs'!J89&gt;='Model inputs'!AJ73))),'Model inputs'!AJ72*'Model inputs'!AJ71,0)</f>
        <v>60000</v>
      </c>
      <c r="K30" s="9">
        <f>IF(IF(IF(ISERROR('Model inputs'!K89&gt;='Model inputs'!AJ73),'Model inputs'!K89&gt;='Model inputs'!AJ73,IF(OR('Model inputs'!K89="",'Model inputs'!AJ73=""),"",'Model inputs'!K89&gt;='Model inputs'!AJ73))="",FALSE,IF(ISERROR('Model inputs'!K89&gt;='Model inputs'!AJ73),'Model inputs'!K89&gt;='Model inputs'!AJ73,IF(OR('Model inputs'!K89="",'Model inputs'!AJ73=""),"",'Model inputs'!K89&gt;='Model inputs'!AJ73))),'Model inputs'!AJ72*'Model inputs'!AJ71,0)</f>
        <v>60000</v>
      </c>
      <c r="L30" s="9">
        <f>IF(IF(IF(ISERROR('Model inputs'!L89&gt;='Model inputs'!AJ73),'Model inputs'!L89&gt;='Model inputs'!AJ73,IF(OR('Model inputs'!L89="",'Model inputs'!AJ73=""),"",'Model inputs'!L89&gt;='Model inputs'!AJ73))="",FALSE,IF(ISERROR('Model inputs'!L89&gt;='Model inputs'!AJ73),'Model inputs'!L89&gt;='Model inputs'!AJ73,IF(OR('Model inputs'!L89="",'Model inputs'!AJ73=""),"",'Model inputs'!L89&gt;='Model inputs'!AJ73))),'Model inputs'!AJ72*'Model inputs'!AJ71,0)</f>
        <v>60000</v>
      </c>
      <c r="M30" s="9">
        <f>IF(IF(IF(ISERROR('Model inputs'!M89&gt;='Model inputs'!AJ73),'Model inputs'!M89&gt;='Model inputs'!AJ73,IF(OR('Model inputs'!M89="",'Model inputs'!AJ73=""),"",'Model inputs'!M89&gt;='Model inputs'!AJ73))="",FALSE,IF(ISERROR('Model inputs'!M89&gt;='Model inputs'!AJ73),'Model inputs'!M89&gt;='Model inputs'!AJ73,IF(OR('Model inputs'!M89="",'Model inputs'!AJ73=""),"",'Model inputs'!M89&gt;='Model inputs'!AJ73))),'Model inputs'!AJ72*'Model inputs'!AJ71,0)</f>
        <v>60000</v>
      </c>
      <c r="N30" s="9">
        <f>IF(IF(IF(ISERROR('Model inputs'!N89&gt;='Model inputs'!AJ73),'Model inputs'!N89&gt;='Model inputs'!AJ73,IF(OR('Model inputs'!N89="",'Model inputs'!AJ73=""),"",'Model inputs'!N89&gt;='Model inputs'!AJ73))="",FALSE,IF(ISERROR('Model inputs'!N89&gt;='Model inputs'!AJ73),'Model inputs'!N89&gt;='Model inputs'!AJ73,IF(OR('Model inputs'!N89="",'Model inputs'!AJ73=""),"",'Model inputs'!N89&gt;='Model inputs'!AJ73))),'Model inputs'!AJ72*'Model inputs'!AJ71,0)</f>
        <v>60000</v>
      </c>
      <c r="O30" s="9">
        <f>IF(IF(IF(ISERROR('Model inputs'!O89&gt;='Model inputs'!AJ73),'Model inputs'!O89&gt;='Model inputs'!AJ73,IF(OR('Model inputs'!O89="",'Model inputs'!AJ73=""),"",'Model inputs'!O89&gt;='Model inputs'!AJ73))="",FALSE,IF(ISERROR('Model inputs'!O89&gt;='Model inputs'!AJ73),'Model inputs'!O89&gt;='Model inputs'!AJ73,IF(OR('Model inputs'!O89="",'Model inputs'!AJ73=""),"",'Model inputs'!O89&gt;='Model inputs'!AJ73))),'Model inputs'!AJ72*'Model inputs'!AJ71,0)</f>
        <v>60000</v>
      </c>
      <c r="P30" s="9">
        <f>IF(IF(IF(ISERROR('Model inputs'!P89&gt;='Model inputs'!AJ73),'Model inputs'!P89&gt;='Model inputs'!AJ73,IF(OR('Model inputs'!P89="",'Model inputs'!AJ73=""),"",'Model inputs'!P89&gt;='Model inputs'!AJ73))="",FALSE,IF(ISERROR('Model inputs'!P89&gt;='Model inputs'!AJ73),'Model inputs'!P89&gt;='Model inputs'!AJ73,IF(OR('Model inputs'!P89="",'Model inputs'!AJ73=""),"",'Model inputs'!P89&gt;='Model inputs'!AJ73))),'Model inputs'!AJ72*'Model inputs'!AJ71,0)</f>
        <v>60000</v>
      </c>
      <c r="Q30" s="9">
        <f>IF(IF(IF(ISERROR('Model inputs'!Q89&gt;='Model inputs'!AJ73),'Model inputs'!Q89&gt;='Model inputs'!AJ73,IF(OR('Model inputs'!Q89="",'Model inputs'!AJ73=""),"",'Model inputs'!Q89&gt;='Model inputs'!AJ73))="",FALSE,IF(ISERROR('Model inputs'!Q89&gt;='Model inputs'!AJ73),'Model inputs'!Q89&gt;='Model inputs'!AJ73,IF(OR('Model inputs'!Q89="",'Model inputs'!AJ73=""),"",'Model inputs'!Q89&gt;='Model inputs'!AJ73))),'Model inputs'!AJ72*'Model inputs'!AJ71,0)</f>
        <v>60000</v>
      </c>
      <c r="R30" s="9">
        <f>IF(IF(IF(ISERROR('Model inputs'!R89&gt;='Model inputs'!AJ73),'Model inputs'!R89&gt;='Model inputs'!AJ73,IF(OR('Model inputs'!R89="",'Model inputs'!AJ73=""),"",'Model inputs'!R89&gt;='Model inputs'!AJ73))="",FALSE,IF(ISERROR('Model inputs'!R89&gt;='Model inputs'!AJ73),'Model inputs'!R89&gt;='Model inputs'!AJ73,IF(OR('Model inputs'!R89="",'Model inputs'!AJ73=""),"",'Model inputs'!R89&gt;='Model inputs'!AJ73))),'Model inputs'!AJ72*'Model inputs'!AJ71,0)</f>
        <v>60000</v>
      </c>
      <c r="S30" s="9">
        <f>IF(IF(IF(ISERROR('Model inputs'!S89&gt;='Model inputs'!AJ73),'Model inputs'!S89&gt;='Model inputs'!AJ73,IF(OR('Model inputs'!S89="",'Model inputs'!AJ73=""),"",'Model inputs'!S89&gt;='Model inputs'!AJ73))="",FALSE,IF(ISERROR('Model inputs'!S89&gt;='Model inputs'!AJ73),'Model inputs'!S89&gt;='Model inputs'!AJ73,IF(OR('Model inputs'!S89="",'Model inputs'!AJ73=""),"",'Model inputs'!S89&gt;='Model inputs'!AJ73))),'Model inputs'!AJ72*'Model inputs'!AJ71,0)</f>
        <v>60000</v>
      </c>
      <c r="T30" s="9">
        <f>IF(IF(IF(ISERROR('Model inputs'!T89&gt;='Model inputs'!AJ73),'Model inputs'!T89&gt;='Model inputs'!AJ73,IF(OR('Model inputs'!T89="",'Model inputs'!AJ73=""),"",'Model inputs'!T89&gt;='Model inputs'!AJ73))="",FALSE,IF(ISERROR('Model inputs'!T89&gt;='Model inputs'!AJ73),'Model inputs'!T89&gt;='Model inputs'!AJ73,IF(OR('Model inputs'!T89="",'Model inputs'!AJ73=""),"",'Model inputs'!T89&gt;='Model inputs'!AJ73))),'Model inputs'!AJ72*'Model inputs'!AJ71,0)</f>
        <v>60000</v>
      </c>
      <c r="U30" s="9">
        <f>IF(IF(IF(ISERROR('Model inputs'!U89&gt;='Model inputs'!AJ73),'Model inputs'!U89&gt;='Model inputs'!AJ73,IF(OR('Model inputs'!U89="",'Model inputs'!AJ73=""),"",'Model inputs'!U89&gt;='Model inputs'!AJ73))="",FALSE,IF(ISERROR('Model inputs'!U89&gt;='Model inputs'!AJ73),'Model inputs'!U89&gt;='Model inputs'!AJ73,IF(OR('Model inputs'!U89="",'Model inputs'!AJ73=""),"",'Model inputs'!U89&gt;='Model inputs'!AJ73))),'Model inputs'!AJ72*'Model inputs'!AJ71,0)</f>
        <v>60000</v>
      </c>
      <c r="V30" s="9">
        <f>IF(IF(IF(ISERROR('Model inputs'!V89&gt;='Model inputs'!AJ73),'Model inputs'!V89&gt;='Model inputs'!AJ73,IF(OR('Model inputs'!V89="",'Model inputs'!AJ73=""),"",'Model inputs'!V89&gt;='Model inputs'!AJ73))="",FALSE,IF(ISERROR('Model inputs'!V89&gt;='Model inputs'!AJ73),'Model inputs'!V89&gt;='Model inputs'!AJ73,IF(OR('Model inputs'!V89="",'Model inputs'!AJ73=""),"",'Model inputs'!V89&gt;='Model inputs'!AJ73))),'Model inputs'!AJ72*'Model inputs'!AJ71,0)</f>
        <v>60000</v>
      </c>
      <c r="W30" s="9">
        <f>IF(IF(IF(ISERROR('Model inputs'!W89&gt;='Model inputs'!AJ73),'Model inputs'!W89&gt;='Model inputs'!AJ73,IF(OR('Model inputs'!W89="",'Model inputs'!AJ73=""),"",'Model inputs'!W89&gt;='Model inputs'!AJ73))="",FALSE,IF(ISERROR('Model inputs'!W89&gt;='Model inputs'!AJ73),'Model inputs'!W89&gt;='Model inputs'!AJ73,IF(OR('Model inputs'!W89="",'Model inputs'!AJ73=""),"",'Model inputs'!W89&gt;='Model inputs'!AJ73))),'Model inputs'!AJ72*'Model inputs'!AJ71,0)</f>
        <v>60000</v>
      </c>
      <c r="X30" s="9">
        <f>IF(IF(IF(ISERROR('Model inputs'!X89&gt;='Model inputs'!AJ73),'Model inputs'!X89&gt;='Model inputs'!AJ73,IF(OR('Model inputs'!X89="",'Model inputs'!AJ73=""),"",'Model inputs'!X89&gt;='Model inputs'!AJ73))="",FALSE,IF(ISERROR('Model inputs'!X89&gt;='Model inputs'!AJ73),'Model inputs'!X89&gt;='Model inputs'!AJ73,IF(OR('Model inputs'!X89="",'Model inputs'!AJ73=""),"",'Model inputs'!X89&gt;='Model inputs'!AJ73))),'Model inputs'!AJ72*'Model inputs'!AJ71,0)</f>
        <v>60000</v>
      </c>
      <c r="Y30" s="9">
        <f>IF(IF(IF(ISERROR('Model inputs'!Y89&gt;='Model inputs'!AJ73),'Model inputs'!Y89&gt;='Model inputs'!AJ73,IF(OR('Model inputs'!Y89="",'Model inputs'!AJ73=""),"",'Model inputs'!Y89&gt;='Model inputs'!AJ73))="",FALSE,IF(ISERROR('Model inputs'!Y89&gt;='Model inputs'!AJ73),'Model inputs'!Y89&gt;='Model inputs'!AJ73,IF(OR('Model inputs'!Y89="",'Model inputs'!AJ73=""),"",'Model inputs'!Y89&gt;='Model inputs'!AJ73))),'Model inputs'!AJ72*'Model inputs'!AJ71,0)</f>
        <v>60000</v>
      </c>
      <c r="Z30" s="9">
        <f>IF(IF(IF(ISERROR('Model inputs'!Z89&gt;='Model inputs'!AJ73),'Model inputs'!Z89&gt;='Model inputs'!AJ73,IF(OR('Model inputs'!Z89="",'Model inputs'!AJ73=""),"",'Model inputs'!Z89&gt;='Model inputs'!AJ73))="",FALSE,IF(ISERROR('Model inputs'!Z89&gt;='Model inputs'!AJ73),'Model inputs'!Z89&gt;='Model inputs'!AJ73,IF(OR('Model inputs'!Z89="",'Model inputs'!AJ73=""),"",'Model inputs'!Z89&gt;='Model inputs'!AJ73))),'Model inputs'!AJ72*'Model inputs'!AJ71,0)</f>
        <v>60000</v>
      </c>
      <c r="AA30" s="9">
        <f>IF(IF(IF(ISERROR('Model inputs'!AA89&gt;='Model inputs'!AJ73),'Model inputs'!AA89&gt;='Model inputs'!AJ73,IF(OR('Model inputs'!AA89="",'Model inputs'!AJ73=""),"",'Model inputs'!AA89&gt;='Model inputs'!AJ73))="",FALSE,IF(ISERROR('Model inputs'!AA89&gt;='Model inputs'!AJ73),'Model inputs'!AA89&gt;='Model inputs'!AJ73,IF(OR('Model inputs'!AA89="",'Model inputs'!AJ73=""),"",'Model inputs'!AA89&gt;='Model inputs'!AJ73))),'Model inputs'!AJ72*'Model inputs'!AJ71,0)</f>
        <v>60000</v>
      </c>
      <c r="AB30" s="9">
        <f>IF(IF(IF(ISERROR('Model inputs'!AB89&gt;='Model inputs'!AJ73),'Model inputs'!AB89&gt;='Model inputs'!AJ73,IF(OR('Model inputs'!AB89="",'Model inputs'!AJ73=""),"",'Model inputs'!AB89&gt;='Model inputs'!AJ73))="",FALSE,IF(ISERROR('Model inputs'!AB89&gt;='Model inputs'!AJ73),'Model inputs'!AB89&gt;='Model inputs'!AJ73,IF(OR('Model inputs'!AB89="",'Model inputs'!AJ73=""),"",'Model inputs'!AB89&gt;='Model inputs'!AJ73))),'Model inputs'!AJ72*'Model inputs'!AJ71,0)</f>
        <v>0</v>
      </c>
      <c r="AC30" s="9">
        <f>IF(IF(IF(ISERROR('Model inputs'!AC89&gt;='Model inputs'!AJ73),'Model inputs'!AC89&gt;='Model inputs'!AJ73,IF(OR('Model inputs'!AC89="",'Model inputs'!AJ73=""),"",'Model inputs'!AC89&gt;='Model inputs'!AJ73))="",FALSE,IF(ISERROR('Model inputs'!AC89&gt;='Model inputs'!AJ73),'Model inputs'!AC89&gt;='Model inputs'!AJ73,IF(OR('Model inputs'!AC89="",'Model inputs'!AJ73=""),"",'Model inputs'!AC89&gt;='Model inputs'!AJ73))),'Model inputs'!AJ72*'Model inputs'!AJ71,0)</f>
        <v>0</v>
      </c>
      <c r="AD30" s="9">
        <f>IF(IF(IF(ISERROR('Model inputs'!AD89&gt;='Model inputs'!AJ73),'Model inputs'!AD89&gt;='Model inputs'!AJ73,IF(OR('Model inputs'!AD89="",'Model inputs'!AJ73=""),"",'Model inputs'!AD89&gt;='Model inputs'!AJ73))="",FALSE,IF(ISERROR('Model inputs'!AD89&gt;='Model inputs'!AJ73),'Model inputs'!AD89&gt;='Model inputs'!AJ73,IF(OR('Model inputs'!AD89="",'Model inputs'!AJ73=""),"",'Model inputs'!AD89&gt;='Model inputs'!AJ73))),'Model inputs'!AJ72*'Model inputs'!AJ71,0)</f>
        <v>0</v>
      </c>
      <c r="AE30" s="9">
        <f>IF(IF(IF(ISERROR('Model inputs'!AE89&gt;='Model inputs'!AJ73),'Model inputs'!AE89&gt;='Model inputs'!AJ73,IF(OR('Model inputs'!AE89="",'Model inputs'!AJ73=""),"",'Model inputs'!AE89&gt;='Model inputs'!AJ73))="",FALSE,IF(ISERROR('Model inputs'!AE89&gt;='Model inputs'!AJ73),'Model inputs'!AE89&gt;='Model inputs'!AJ73,IF(OR('Model inputs'!AE89="",'Model inputs'!AJ73=""),"",'Model inputs'!AE89&gt;='Model inputs'!AJ73))),'Model inputs'!AJ72*'Model inputs'!AJ71,0)</f>
        <v>0</v>
      </c>
      <c r="AF30" s="9">
        <f>IF(IF(IF(ISERROR('Model inputs'!AF89&gt;='Model inputs'!AJ73),'Model inputs'!AF89&gt;='Model inputs'!AJ73,IF(OR('Model inputs'!AF89="",'Model inputs'!AJ73=""),"",'Model inputs'!AF89&gt;='Model inputs'!AJ73))="",FALSE,IF(ISERROR('Model inputs'!AF89&gt;='Model inputs'!AJ73),'Model inputs'!AF89&gt;='Model inputs'!AJ73,IF(OR('Model inputs'!AF89="",'Model inputs'!AJ73=""),"",'Model inputs'!AF89&gt;='Model inputs'!AJ73))),'Model inputs'!AJ72*'Model inputs'!AJ71,0)</f>
        <v>0</v>
      </c>
      <c r="AG30" s="9">
        <f>IF(IF(IF(ISERROR('Model inputs'!AG89&gt;='Model inputs'!AJ73),'Model inputs'!AG89&gt;='Model inputs'!AJ73,IF(OR('Model inputs'!AG89="",'Model inputs'!AJ73=""),"",'Model inputs'!AG89&gt;='Model inputs'!AJ73))="",FALSE,IF(ISERROR('Model inputs'!AG89&gt;='Model inputs'!AJ73),'Model inputs'!AG89&gt;='Model inputs'!AJ73,IF(OR('Model inputs'!AG89="",'Model inputs'!AJ73=""),"",'Model inputs'!AG89&gt;='Model inputs'!AJ73))),'Model inputs'!AJ72*'Model inputs'!AJ71,0)</f>
        <v>0</v>
      </c>
      <c r="AH30" s="9">
        <f>IF(IF(IF(ISERROR('Model inputs'!AH89&gt;='Model inputs'!AJ73),'Model inputs'!AH89&gt;='Model inputs'!AJ73,IF(OR('Model inputs'!AH89="",'Model inputs'!AJ73=""),"",'Model inputs'!AH89&gt;='Model inputs'!AJ73))="",FALSE,IF(ISERROR('Model inputs'!AH89&gt;='Model inputs'!AJ73),'Model inputs'!AH89&gt;='Model inputs'!AJ73,IF(OR('Model inputs'!AH89="",'Model inputs'!AJ73=""),"",'Model inputs'!AH89&gt;='Model inputs'!AJ73))),'Model inputs'!AJ72*'Model inputs'!AJ71,0)</f>
        <v>0</v>
      </c>
      <c r="AI30" s="9">
        <f>IF(IF(IF(ISERROR('Model inputs'!AI89&gt;='Model inputs'!AJ73),'Model inputs'!AI89&gt;='Model inputs'!AJ73,IF(OR('Model inputs'!AI89="",'Model inputs'!AJ73=""),"",'Model inputs'!AI89&gt;='Model inputs'!AJ73))="",FALSE,IF(ISERROR('Model inputs'!AI89&gt;='Model inputs'!AJ73),'Model inputs'!AI89&gt;='Model inputs'!AJ73,IF(OR('Model inputs'!AI89="",'Model inputs'!AJ73=""),"",'Model inputs'!AI89&gt;='Model inputs'!AJ73))),'Model inputs'!AJ72*'Model inputs'!AJ71,0)</f>
        <v>0</v>
      </c>
    </row>
    <row r="31">
      <c r="A31" t="inlineStr" s="14">
        <is>
          <t xml:space="preserve">Haq Founder payroll</t>
        </is>
      </c>
      <c r="B31" s="9">
        <f>IF(IF(IF(ISERROR('Model inputs'!B89&gt;='Model inputs'!AJ76),'Model inputs'!B89&gt;='Model inputs'!AJ76,IF(OR('Model inputs'!B89="",'Model inputs'!AJ76=""),"",'Model inputs'!B89&gt;='Model inputs'!AJ76))="",FALSE,IF(ISERROR('Model inputs'!B89&gt;='Model inputs'!AJ76),'Model inputs'!B89&gt;='Model inputs'!AJ76,IF(OR('Model inputs'!B89="",'Model inputs'!AJ76=""),"",'Model inputs'!B89&gt;='Model inputs'!AJ76))),'Model inputs'!AJ75*'Model inputs'!AJ74,0)</f>
        <v>0</v>
      </c>
      <c r="C31" s="9">
        <f>IF(IF(IF(ISERROR('Model inputs'!C89&gt;='Model inputs'!AJ76),'Model inputs'!C89&gt;='Model inputs'!AJ76,IF(OR('Model inputs'!C89="",'Model inputs'!AJ76=""),"",'Model inputs'!C89&gt;='Model inputs'!AJ76))="",FALSE,IF(ISERROR('Model inputs'!C89&gt;='Model inputs'!AJ76),'Model inputs'!C89&gt;='Model inputs'!AJ76,IF(OR('Model inputs'!C89="",'Model inputs'!AJ76=""),"",'Model inputs'!C89&gt;='Model inputs'!AJ76))),'Model inputs'!AJ75*'Model inputs'!AJ74,0)</f>
        <v>0</v>
      </c>
      <c r="D31" s="9">
        <f>IF(IF(IF(ISERROR('Model inputs'!D89&gt;='Model inputs'!AJ76),'Model inputs'!D89&gt;='Model inputs'!AJ76,IF(OR('Model inputs'!D89="",'Model inputs'!AJ76=""),"",'Model inputs'!D89&gt;='Model inputs'!AJ76))="",FALSE,IF(ISERROR('Model inputs'!D89&gt;='Model inputs'!AJ76),'Model inputs'!D89&gt;='Model inputs'!AJ76,IF(OR('Model inputs'!D89="",'Model inputs'!AJ76=""),"",'Model inputs'!D89&gt;='Model inputs'!AJ76))),'Model inputs'!AJ75*'Model inputs'!AJ74,0)</f>
        <v>0</v>
      </c>
      <c r="E31" s="9">
        <f>IF(IF(IF(ISERROR('Model inputs'!E89&gt;='Model inputs'!AJ76),'Model inputs'!E89&gt;='Model inputs'!AJ76,IF(OR('Model inputs'!E89="",'Model inputs'!AJ76=""),"",'Model inputs'!E89&gt;='Model inputs'!AJ76))="",FALSE,IF(ISERROR('Model inputs'!E89&gt;='Model inputs'!AJ76),'Model inputs'!E89&gt;='Model inputs'!AJ76,IF(OR('Model inputs'!E89="",'Model inputs'!AJ76=""),"",'Model inputs'!E89&gt;='Model inputs'!AJ76))),'Model inputs'!AJ75*'Model inputs'!AJ74,0)</f>
        <v>0</v>
      </c>
      <c r="F31" s="9">
        <f>IF(IF(IF(ISERROR('Model inputs'!F89&gt;='Model inputs'!AJ76),'Model inputs'!F89&gt;='Model inputs'!AJ76,IF(OR('Model inputs'!F89="",'Model inputs'!AJ76=""),"",'Model inputs'!F89&gt;='Model inputs'!AJ76))="",FALSE,IF(ISERROR('Model inputs'!F89&gt;='Model inputs'!AJ76),'Model inputs'!F89&gt;='Model inputs'!AJ76,IF(OR('Model inputs'!F89="",'Model inputs'!AJ76=""),"",'Model inputs'!F89&gt;='Model inputs'!AJ76))),'Model inputs'!AJ75*'Model inputs'!AJ74,0)</f>
        <v>0</v>
      </c>
      <c r="G31" s="9">
        <f>IF(IF(IF(ISERROR('Model inputs'!G89&gt;='Model inputs'!AJ76),'Model inputs'!G89&gt;='Model inputs'!AJ76,IF(OR('Model inputs'!G89="",'Model inputs'!AJ76=""),"",'Model inputs'!G89&gt;='Model inputs'!AJ76))="",FALSE,IF(ISERROR('Model inputs'!G89&gt;='Model inputs'!AJ76),'Model inputs'!G89&gt;='Model inputs'!AJ76,IF(OR('Model inputs'!G89="",'Model inputs'!AJ76=""),"",'Model inputs'!G89&gt;='Model inputs'!AJ76))),'Model inputs'!AJ75*'Model inputs'!AJ74,0)</f>
        <v>0</v>
      </c>
      <c r="H31" s="9">
        <f>IF(IF(IF(ISERROR('Model inputs'!H89&gt;='Model inputs'!AJ76),'Model inputs'!H89&gt;='Model inputs'!AJ76,IF(OR('Model inputs'!H89="",'Model inputs'!AJ76=""),"",'Model inputs'!H89&gt;='Model inputs'!AJ76))="",FALSE,IF(ISERROR('Model inputs'!H89&gt;='Model inputs'!AJ76),'Model inputs'!H89&gt;='Model inputs'!AJ76,IF(OR('Model inputs'!H89="",'Model inputs'!AJ76=""),"",'Model inputs'!H89&gt;='Model inputs'!AJ76))),'Model inputs'!AJ75*'Model inputs'!AJ74,0)</f>
        <v>0</v>
      </c>
      <c r="I31" s="9">
        <f>IF(IF(IF(ISERROR('Model inputs'!I89&gt;='Model inputs'!AJ76),'Model inputs'!I89&gt;='Model inputs'!AJ76,IF(OR('Model inputs'!I89="",'Model inputs'!AJ76=""),"",'Model inputs'!I89&gt;='Model inputs'!AJ76))="",FALSE,IF(ISERROR('Model inputs'!I89&gt;='Model inputs'!AJ76),'Model inputs'!I89&gt;='Model inputs'!AJ76,IF(OR('Model inputs'!I89="",'Model inputs'!AJ76=""),"",'Model inputs'!I89&gt;='Model inputs'!AJ76))),'Model inputs'!AJ75*'Model inputs'!AJ74,0)</f>
        <v>0</v>
      </c>
      <c r="J31" s="9">
        <f>IF(IF(IF(ISERROR('Model inputs'!J89&gt;='Model inputs'!AJ76),'Model inputs'!J89&gt;='Model inputs'!AJ76,IF(OR('Model inputs'!J89="",'Model inputs'!AJ76=""),"",'Model inputs'!J89&gt;='Model inputs'!AJ76))="",FALSE,IF(ISERROR('Model inputs'!J89&gt;='Model inputs'!AJ76),'Model inputs'!J89&gt;='Model inputs'!AJ76,IF(OR('Model inputs'!J89="",'Model inputs'!AJ76=""),"",'Model inputs'!J89&gt;='Model inputs'!AJ76))),'Model inputs'!AJ75*'Model inputs'!AJ74,0)</f>
        <v>100000</v>
      </c>
      <c r="K31" s="9">
        <f>IF(IF(IF(ISERROR('Model inputs'!K89&gt;='Model inputs'!AJ76),'Model inputs'!K89&gt;='Model inputs'!AJ76,IF(OR('Model inputs'!K89="",'Model inputs'!AJ76=""),"",'Model inputs'!K89&gt;='Model inputs'!AJ76))="",FALSE,IF(ISERROR('Model inputs'!K89&gt;='Model inputs'!AJ76),'Model inputs'!K89&gt;='Model inputs'!AJ76,IF(OR('Model inputs'!K89="",'Model inputs'!AJ76=""),"",'Model inputs'!K89&gt;='Model inputs'!AJ76))),'Model inputs'!AJ75*'Model inputs'!AJ74,0)</f>
        <v>100000</v>
      </c>
      <c r="L31" s="9">
        <f>IF(IF(IF(ISERROR('Model inputs'!L89&gt;='Model inputs'!AJ76),'Model inputs'!L89&gt;='Model inputs'!AJ76,IF(OR('Model inputs'!L89="",'Model inputs'!AJ76=""),"",'Model inputs'!L89&gt;='Model inputs'!AJ76))="",FALSE,IF(ISERROR('Model inputs'!L89&gt;='Model inputs'!AJ76),'Model inputs'!L89&gt;='Model inputs'!AJ76,IF(OR('Model inputs'!L89="",'Model inputs'!AJ76=""),"",'Model inputs'!L89&gt;='Model inputs'!AJ76))),'Model inputs'!AJ75*'Model inputs'!AJ74,0)</f>
        <v>100000</v>
      </c>
      <c r="M31" s="9">
        <f>IF(IF(IF(ISERROR('Model inputs'!M89&gt;='Model inputs'!AJ76),'Model inputs'!M89&gt;='Model inputs'!AJ76,IF(OR('Model inputs'!M89="",'Model inputs'!AJ76=""),"",'Model inputs'!M89&gt;='Model inputs'!AJ76))="",FALSE,IF(ISERROR('Model inputs'!M89&gt;='Model inputs'!AJ76),'Model inputs'!M89&gt;='Model inputs'!AJ76,IF(OR('Model inputs'!M89="",'Model inputs'!AJ76=""),"",'Model inputs'!M89&gt;='Model inputs'!AJ76))),'Model inputs'!AJ75*'Model inputs'!AJ74,0)</f>
        <v>100000</v>
      </c>
      <c r="N31" s="9">
        <f>IF(IF(IF(ISERROR('Model inputs'!N89&gt;='Model inputs'!AJ76),'Model inputs'!N89&gt;='Model inputs'!AJ76,IF(OR('Model inputs'!N89="",'Model inputs'!AJ76=""),"",'Model inputs'!N89&gt;='Model inputs'!AJ76))="",FALSE,IF(ISERROR('Model inputs'!N89&gt;='Model inputs'!AJ76),'Model inputs'!N89&gt;='Model inputs'!AJ76,IF(OR('Model inputs'!N89="",'Model inputs'!AJ76=""),"",'Model inputs'!N89&gt;='Model inputs'!AJ76))),'Model inputs'!AJ75*'Model inputs'!AJ74,0)</f>
        <v>100000</v>
      </c>
      <c r="O31" s="9">
        <f>IF(IF(IF(ISERROR('Model inputs'!O89&gt;='Model inputs'!AJ76),'Model inputs'!O89&gt;='Model inputs'!AJ76,IF(OR('Model inputs'!O89="",'Model inputs'!AJ76=""),"",'Model inputs'!O89&gt;='Model inputs'!AJ76))="",FALSE,IF(ISERROR('Model inputs'!O89&gt;='Model inputs'!AJ76),'Model inputs'!O89&gt;='Model inputs'!AJ76,IF(OR('Model inputs'!O89="",'Model inputs'!AJ76=""),"",'Model inputs'!O89&gt;='Model inputs'!AJ76))),'Model inputs'!AJ75*'Model inputs'!AJ74,0)</f>
        <v>100000</v>
      </c>
      <c r="P31" s="9">
        <f>IF(IF(IF(ISERROR('Model inputs'!P89&gt;='Model inputs'!AJ76),'Model inputs'!P89&gt;='Model inputs'!AJ76,IF(OR('Model inputs'!P89="",'Model inputs'!AJ76=""),"",'Model inputs'!P89&gt;='Model inputs'!AJ76))="",FALSE,IF(ISERROR('Model inputs'!P89&gt;='Model inputs'!AJ76),'Model inputs'!P89&gt;='Model inputs'!AJ76,IF(OR('Model inputs'!P89="",'Model inputs'!AJ76=""),"",'Model inputs'!P89&gt;='Model inputs'!AJ76))),'Model inputs'!AJ75*'Model inputs'!AJ74,0)</f>
        <v>100000</v>
      </c>
      <c r="Q31" s="9">
        <f>IF(IF(IF(ISERROR('Model inputs'!Q89&gt;='Model inputs'!AJ76),'Model inputs'!Q89&gt;='Model inputs'!AJ76,IF(OR('Model inputs'!Q89="",'Model inputs'!AJ76=""),"",'Model inputs'!Q89&gt;='Model inputs'!AJ76))="",FALSE,IF(ISERROR('Model inputs'!Q89&gt;='Model inputs'!AJ76),'Model inputs'!Q89&gt;='Model inputs'!AJ76,IF(OR('Model inputs'!Q89="",'Model inputs'!AJ76=""),"",'Model inputs'!Q89&gt;='Model inputs'!AJ76))),'Model inputs'!AJ75*'Model inputs'!AJ74,0)</f>
        <v>100000</v>
      </c>
      <c r="R31" s="9">
        <f>IF(IF(IF(ISERROR('Model inputs'!R89&gt;='Model inputs'!AJ76),'Model inputs'!R89&gt;='Model inputs'!AJ76,IF(OR('Model inputs'!R89="",'Model inputs'!AJ76=""),"",'Model inputs'!R89&gt;='Model inputs'!AJ76))="",FALSE,IF(ISERROR('Model inputs'!R89&gt;='Model inputs'!AJ76),'Model inputs'!R89&gt;='Model inputs'!AJ76,IF(OR('Model inputs'!R89="",'Model inputs'!AJ76=""),"",'Model inputs'!R89&gt;='Model inputs'!AJ76))),'Model inputs'!AJ75*'Model inputs'!AJ74,0)</f>
        <v>100000</v>
      </c>
      <c r="S31" s="9">
        <f>IF(IF(IF(ISERROR('Model inputs'!S89&gt;='Model inputs'!AJ76),'Model inputs'!S89&gt;='Model inputs'!AJ76,IF(OR('Model inputs'!S89="",'Model inputs'!AJ76=""),"",'Model inputs'!S89&gt;='Model inputs'!AJ76))="",FALSE,IF(ISERROR('Model inputs'!S89&gt;='Model inputs'!AJ76),'Model inputs'!S89&gt;='Model inputs'!AJ76,IF(OR('Model inputs'!S89="",'Model inputs'!AJ76=""),"",'Model inputs'!S89&gt;='Model inputs'!AJ76))),'Model inputs'!AJ75*'Model inputs'!AJ74,0)</f>
        <v>100000</v>
      </c>
      <c r="T31" s="9">
        <f>IF(IF(IF(ISERROR('Model inputs'!T89&gt;='Model inputs'!AJ76),'Model inputs'!T89&gt;='Model inputs'!AJ76,IF(OR('Model inputs'!T89="",'Model inputs'!AJ76=""),"",'Model inputs'!T89&gt;='Model inputs'!AJ76))="",FALSE,IF(ISERROR('Model inputs'!T89&gt;='Model inputs'!AJ76),'Model inputs'!T89&gt;='Model inputs'!AJ76,IF(OR('Model inputs'!T89="",'Model inputs'!AJ76=""),"",'Model inputs'!T89&gt;='Model inputs'!AJ76))),'Model inputs'!AJ75*'Model inputs'!AJ74,0)</f>
        <v>100000</v>
      </c>
      <c r="U31" s="9">
        <f>IF(IF(IF(ISERROR('Model inputs'!U89&gt;='Model inputs'!AJ76),'Model inputs'!U89&gt;='Model inputs'!AJ76,IF(OR('Model inputs'!U89="",'Model inputs'!AJ76=""),"",'Model inputs'!U89&gt;='Model inputs'!AJ76))="",FALSE,IF(ISERROR('Model inputs'!U89&gt;='Model inputs'!AJ76),'Model inputs'!U89&gt;='Model inputs'!AJ76,IF(OR('Model inputs'!U89="",'Model inputs'!AJ76=""),"",'Model inputs'!U89&gt;='Model inputs'!AJ76))),'Model inputs'!AJ75*'Model inputs'!AJ74,0)</f>
        <v>100000</v>
      </c>
      <c r="V31" s="9">
        <f>IF(IF(IF(ISERROR('Model inputs'!V89&gt;='Model inputs'!AJ76),'Model inputs'!V89&gt;='Model inputs'!AJ76,IF(OR('Model inputs'!V89="",'Model inputs'!AJ76=""),"",'Model inputs'!V89&gt;='Model inputs'!AJ76))="",FALSE,IF(ISERROR('Model inputs'!V89&gt;='Model inputs'!AJ76),'Model inputs'!V89&gt;='Model inputs'!AJ76,IF(OR('Model inputs'!V89="",'Model inputs'!AJ76=""),"",'Model inputs'!V89&gt;='Model inputs'!AJ76))),'Model inputs'!AJ75*'Model inputs'!AJ74,0)</f>
        <v>100000</v>
      </c>
      <c r="W31" s="9">
        <f>IF(IF(IF(ISERROR('Model inputs'!W89&gt;='Model inputs'!AJ76),'Model inputs'!W89&gt;='Model inputs'!AJ76,IF(OR('Model inputs'!W89="",'Model inputs'!AJ76=""),"",'Model inputs'!W89&gt;='Model inputs'!AJ76))="",FALSE,IF(ISERROR('Model inputs'!W89&gt;='Model inputs'!AJ76),'Model inputs'!W89&gt;='Model inputs'!AJ76,IF(OR('Model inputs'!W89="",'Model inputs'!AJ76=""),"",'Model inputs'!W89&gt;='Model inputs'!AJ76))),'Model inputs'!AJ75*'Model inputs'!AJ74,0)</f>
        <v>100000</v>
      </c>
      <c r="X31" s="9">
        <f>IF(IF(IF(ISERROR('Model inputs'!X89&gt;='Model inputs'!AJ76),'Model inputs'!X89&gt;='Model inputs'!AJ76,IF(OR('Model inputs'!X89="",'Model inputs'!AJ76=""),"",'Model inputs'!X89&gt;='Model inputs'!AJ76))="",FALSE,IF(ISERROR('Model inputs'!X89&gt;='Model inputs'!AJ76),'Model inputs'!X89&gt;='Model inputs'!AJ76,IF(OR('Model inputs'!X89="",'Model inputs'!AJ76=""),"",'Model inputs'!X89&gt;='Model inputs'!AJ76))),'Model inputs'!AJ75*'Model inputs'!AJ74,0)</f>
        <v>100000</v>
      </c>
      <c r="Y31" s="9">
        <f>IF(IF(IF(ISERROR('Model inputs'!Y89&gt;='Model inputs'!AJ76),'Model inputs'!Y89&gt;='Model inputs'!AJ76,IF(OR('Model inputs'!Y89="",'Model inputs'!AJ76=""),"",'Model inputs'!Y89&gt;='Model inputs'!AJ76))="",FALSE,IF(ISERROR('Model inputs'!Y89&gt;='Model inputs'!AJ76),'Model inputs'!Y89&gt;='Model inputs'!AJ76,IF(OR('Model inputs'!Y89="",'Model inputs'!AJ76=""),"",'Model inputs'!Y89&gt;='Model inputs'!AJ76))),'Model inputs'!AJ75*'Model inputs'!AJ74,0)</f>
        <v>100000</v>
      </c>
      <c r="Z31" s="9">
        <f>IF(IF(IF(ISERROR('Model inputs'!Z89&gt;='Model inputs'!AJ76),'Model inputs'!Z89&gt;='Model inputs'!AJ76,IF(OR('Model inputs'!Z89="",'Model inputs'!AJ76=""),"",'Model inputs'!Z89&gt;='Model inputs'!AJ76))="",FALSE,IF(ISERROR('Model inputs'!Z89&gt;='Model inputs'!AJ76),'Model inputs'!Z89&gt;='Model inputs'!AJ76,IF(OR('Model inputs'!Z89="",'Model inputs'!AJ76=""),"",'Model inputs'!Z89&gt;='Model inputs'!AJ76))),'Model inputs'!AJ75*'Model inputs'!AJ74,0)</f>
        <v>100000</v>
      </c>
      <c r="AA31" s="9">
        <f>IF(IF(IF(ISERROR('Model inputs'!AA89&gt;='Model inputs'!AJ76),'Model inputs'!AA89&gt;='Model inputs'!AJ76,IF(OR('Model inputs'!AA89="",'Model inputs'!AJ76=""),"",'Model inputs'!AA89&gt;='Model inputs'!AJ76))="",FALSE,IF(ISERROR('Model inputs'!AA89&gt;='Model inputs'!AJ76),'Model inputs'!AA89&gt;='Model inputs'!AJ76,IF(OR('Model inputs'!AA89="",'Model inputs'!AJ76=""),"",'Model inputs'!AA89&gt;='Model inputs'!AJ76))),'Model inputs'!AJ75*'Model inputs'!AJ74,0)</f>
        <v>100000</v>
      </c>
      <c r="AB31" s="9">
        <f>IF(IF(IF(ISERROR('Model inputs'!AB89&gt;='Model inputs'!AJ76),'Model inputs'!AB89&gt;='Model inputs'!AJ76,IF(OR('Model inputs'!AB89="",'Model inputs'!AJ76=""),"",'Model inputs'!AB89&gt;='Model inputs'!AJ76))="",FALSE,IF(ISERROR('Model inputs'!AB89&gt;='Model inputs'!AJ76),'Model inputs'!AB89&gt;='Model inputs'!AJ76,IF(OR('Model inputs'!AB89="",'Model inputs'!AJ76=""),"",'Model inputs'!AB89&gt;='Model inputs'!AJ76))),'Model inputs'!AJ75*'Model inputs'!AJ74,0)</f>
        <v>0</v>
      </c>
      <c r="AC31" s="9">
        <f>IF(IF(IF(ISERROR('Model inputs'!AC89&gt;='Model inputs'!AJ76),'Model inputs'!AC89&gt;='Model inputs'!AJ76,IF(OR('Model inputs'!AC89="",'Model inputs'!AJ76=""),"",'Model inputs'!AC89&gt;='Model inputs'!AJ76))="",FALSE,IF(ISERROR('Model inputs'!AC89&gt;='Model inputs'!AJ76),'Model inputs'!AC89&gt;='Model inputs'!AJ76,IF(OR('Model inputs'!AC89="",'Model inputs'!AJ76=""),"",'Model inputs'!AC89&gt;='Model inputs'!AJ76))),'Model inputs'!AJ75*'Model inputs'!AJ74,0)</f>
        <v>0</v>
      </c>
      <c r="AD31" s="9">
        <f>IF(IF(IF(ISERROR('Model inputs'!AD89&gt;='Model inputs'!AJ76),'Model inputs'!AD89&gt;='Model inputs'!AJ76,IF(OR('Model inputs'!AD89="",'Model inputs'!AJ76=""),"",'Model inputs'!AD89&gt;='Model inputs'!AJ76))="",FALSE,IF(ISERROR('Model inputs'!AD89&gt;='Model inputs'!AJ76),'Model inputs'!AD89&gt;='Model inputs'!AJ76,IF(OR('Model inputs'!AD89="",'Model inputs'!AJ76=""),"",'Model inputs'!AD89&gt;='Model inputs'!AJ76))),'Model inputs'!AJ75*'Model inputs'!AJ74,0)</f>
        <v>0</v>
      </c>
      <c r="AE31" s="9">
        <f>IF(IF(IF(ISERROR('Model inputs'!AE89&gt;='Model inputs'!AJ76),'Model inputs'!AE89&gt;='Model inputs'!AJ76,IF(OR('Model inputs'!AE89="",'Model inputs'!AJ76=""),"",'Model inputs'!AE89&gt;='Model inputs'!AJ76))="",FALSE,IF(ISERROR('Model inputs'!AE89&gt;='Model inputs'!AJ76),'Model inputs'!AE89&gt;='Model inputs'!AJ76,IF(OR('Model inputs'!AE89="",'Model inputs'!AJ76=""),"",'Model inputs'!AE89&gt;='Model inputs'!AJ76))),'Model inputs'!AJ75*'Model inputs'!AJ74,0)</f>
        <v>0</v>
      </c>
      <c r="AF31" s="9">
        <f>IF(IF(IF(ISERROR('Model inputs'!AF89&gt;='Model inputs'!AJ76),'Model inputs'!AF89&gt;='Model inputs'!AJ76,IF(OR('Model inputs'!AF89="",'Model inputs'!AJ76=""),"",'Model inputs'!AF89&gt;='Model inputs'!AJ76))="",FALSE,IF(ISERROR('Model inputs'!AF89&gt;='Model inputs'!AJ76),'Model inputs'!AF89&gt;='Model inputs'!AJ76,IF(OR('Model inputs'!AF89="",'Model inputs'!AJ76=""),"",'Model inputs'!AF89&gt;='Model inputs'!AJ76))),'Model inputs'!AJ75*'Model inputs'!AJ74,0)</f>
        <v>0</v>
      </c>
      <c r="AG31" s="9">
        <f>IF(IF(IF(ISERROR('Model inputs'!AG89&gt;='Model inputs'!AJ76),'Model inputs'!AG89&gt;='Model inputs'!AJ76,IF(OR('Model inputs'!AG89="",'Model inputs'!AJ76=""),"",'Model inputs'!AG89&gt;='Model inputs'!AJ76))="",FALSE,IF(ISERROR('Model inputs'!AG89&gt;='Model inputs'!AJ76),'Model inputs'!AG89&gt;='Model inputs'!AJ76,IF(OR('Model inputs'!AG89="",'Model inputs'!AJ76=""),"",'Model inputs'!AG89&gt;='Model inputs'!AJ76))),'Model inputs'!AJ75*'Model inputs'!AJ74,0)</f>
        <v>0</v>
      </c>
      <c r="AH31" s="9">
        <f>IF(IF(IF(ISERROR('Model inputs'!AH89&gt;='Model inputs'!AJ76),'Model inputs'!AH89&gt;='Model inputs'!AJ76,IF(OR('Model inputs'!AH89="",'Model inputs'!AJ76=""),"",'Model inputs'!AH89&gt;='Model inputs'!AJ76))="",FALSE,IF(ISERROR('Model inputs'!AH89&gt;='Model inputs'!AJ76),'Model inputs'!AH89&gt;='Model inputs'!AJ76,IF(OR('Model inputs'!AH89="",'Model inputs'!AJ76=""),"",'Model inputs'!AH89&gt;='Model inputs'!AJ76))),'Model inputs'!AJ75*'Model inputs'!AJ74,0)</f>
        <v>0</v>
      </c>
      <c r="AI31" s="9">
        <f>IF(IF(IF(ISERROR('Model inputs'!AI89&gt;='Model inputs'!AJ76),'Model inputs'!AI89&gt;='Model inputs'!AJ76,IF(OR('Model inputs'!AI89="",'Model inputs'!AJ76=""),"",'Model inputs'!AI89&gt;='Model inputs'!AJ76))="",FALSE,IF(ISERROR('Model inputs'!AI89&gt;='Model inputs'!AJ76),'Model inputs'!AI89&gt;='Model inputs'!AJ76,IF(OR('Model inputs'!AI89="",'Model inputs'!AJ76=""),"",'Model inputs'!AI89&gt;='Model inputs'!AJ76))),'Model inputs'!AJ75*'Model inputs'!AJ74,0)</f>
        <v>0</v>
      </c>
    </row>
    <row r="32">
      <c r="A32" t="inlineStr" s="14">
        <is>
          <t xml:space="preserve">Haq input value</t>
        </is>
      </c>
      <c r="AJ32" s="16">
        <v>0</v>
      </c>
    </row>
    <row r="33" outlineLevel="1">
      <c r="A33" t="inlineStr" s="17">
        <is>
          <t xml:space="preserve">Haq input value &gt; Annual renewal retention</t>
        </is>
      </c>
      <c r="AJ33" s="15">
        <f>1</f>
        <v>1</v>
      </c>
    </row>
    <row r="34" outlineLevel="1">
      <c r="A34" t="inlineStr" s="17">
        <is>
          <t xml:space="preserve">Haq input value &gt; Benefit commission rate</t>
        </is>
      </c>
      <c r="AJ34" s="15">
        <f>0</f>
        <v>0</v>
      </c>
    </row>
    <row r="35" outlineLevel="1">
      <c r="A35" t="inlineStr" s="17">
        <is>
          <t xml:space="preserve">Haq input value &gt; CSC checks per operator</t>
        </is>
      </c>
      <c r="AJ35" s="15">
        <f>80</f>
        <v>80</v>
      </c>
    </row>
    <row r="36" outlineLevel="1">
      <c r="A36" t="inlineStr" s="17">
        <is>
          <t xml:space="preserve">Haq input value &gt; CSC extra check price</t>
        </is>
      </c>
      <c r="AJ36" s="15">
        <f>15</f>
        <v>15</v>
      </c>
    </row>
    <row r="37" outlineLevel="1">
      <c r="A37" t="inlineStr" s="17">
        <is>
          <t xml:space="preserve">Haq input value &gt; CSC gross monthly growth</t>
        </is>
      </c>
      <c r="AJ37" s="15">
        <f>0.2</f>
        <v>0.2</v>
      </c>
    </row>
    <row r="38" outlineLevel="1">
      <c r="A38" t="inlineStr" s="17">
        <is>
          <t xml:space="preserve">Haq input value &gt; CSC included checks</t>
        </is>
      </c>
      <c r="AJ38" s="15">
        <f>100</f>
        <v>100</v>
      </c>
    </row>
    <row r="39" outlineLevel="1">
      <c r="A39" t="inlineStr" s="17">
        <is>
          <t xml:space="preserve">Haq input value &gt; CSC incremental CAC</t>
        </is>
      </c>
      <c r="AJ39" s="15">
        <f>2000</f>
        <v>2000</v>
      </c>
    </row>
    <row r="40" outlineLevel="1">
      <c r="A40" t="inlineStr" s="17">
        <is>
          <t xml:space="preserve">Haq input value &gt; CSC launch month</t>
        </is>
      </c>
      <c r="AJ40" s="15">
        <f>4</f>
        <v>4</v>
      </c>
    </row>
    <row r="41" outlineLevel="1">
      <c r="A41" t="inlineStr" s="17">
        <is>
          <t xml:space="preserve">Haq input value &gt; CSC launch operators</t>
        </is>
      </c>
      <c r="AJ41" s="15">
        <f>50</f>
        <v>50</v>
      </c>
    </row>
    <row r="42" outlineLevel="1">
      <c r="A42" t="inlineStr" s="17">
        <is>
          <t xml:space="preserve">Haq input value &gt; CSC monthly churn</t>
        </is>
      </c>
      <c r="AJ42" s="15">
        <f>0.05</f>
        <v>0.05</v>
      </c>
    </row>
    <row r="43" outlineLevel="1">
      <c r="A43" t="inlineStr" s="17">
        <is>
          <t xml:space="preserve">Haq input value &gt; CSC monthly price</t>
        </is>
      </c>
      <c r="AJ43" s="15">
        <f>1499</f>
        <v>1499</v>
      </c>
    </row>
    <row r="44" outlineLevel="1">
      <c r="A44" t="inlineStr" s="17">
        <is>
          <t xml:space="preserve">Haq input value &gt; CSR annual district price</t>
        </is>
      </c>
      <c r="AJ44" s="15">
        <f>500000</f>
        <v>500000</v>
      </c>
    </row>
    <row r="45" outlineLevel="1">
      <c r="A45" t="inlineStr" s="17">
        <is>
          <t xml:space="preserve">Haq input value &gt; CSR checks per district year</t>
        </is>
      </c>
      <c r="AJ45" s="15">
        <f>25000</f>
        <v>25000</v>
      </c>
    </row>
    <row r="46" outlineLevel="1">
      <c r="A46" t="inlineStr" s="17">
        <is>
          <t xml:space="preserve">Haq input value &gt; CSR district equivalents M12</t>
        </is>
      </c>
      <c r="AJ46" s="15">
        <f>3</f>
        <v>3</v>
      </c>
    </row>
    <row r="47" outlineLevel="1">
      <c r="A47" t="inlineStr" s="17">
        <is>
          <t xml:space="preserve">Haq input value &gt; CSR district equivalents M15</t>
        </is>
      </c>
      <c r="AJ47" s="15">
        <f>4</f>
        <v>4</v>
      </c>
    </row>
    <row r="48" outlineLevel="1">
      <c r="A48" t="inlineStr" s="17">
        <is>
          <t xml:space="preserve">Haq input value &gt; CSR district equivalents M18</t>
        </is>
      </c>
      <c r="AJ48" s="15">
        <f>5</f>
        <v>5</v>
      </c>
    </row>
    <row r="49" outlineLevel="1">
      <c r="A49" t="inlineStr" s="17">
        <is>
          <t xml:space="preserve">Haq input value &gt; CSR district equivalents M21</t>
        </is>
      </c>
      <c r="AJ49" s="15">
        <f>6</f>
        <v>6</v>
      </c>
    </row>
    <row r="50" outlineLevel="1">
      <c r="A50" t="inlineStr" s="17">
        <is>
          <t xml:space="preserve">Haq input value &gt; CSR district equivalents M23</t>
        </is>
      </c>
      <c r="AJ50" s="15">
        <f>7</f>
        <v>7</v>
      </c>
    </row>
    <row r="51" outlineLevel="1">
      <c r="A51" t="inlineStr" s="17">
        <is>
          <t xml:space="preserve">Haq input value &gt; CSR district equivalents M24</t>
        </is>
      </c>
      <c r="AJ51" s="15">
        <f>8</f>
        <v>8</v>
      </c>
    </row>
    <row r="52" outlineLevel="1">
      <c r="A52" t="inlineStr" s="17">
        <is>
          <t xml:space="preserve">Haq input value &gt; CSR district equivalents M6</t>
        </is>
      </c>
      <c r="AJ52" s="15">
        <f>1</f>
        <v>1</v>
      </c>
    </row>
    <row r="53" outlineLevel="1">
      <c r="A53" t="inlineStr" s="17">
        <is>
          <t xml:space="preserve">Haq input value &gt; CSR district equivalents M9</t>
        </is>
      </c>
      <c r="AJ53" s="15">
        <f>2</f>
        <v>2</v>
      </c>
    </row>
    <row r="54" outlineLevel="1">
      <c r="A54" t="inlineStr" s="17">
        <is>
          <t xml:space="preserve">Haq input value &gt; Cache begins month</t>
        </is>
      </c>
      <c r="AJ54" s="15">
        <f>4</f>
        <v>4</v>
      </c>
    </row>
    <row r="55" outlineLevel="1">
      <c r="A55" t="inlineStr" s="17">
        <is>
          <t xml:space="preserve">Haq input value &gt; Cached check cost</t>
        </is>
      </c>
      <c r="AJ55" s="15">
        <f>10</f>
        <v>10</v>
      </c>
    </row>
    <row r="56" outlineLevel="1">
      <c r="A56" t="inlineStr" s="17">
        <is>
          <t xml:space="preserve">Haq input value &gt; Citizen price</t>
        </is>
      </c>
      <c r="AJ56" s="15">
        <f>0</f>
        <v>0</v>
      </c>
    </row>
    <row r="57" outlineLevel="1">
      <c r="A57" t="inlineStr" s="17">
        <is>
          <t xml:space="preserve">Haq input value &gt; Cloud fixed monthly</t>
        </is>
      </c>
      <c r="AJ57" s="15">
        <f>25000</f>
        <v>25000</v>
      </c>
    </row>
    <row r="58" outlineLevel="1">
      <c r="A58" t="inlineStr" s="17">
        <is>
          <t xml:space="preserve">Haq input value &gt; Cloud per 100 checks</t>
        </is>
      </c>
      <c r="AJ58" s="15">
        <f>1</f>
        <v>1</v>
      </c>
    </row>
    <row r="59" outlineLevel="1">
      <c r="A59" t="inlineStr" s="17">
        <is>
          <t xml:space="preserve">Haq input value &gt; Collection delay</t>
        </is>
      </c>
      <c r="AJ59" s="15">
        <f>0</f>
        <v>0</v>
      </c>
    </row>
    <row r="60" outlineLevel="1">
      <c r="A60" t="inlineStr" s="17">
        <is>
          <t xml:space="preserve">Haq input value &gt; Collection fee rate</t>
        </is>
      </c>
      <c r="AJ60" s="15">
        <f>0.02</f>
        <v>0.02</v>
      </c>
    </row>
    <row r="61" outlineLevel="1">
      <c r="A61" t="inlineStr" s="17">
        <is>
          <t xml:space="preserve">Haq input value &gt; Developer count</t>
        </is>
      </c>
      <c r="AJ61" s="15">
        <f>1</f>
        <v>1</v>
      </c>
    </row>
    <row r="62" outlineLevel="1">
      <c r="A62" t="inlineStr" s="17">
        <is>
          <t xml:space="preserve">Haq input value &gt; Developer monthly salary</t>
        </is>
      </c>
      <c r="AJ62" s="15">
        <f>150000</f>
        <v>150000</v>
      </c>
    </row>
    <row r="63" outlineLevel="1">
      <c r="A63" t="inlineStr" s="17">
        <is>
          <t xml:space="preserve">Haq input value &gt; Developer start month</t>
        </is>
      </c>
      <c r="AJ63" s="15">
        <f>1</f>
        <v>1</v>
      </c>
    </row>
    <row r="64" outlineLevel="1">
      <c r="A64" t="inlineStr" s="17">
        <is>
          <t xml:space="preserve">Haq input value &gt; District launch cost</t>
        </is>
      </c>
      <c r="AJ64" s="15">
        <f>100000</f>
        <v>100000</v>
      </c>
    </row>
    <row r="65" outlineLevel="1">
      <c r="A65" t="inlineStr" s="17">
        <is>
          <t xml:space="preserve">Haq input value &gt; Employer annual worker price</t>
        </is>
      </c>
      <c r="AJ65" s="15">
        <f>50</f>
        <v>50</v>
      </c>
    </row>
    <row r="66" outlineLevel="1">
      <c r="A66" t="inlineStr" s="17">
        <is>
          <t xml:space="preserve">Haq input value &gt; Employer checks per worker year</t>
        </is>
      </c>
      <c r="AJ66" s="15">
        <f>1</f>
        <v>1</v>
      </c>
    </row>
    <row r="67" outlineLevel="1">
      <c r="A67" t="inlineStr" s="17">
        <is>
          <t xml:space="preserve">Haq input value &gt; Employer workers M12</t>
        </is>
      </c>
      <c r="AJ67" s="15">
        <f>20000</f>
        <v>20000</v>
      </c>
    </row>
    <row r="68" outlineLevel="1">
      <c r="A68" t="inlineStr" s="17">
        <is>
          <t xml:space="preserve">Haq input value &gt; Employer workers M18</t>
        </is>
      </c>
      <c r="AJ68" s="15">
        <f>35000</f>
        <v>35000</v>
      </c>
    </row>
    <row r="69" outlineLevel="1">
      <c r="A69" t="inlineStr" s="17">
        <is>
          <t xml:space="preserve">Haq input value &gt; Employer workers M24</t>
        </is>
      </c>
      <c r="AJ69" s="15">
        <f>50000</f>
        <v>50000</v>
      </c>
    </row>
    <row r="70" outlineLevel="1">
      <c r="A70" t="inlineStr" s="17">
        <is>
          <t xml:space="preserve">Haq input value &gt; Employer workers M9</t>
        </is>
      </c>
      <c r="AJ70" s="15">
        <f>10000</f>
        <v>10000</v>
      </c>
    </row>
    <row r="71" outlineLevel="1">
      <c r="A71" t="inlineStr" s="17">
        <is>
          <t xml:space="preserve">Haq input value &gt; Field lead count</t>
        </is>
      </c>
      <c r="AJ71" s="15">
        <f>1</f>
        <v>1</v>
      </c>
    </row>
    <row r="72" outlineLevel="1">
      <c r="A72" t="inlineStr" s="17">
        <is>
          <t xml:space="preserve">Haq input value &gt; Field lead monthly salary</t>
        </is>
      </c>
      <c r="AJ72" s="15">
        <f>60000</f>
        <v>60000</v>
      </c>
    </row>
    <row r="73" outlineLevel="1">
      <c r="A73" t="inlineStr" s="17">
        <is>
          <t xml:space="preserve">Haq input value &gt; Field lead start month</t>
        </is>
      </c>
      <c r="AJ73" s="15">
        <f>6</f>
        <v>6</v>
      </c>
    </row>
    <row r="74" outlineLevel="1">
      <c r="A74" t="inlineStr" s="17">
        <is>
          <t xml:space="preserve">Haq input value &gt; Founder count</t>
        </is>
      </c>
      <c r="AJ74" s="15">
        <f>1</f>
        <v>1</v>
      </c>
    </row>
    <row r="75" outlineLevel="1">
      <c r="A75" t="inlineStr" s="17">
        <is>
          <t xml:space="preserve">Haq input value &gt; Founder monthly salary</t>
        </is>
      </c>
      <c r="AJ75" s="15">
        <f>100000</f>
        <v>100000</v>
      </c>
    </row>
    <row r="76" outlineLevel="1">
      <c r="A76" t="inlineStr" s="17">
        <is>
          <t xml:space="preserve">Haq input value &gt; Founder start month</t>
        </is>
      </c>
      <c r="AJ76" s="15">
        <f>7</f>
        <v>7</v>
      </c>
    </row>
    <row r="77" outlineLevel="1">
      <c r="A77" t="inlineStr" s="17">
        <is>
          <t xml:space="preserve">Haq input value &gt; Funding safety reserve</t>
        </is>
      </c>
      <c r="AJ77" s="15">
        <f>1000000</f>
        <v>1000000</v>
      </c>
    </row>
    <row r="78" outlineLevel="1">
      <c r="A78" t="inlineStr" s="17">
        <is>
          <t xml:space="preserve">Haq input value &gt; Marketing acquisition allocation</t>
        </is>
      </c>
      <c r="AJ78" s="15">
        <f>1</f>
        <v>1</v>
      </c>
    </row>
    <row r="79" outlineLevel="1">
      <c r="A79" t="inlineStr" s="17">
        <is>
          <t xml:space="preserve">Haq input value &gt; Marketing monthly</t>
        </is>
      </c>
      <c r="AJ79" s="15">
        <f>50000</f>
        <v>50000</v>
      </c>
    </row>
    <row r="80" outlineLevel="1">
      <c r="A80" t="inlineStr" s="17">
        <is>
          <t xml:space="preserve">Haq input value &gt; Preview AI cost multiplier</t>
        </is>
      </c>
      <c r="AJ80" s="15">
        <f>1</f>
        <v>1</v>
      </c>
    </row>
    <row r="81" outlineLevel="1">
      <c r="A81" t="inlineStr" s="17">
        <is>
          <t xml:space="preserve">Haq input value &gt; Preview additional funding</t>
        </is>
      </c>
      <c r="AJ81" s="15">
        <f>0</f>
        <v>0</v>
      </c>
    </row>
    <row r="82" outlineLevel="1">
      <c r="A82" t="inlineStr" s="17">
        <is>
          <t xml:space="preserve">Haq input value &gt; Recommended CSC price</t>
        </is>
      </c>
      <c r="AJ82" s="15">
        <f>1499</f>
        <v>1499</v>
      </c>
    </row>
    <row r="83" outlineLevel="1">
      <c r="A83" t="inlineStr" s="17">
        <is>
          <t xml:space="preserve">Haq input value &gt; Recommended extra price</t>
        </is>
      </c>
      <c r="AJ83" s="15">
        <f>15</f>
        <v>15</v>
      </c>
    </row>
    <row r="84" outlineLevel="1">
      <c r="A84" t="inlineStr" s="17">
        <is>
          <t xml:space="preserve">Haq input value &gt; Scale begins month</t>
        </is>
      </c>
      <c r="AJ84" s="15">
        <f>10</f>
        <v>10</v>
      </c>
    </row>
    <row r="85" outlineLevel="1">
      <c r="A85" t="inlineStr" s="17">
        <is>
          <t xml:space="preserve">Haq input value &gt; Scale check cost</t>
        </is>
      </c>
      <c r="AJ85" s="15">
        <f>4</f>
        <v>4</v>
      </c>
    </row>
    <row r="86" outlineLevel="1">
      <c r="A86" t="inlineStr" s="17">
        <is>
          <t xml:space="preserve">Haq input value &gt; Starting cash</t>
        </is>
      </c>
      <c r="AJ86" s="15">
        <f>2500000</f>
        <v>2500000</v>
      </c>
    </row>
    <row r="87" outlineLevel="1">
      <c r="A87" t="inlineStr" s="17">
        <is>
          <t xml:space="preserve">Haq input value &gt; Uncached check cost</t>
        </is>
      </c>
      <c r="AJ87" s="15">
        <f>20</f>
        <v>20</v>
      </c>
    </row>
    <row r="88">
      <c r="A88" t="inlineStr" s="14">
        <is>
          <t xml:space="preserve">Haq Marketing</t>
        </is>
      </c>
      <c r="B88" s="9">
        <f>IF('Model inputs'!AJ79="","",'Model inputs'!AJ79)</f>
        <v>50000</v>
      </c>
      <c r="C88" s="9">
        <f>IF('Model inputs'!AJ79="","",'Model inputs'!AJ79)</f>
        <v>50000</v>
      </c>
      <c r="D88" s="9">
        <f>IF('Model inputs'!AJ79="","",'Model inputs'!AJ79)</f>
        <v>50000</v>
      </c>
      <c r="E88" s="9">
        <f>IF('Model inputs'!AJ79="","",'Model inputs'!AJ79)</f>
        <v>50000</v>
      </c>
      <c r="F88" s="9">
        <f>IF('Model inputs'!AJ79="","",'Model inputs'!AJ79)</f>
        <v>50000</v>
      </c>
      <c r="G88" s="9">
        <f>IF('Model inputs'!AJ79="","",'Model inputs'!AJ79)</f>
        <v>50000</v>
      </c>
      <c r="H88" s="9">
        <f>IF('Model inputs'!AJ79="","",'Model inputs'!AJ79)</f>
        <v>50000</v>
      </c>
      <c r="I88" s="9">
        <f>IF('Model inputs'!AJ79="","",'Model inputs'!AJ79)</f>
        <v>50000</v>
      </c>
      <c r="J88" s="9">
        <f>IF('Model inputs'!AJ79="","",'Model inputs'!AJ79)</f>
        <v>50000</v>
      </c>
      <c r="K88" s="9">
        <f>IF('Model inputs'!AJ79="","",'Model inputs'!AJ79)</f>
        <v>50000</v>
      </c>
      <c r="L88" s="9">
        <f>IF('Model inputs'!AJ79="","",'Model inputs'!AJ79)</f>
        <v>50000</v>
      </c>
      <c r="M88" s="9">
        <f>IF('Model inputs'!AJ79="","",'Model inputs'!AJ79)</f>
        <v>50000</v>
      </c>
      <c r="N88" s="9">
        <f>IF('Model inputs'!AJ79="","",'Model inputs'!AJ79)</f>
        <v>50000</v>
      </c>
      <c r="O88" s="9">
        <f>IF('Model inputs'!AJ79="","",'Model inputs'!AJ79)</f>
        <v>50000</v>
      </c>
      <c r="P88" s="9">
        <f>IF('Model inputs'!AJ79="","",'Model inputs'!AJ79)</f>
        <v>50000</v>
      </c>
      <c r="Q88" s="9">
        <f>IF('Model inputs'!AJ79="","",'Model inputs'!AJ79)</f>
        <v>50000</v>
      </c>
      <c r="R88" s="9">
        <f>IF('Model inputs'!AJ79="","",'Model inputs'!AJ79)</f>
        <v>50000</v>
      </c>
      <c r="S88" s="9">
        <f>IF('Model inputs'!AJ79="","",'Model inputs'!AJ79)</f>
        <v>50000</v>
      </c>
      <c r="T88" s="9">
        <f>IF('Model inputs'!AJ79="","",'Model inputs'!AJ79)</f>
        <v>50000</v>
      </c>
      <c r="U88" s="9">
        <f>IF('Model inputs'!AJ79="","",'Model inputs'!AJ79)</f>
        <v>50000</v>
      </c>
      <c r="V88" s="9">
        <f>IF('Model inputs'!AJ79="","",'Model inputs'!AJ79)</f>
        <v>50000</v>
      </c>
      <c r="W88" s="9">
        <f>IF('Model inputs'!AJ79="","",'Model inputs'!AJ79)</f>
        <v>50000</v>
      </c>
      <c r="X88" s="9">
        <f>IF('Model inputs'!AJ79="","",'Model inputs'!AJ79)</f>
        <v>50000</v>
      </c>
      <c r="Y88" s="9">
        <f>IF('Model inputs'!AJ79="","",'Model inputs'!AJ79)</f>
        <v>50000</v>
      </c>
      <c r="Z88" s="9">
        <f>IF('Model inputs'!AJ79="","",'Model inputs'!AJ79)</f>
        <v>50000</v>
      </c>
      <c r="AA88" s="9">
        <f>IF('Model inputs'!AJ79="","",'Model inputs'!AJ79)</f>
        <v>50000</v>
      </c>
      <c r="AB88" s="9">
        <f>IF('Model inputs'!AJ79="","",'Model inputs'!AJ79)</f>
        <v>50000</v>
      </c>
      <c r="AC88" s="9">
        <f>IF('Model inputs'!AJ79="","",'Model inputs'!AJ79)</f>
        <v>50000</v>
      </c>
      <c r="AD88" s="9">
        <f>IF('Model inputs'!AJ79="","",'Model inputs'!AJ79)</f>
        <v>50000</v>
      </c>
      <c r="AE88" s="9">
        <f>IF('Model inputs'!AJ79="","",'Model inputs'!AJ79)</f>
        <v>50000</v>
      </c>
      <c r="AF88" s="9">
        <f>IF('Model inputs'!AJ79="","",'Model inputs'!AJ79)</f>
        <v>50000</v>
      </c>
      <c r="AG88" s="9">
        <f>IF('Model inputs'!AJ79="","",'Model inputs'!AJ79)</f>
        <v>50000</v>
      </c>
      <c r="AH88" s="9">
        <f>IF('Model inputs'!AJ79="","",'Model inputs'!AJ79)</f>
        <v>50000</v>
      </c>
      <c r="AI88" s="9">
        <f>IF('Model inputs'!AJ79="","",'Model inputs'!AJ79)</f>
        <v>50000</v>
      </c>
    </row>
    <row r="89">
      <c r="A89" t="inlineStr" s="14">
        <is>
          <t xml:space="preserve">Haq month</t>
        </is>
      </c>
      <c r="B89" s="15">
        <f>(YEAR(DATE(2026,9,1))-2026)*12+MONTH(DATE(2026,9,1))-10</f>
        <v>-1</v>
      </c>
      <c r="C89" s="15">
        <f>(YEAR(DATE(2026,10,1))-2026)*12+MONTH(DATE(2026,10,1))-10</f>
        <v>0</v>
      </c>
      <c r="D89" s="15">
        <f>(YEAR(DATE(2026,11,1))-2026)*12+MONTH(DATE(2026,11,1))-10</f>
        <v>1</v>
      </c>
      <c r="E89" s="15">
        <f>(YEAR(DATE(2026,12,1))-2026)*12+MONTH(DATE(2026,12,1))-10</f>
        <v>2</v>
      </c>
      <c r="F89" s="15">
        <f>(YEAR(DATE(2027,1,1))-2026)*12+MONTH(DATE(2027,1,1))-10</f>
        <v>3</v>
      </c>
      <c r="G89" s="15">
        <f>(YEAR(DATE(2027,2,1))-2026)*12+MONTH(DATE(2027,2,1))-10</f>
        <v>4</v>
      </c>
      <c r="H89" s="15">
        <f>(YEAR(DATE(2027,3,1))-2026)*12+MONTH(DATE(2027,3,1))-10</f>
        <v>5</v>
      </c>
      <c r="I89" s="15">
        <f>(YEAR(DATE(2027,4,1))-2026)*12+MONTH(DATE(2027,4,1))-10</f>
        <v>6</v>
      </c>
      <c r="J89" s="15">
        <f>(YEAR(DATE(2027,5,1))-2026)*12+MONTH(DATE(2027,5,1))-10</f>
        <v>7</v>
      </c>
      <c r="K89" s="15">
        <f>(YEAR(DATE(2027,6,1))-2026)*12+MONTH(DATE(2027,6,1))-10</f>
        <v>8</v>
      </c>
      <c r="L89" s="15">
        <f>(YEAR(DATE(2027,7,1))-2026)*12+MONTH(DATE(2027,7,1))-10</f>
        <v>9</v>
      </c>
      <c r="M89" s="15">
        <f>(YEAR(DATE(2027,8,1))-2026)*12+MONTH(DATE(2027,8,1))-10</f>
        <v>10</v>
      </c>
      <c r="N89" s="15">
        <f>(YEAR(DATE(2027,9,1))-2026)*12+MONTH(DATE(2027,9,1))-10</f>
        <v>11</v>
      </c>
      <c r="O89" s="15">
        <f>(YEAR(DATE(2027,10,1))-2026)*12+MONTH(DATE(2027,10,1))-10</f>
        <v>12</v>
      </c>
      <c r="P89" s="15">
        <f>(YEAR(DATE(2027,11,1))-2026)*12+MONTH(DATE(2027,11,1))-10</f>
        <v>13</v>
      </c>
      <c r="Q89" s="15">
        <f>(YEAR(DATE(2027,12,1))-2026)*12+MONTH(DATE(2027,12,1))-10</f>
        <v>14</v>
      </c>
      <c r="R89" s="15">
        <f>(YEAR(DATE(2028,1,1))-2026)*12+MONTH(DATE(2028,1,1))-10</f>
        <v>15</v>
      </c>
      <c r="S89" s="15">
        <f>(YEAR(DATE(2028,2,1))-2026)*12+MONTH(DATE(2028,2,1))-10</f>
        <v>16</v>
      </c>
      <c r="T89" s="15">
        <f>(YEAR(DATE(2028,3,1))-2026)*12+MONTH(DATE(2028,3,1))-10</f>
        <v>17</v>
      </c>
      <c r="U89" s="15">
        <f>(YEAR(DATE(2028,4,1))-2026)*12+MONTH(DATE(2028,4,1))-10</f>
        <v>18</v>
      </c>
      <c r="V89" s="15">
        <f>(YEAR(DATE(2028,5,1))-2026)*12+MONTH(DATE(2028,5,1))-10</f>
        <v>19</v>
      </c>
      <c r="W89" s="15">
        <f>(YEAR(DATE(2028,6,1))-2026)*12+MONTH(DATE(2028,6,1))-10</f>
        <v>20</v>
      </c>
      <c r="X89" s="15">
        <f>(YEAR(DATE(2028,7,1))-2026)*12+MONTH(DATE(2028,7,1))-10</f>
        <v>21</v>
      </c>
      <c r="Y89" s="15">
        <f>(YEAR(DATE(2028,8,1))-2026)*12+MONTH(DATE(2028,8,1))-10</f>
        <v>22</v>
      </c>
      <c r="Z89" s="15">
        <f>(YEAR(DATE(2028,9,1))-2026)*12+MONTH(DATE(2028,9,1))-10</f>
        <v>23</v>
      </c>
      <c r="AA89" s="15">
        <f>(YEAR(DATE(2028,10,1))-2026)*12+MONTH(DATE(2028,10,1))-10</f>
        <v>24</v>
      </c>
      <c r="AB89" s="15">
        <f>(YEAR(DATE(2026,1,1))-2026)*12+MONTH(DATE(2026,1,1))-10</f>
        <v>-9</v>
      </c>
      <c r="AC89" s="15">
        <f>(YEAR(DATE(2026,2,1))-2026)*12+MONTH(DATE(2026,2,1))-10</f>
        <v>-8</v>
      </c>
      <c r="AD89" s="15">
        <f>(YEAR(DATE(2026,3,1))-2026)*12+MONTH(DATE(2026,3,1))-10</f>
        <v>-7</v>
      </c>
      <c r="AE89" s="15">
        <f>(YEAR(DATE(2026,4,1))-2026)*12+MONTH(DATE(2026,4,1))-10</f>
        <v>-6</v>
      </c>
      <c r="AF89" s="15">
        <f>(YEAR(DATE(2026,5,1))-2026)*12+MONTH(DATE(2026,5,1))-10</f>
        <v>-5</v>
      </c>
      <c r="AG89" s="15">
        <f>(YEAR(DATE(2026,6,1))-2026)*12+MONTH(DATE(2026,6,1))-10</f>
        <v>-4</v>
      </c>
      <c r="AH89" s="15">
        <f>(YEAR(DATE(2026,7,1))-2026)*12+MONTH(DATE(2026,7,1))-10</f>
        <v>-3</v>
      </c>
      <c r="AI89" s="15">
        <f>(YEAR(DATE(2026,8,1))-2026)*12+MONTH(DATE(2026,8,1))-10</f>
        <v>-2</v>
      </c>
    </row>
    <row r="90">
      <c r="A90" t="inlineStr" s="14">
        <is>
          <t xml:space="preserve">Haq Net cash flow</t>
        </is>
      </c>
      <c r="B90" s="9">
        <f>'Model inputs'!B9-'Model inputs'!B8-'Model inputs'!B7-'Model inputs'!B91</f>
        <v>-75000</v>
      </c>
      <c r="C90" s="9">
        <f>'Model inputs'!C9-'Model inputs'!C8-'Model inputs'!C7-'Model inputs'!C91</f>
        <v>-75000</v>
      </c>
      <c r="D90" s="9">
        <f>'Model inputs'!D9-'Model inputs'!D8-'Model inputs'!D7-'Model inputs'!D91</f>
        <v>-225000</v>
      </c>
      <c r="E90" s="9">
        <f>'Model inputs'!E9-'Model inputs'!E8-'Model inputs'!E7-'Model inputs'!E91</f>
        <v>-225000</v>
      </c>
      <c r="F90" s="9">
        <f>'Model inputs'!F9-'Model inputs'!F8-'Model inputs'!F7-'Model inputs'!F91</f>
        <v>-225000</v>
      </c>
      <c r="G90" s="9">
        <f>'Model inputs'!G9-'Model inputs'!G8-'Model inputs'!G7-'Model inputs'!G91</f>
        <v>-241589</v>
      </c>
      <c r="H90" s="9">
        <f>'Model inputs'!H9-'Model inputs'!H8-'Model inputs'!H7-'Model inputs'!H91</f>
        <v>-186577.35</v>
      </c>
      <c r="I90" s="9">
        <f>'Model inputs'!I9-'Model inputs'!I8-'Model inputs'!I7-'Model inputs'!I91</f>
        <v>128331.88083333336</v>
      </c>
      <c r="J90" s="9">
        <f>'Model inputs'!J9-'Model inputs'!J8-'Model inputs'!J7-'Model inputs'!J91</f>
        <v>-355040.2120416667</v>
      </c>
      <c r="K90" s="9">
        <f>'Model inputs'!K9-'Model inputs'!K8-'Model inputs'!K7-'Model inputs'!K91</f>
        <v>-347418.11884791666</v>
      </c>
      <c r="L90" s="9">
        <f>'Model inputs'!L9-'Model inputs'!L8-'Model inputs'!L7-'Model inputs'!L91</f>
        <v>512151.4549915623</v>
      </c>
      <c r="M90" s="9">
        <f>'Model inputs'!M9-'Model inputs'!M8-'Model inputs'!M7-'Model inputs'!M91</f>
        <v>-272254.8683847032</v>
      </c>
      <c r="N90" s="9">
        <f>'Model inputs'!N9-'Model inputs'!N8-'Model inputs'!N7-'Model inputs'!N91</f>
        <v>-252335.5986424087</v>
      </c>
      <c r="O90" s="9">
        <f>'Model inputs'!O9-'Model inputs'!O8-'Model inputs'!O7-'Model inputs'!O91</f>
        <v>635675.3306185218</v>
      </c>
      <c r="P90" s="9">
        <f>'Model inputs'!P9-'Model inputs'!P8-'Model inputs'!P7-'Model inputs'!P91</f>
        <v>-225961.49478870007</v>
      </c>
      <c r="Q90" s="9">
        <f>'Model inputs'!Q9-'Model inputs'!Q8-'Model inputs'!Q7-'Model inputs'!Q91</f>
        <v>-204843.8440070051</v>
      </c>
      <c r="R90" s="9">
        <f>'Model inputs'!R9-'Model inputs'!R8-'Model inputs'!R7-'Model inputs'!R91</f>
        <v>201087.28772527736</v>
      </c>
      <c r="S90" s="9">
        <f>'Model inputs'!S9-'Model inputs'!S8-'Model inputs'!S7-'Model inputs'!S91</f>
        <v>-160984.61911593098</v>
      </c>
      <c r="T90" s="9">
        <f>'Model inputs'!T9-'Model inputs'!T8-'Model inputs'!T7-'Model inputs'!T91</f>
        <v>-128867.31198332051</v>
      </c>
      <c r="U90" s="9">
        <f>'Model inputs'!U9-'Model inputs'!U8-'Model inputs'!U7-'Model inputs'!U91</f>
        <v>1509700.9245525147</v>
      </c>
      <c r="V90" s="9">
        <f>'Model inputs'!V9-'Model inputs'!V8-'Model inputs'!V7-'Model inputs'!V91</f>
        <v>-62823.936764608196</v>
      </c>
      <c r="W90" s="9">
        <f>'Model inputs'!W9-'Model inputs'!W8-'Model inputs'!W7-'Model inputs'!W91</f>
        <v>-13977.527279299335</v>
      </c>
      <c r="X90" s="9">
        <f>'Model inputs'!X9-'Model inputs'!X8-'Model inputs'!X7-'Model inputs'!X91</f>
        <v>1403841.6769621389</v>
      </c>
      <c r="Y90" s="9">
        <f>'Model inputs'!Y9-'Model inputs'!Y8-'Model inputs'!Y7-'Model inputs'!Y91</f>
        <v>98441.05350645969</v>
      </c>
      <c r="Z90" s="9">
        <f>'Model inputs'!Z9-'Model inputs'!Z8-'Model inputs'!Z7-'Model inputs'!Z91</f>
        <v>554376.1698657621</v>
      </c>
      <c r="AA90" s="9">
        <f>'Model inputs'!AA9-'Model inputs'!AA8-'Model inputs'!AA7-'Model inputs'!AA91</f>
        <v>2341442.1786789596</v>
      </c>
      <c r="AB90" s="9">
        <f>'Model inputs'!AB97-'Model inputs'!AB96-'Model inputs'!AB95-'Model inputs'!AB91</f>
        <v>-75000</v>
      </c>
      <c r="AC90" s="9">
        <f>'Model inputs'!AC97-'Model inputs'!AC96-'Model inputs'!AC95-'Model inputs'!AC91</f>
        <v>-75000</v>
      </c>
      <c r="AD90" s="9">
        <f>'Model inputs'!AD97-'Model inputs'!AD96-'Model inputs'!AD95-'Model inputs'!AD91</f>
        <v>-75000</v>
      </c>
      <c r="AE90" s="9">
        <f>'Model inputs'!AE97-'Model inputs'!AE96-'Model inputs'!AE95-'Model inputs'!AE91</f>
        <v>-75000</v>
      </c>
      <c r="AF90" s="9">
        <f>'Model inputs'!AF97-'Model inputs'!AF96-'Model inputs'!AF95-'Model inputs'!AF91</f>
        <v>-75000</v>
      </c>
      <c r="AG90" s="9">
        <f>'Model inputs'!AG97-'Model inputs'!AG96-'Model inputs'!AG95-'Model inputs'!AG91</f>
        <v>-75000</v>
      </c>
      <c r="AH90" s="9">
        <f>'Model inputs'!AH97-'Model inputs'!AH96-'Model inputs'!AH95-'Model inputs'!AH91</f>
        <v>-75000</v>
      </c>
      <c r="AI90" s="9">
        <f>'Model inputs'!AI97-'Model inputs'!AI96-'Model inputs'!AI95-'Model inputs'!AI91</f>
        <v>-75000</v>
      </c>
    </row>
    <row r="91">
      <c r="A91" t="inlineStr" s="14">
        <is>
          <t xml:space="preserve">Haq Operating costs</t>
        </is>
      </c>
      <c r="B91" s="9">
        <f>'Model inputs'!B92+'Model inputs'!B11+'Model inputs'!B88+'Model inputs'!B23+'Model inputs'!B6</f>
        <v>75000</v>
      </c>
      <c r="C91" s="9">
        <f>'Model inputs'!C92+'Model inputs'!C11+'Model inputs'!C88+'Model inputs'!C23+'Model inputs'!C6</f>
        <v>75000</v>
      </c>
      <c r="D91" s="9">
        <f>'Model inputs'!D92+'Model inputs'!D11+'Model inputs'!D88+'Model inputs'!D23+'Model inputs'!D6</f>
        <v>225000</v>
      </c>
      <c r="E91" s="9">
        <f>'Model inputs'!E92+'Model inputs'!E11+'Model inputs'!E88+'Model inputs'!E23+'Model inputs'!E6</f>
        <v>225000</v>
      </c>
      <c r="F91" s="9">
        <f>'Model inputs'!F92+'Model inputs'!F11+'Model inputs'!F88+'Model inputs'!F23+'Model inputs'!F6</f>
        <v>225000</v>
      </c>
      <c r="G91" s="9">
        <f>'Model inputs'!G92+'Model inputs'!G11+'Model inputs'!G88+'Model inputs'!G23+'Model inputs'!G6</f>
        <v>275040</v>
      </c>
      <c r="H91" s="9">
        <f>'Model inputs'!H92+'Model inputs'!H11+'Model inputs'!H88+'Model inputs'!H23+'Model inputs'!H6</f>
        <v>225046</v>
      </c>
      <c r="I91" s="9">
        <f>'Model inputs'!I92+'Model inputs'!I11+'Model inputs'!I88+'Model inputs'!I23+'Model inputs'!I6</f>
        <v>385073.73333333334</v>
      </c>
      <c r="J91" s="9">
        <f>'Model inputs'!J92+'Model inputs'!J11+'Model inputs'!J88+'Model inputs'!J23+'Model inputs'!J6</f>
        <v>385081.66833333333</v>
      </c>
      <c r="K91" s="9">
        <f>'Model inputs'!K92+'Model inputs'!K11+'Model inputs'!K88+'Model inputs'!K23+'Model inputs'!K6</f>
        <v>385090.7935833333</v>
      </c>
      <c r="L91" s="9">
        <f>'Model inputs'!L92+'Model inputs'!L11+'Model inputs'!L88+'Model inputs'!L23+'Model inputs'!L6</f>
        <v>485130.4542875</v>
      </c>
      <c r="M91" s="9">
        <f>'Model inputs'!M92+'Model inputs'!M11+'Model inputs'!M88+'Model inputs'!M23+'Model inputs'!M6</f>
        <v>385142.522430625</v>
      </c>
      <c r="N91" s="9">
        <f>'Model inputs'!N92+'Model inputs'!N11+'Model inputs'!N88+'Model inputs'!N23+'Model inputs'!N6</f>
        <v>385156.40079521877</v>
      </c>
      <c r="O91" s="9">
        <f>'Model inputs'!O92+'Model inputs'!O11+'Model inputs'!O88+'Model inputs'!O23+'Model inputs'!O6</f>
        <v>488401.9251905432</v>
      </c>
      <c r="P91" s="9">
        <f>'Model inputs'!P92+'Model inputs'!P11+'Model inputs'!P88+'Model inputs'!P23+'Model inputs'!P6</f>
        <v>396400.3389691247</v>
      </c>
      <c r="Q91" s="9">
        <f>'Model inputs'!Q92+'Model inputs'!Q11+'Model inputs'!Q88+'Model inputs'!Q23+'Model inputs'!Q6</f>
        <v>405598.51481449336</v>
      </c>
      <c r="R91" s="9">
        <f>'Model inputs'!R92+'Model inputs'!R11+'Model inputs'!R88+'Model inputs'!R23+'Model inputs'!R6</f>
        <v>516197.2503700007</v>
      </c>
      <c r="S91" s="9">
        <f>'Model inputs'!S92+'Model inputs'!S11+'Model inputs'!S88+'Model inputs'!S23+'Model inputs'!S6</f>
        <v>428361.8379255008</v>
      </c>
      <c r="T91" s="9">
        <f>'Model inputs'!T92+'Model inputs'!T11+'Model inputs'!T88+'Model inputs'!T23+'Model inputs'!T6</f>
        <v>442351.1136143259</v>
      </c>
      <c r="U91" s="9">
        <f>'Model inputs'!U92+'Model inputs'!U11+'Model inputs'!U88+'Model inputs'!U23+'Model inputs'!U6</f>
        <v>558472.1139898081</v>
      </c>
      <c r="V91" s="9">
        <f>'Model inputs'!V92+'Model inputs'!V11+'Model inputs'!V88+'Model inputs'!V23+'Model inputs'!V6</f>
        <v>476972.93108827935</v>
      </c>
      <c r="W91" s="9">
        <f>'Model inputs'!W92+'Model inputs'!W11+'Model inputs'!W88+'Model inputs'!W23+'Model inputs'!W6</f>
        <v>498248.8707515212</v>
      </c>
      <c r="X91" s="9">
        <f>'Model inputs'!X92+'Model inputs'!X11+'Model inputs'!X88+'Model inputs'!X23+'Model inputs'!X6</f>
        <v>622737.0346975827</v>
      </c>
      <c r="Y91" s="9">
        <f>'Model inputs'!Y92+'Model inputs'!Y11+'Model inputs'!Y88+'Model inputs'!Y23+'Model inputs'!Y6</f>
        <v>550874.4649022201</v>
      </c>
      <c r="Z91" s="9">
        <f>'Model inputs'!Z92+'Model inputs'!Z11+'Model inputs'!Z88+'Model inputs'!Z23+'Model inputs'!Z6</f>
        <v>683253.3429708865</v>
      </c>
      <c r="AA91" s="9">
        <f>'Model inputs'!AA92+'Model inputs'!AA11+'Model inputs'!AA88+'Model inputs'!AA23+'Model inputs'!AA6</f>
        <v>720498.4277498526</v>
      </c>
      <c r="AB91" s="9">
        <f>'Model inputs'!AB92+'Model inputs'!AB98+'Model inputs'!AB88+'Model inputs'!AB23+'Model inputs'!AB94</f>
        <v>75000</v>
      </c>
      <c r="AC91" s="9">
        <f>'Model inputs'!AC92+'Model inputs'!AC98+'Model inputs'!AC88+'Model inputs'!AC23+'Model inputs'!AC94</f>
        <v>75000</v>
      </c>
      <c r="AD91" s="9">
        <f>'Model inputs'!AD92+'Model inputs'!AD98+'Model inputs'!AD88+'Model inputs'!AD23+'Model inputs'!AD94</f>
        <v>75000</v>
      </c>
      <c r="AE91" s="9">
        <f>'Model inputs'!AE92+'Model inputs'!AE98+'Model inputs'!AE88+'Model inputs'!AE23+'Model inputs'!AE94</f>
        <v>75000</v>
      </c>
      <c r="AF91" s="9">
        <f>'Model inputs'!AF92+'Model inputs'!AF98+'Model inputs'!AF88+'Model inputs'!AF23+'Model inputs'!AF94</f>
        <v>75000</v>
      </c>
      <c r="AG91" s="9">
        <f>'Model inputs'!AG92+'Model inputs'!AG98+'Model inputs'!AG88+'Model inputs'!AG23+'Model inputs'!AG94</f>
        <v>75000</v>
      </c>
      <c r="AH91" s="9">
        <f>'Model inputs'!AH92+'Model inputs'!AH98+'Model inputs'!AH88+'Model inputs'!AH23+'Model inputs'!AH94</f>
        <v>75000</v>
      </c>
      <c r="AI91" s="9">
        <f>'Model inputs'!AI92+'Model inputs'!AI98+'Model inputs'!AI88+'Model inputs'!AI23+'Model inputs'!AI94</f>
        <v>75000</v>
      </c>
    </row>
    <row r="92">
      <c r="A92" t="inlineStr" s="14">
        <is>
          <t xml:space="preserve">Haq Team payroll</t>
        </is>
      </c>
      <c r="B92" s="9">
        <f>'Model inputs'!B31+'Model inputs'!B22+'Model inputs'!B30</f>
        <v>0</v>
      </c>
      <c r="C92" s="9">
        <f>'Model inputs'!C31+'Model inputs'!C22+'Model inputs'!C30</f>
        <v>0</v>
      </c>
      <c r="D92" s="9">
        <f>'Model inputs'!D31+'Model inputs'!D22+'Model inputs'!D30</f>
        <v>150000</v>
      </c>
      <c r="E92" s="9">
        <f>'Model inputs'!E31+'Model inputs'!E22+'Model inputs'!E30</f>
        <v>150000</v>
      </c>
      <c r="F92" s="9">
        <f>'Model inputs'!F31+'Model inputs'!F22+'Model inputs'!F30</f>
        <v>150000</v>
      </c>
      <c r="G92" s="9">
        <f>'Model inputs'!G31+'Model inputs'!G22+'Model inputs'!G30</f>
        <v>150000</v>
      </c>
      <c r="H92" s="9">
        <f>'Model inputs'!H31+'Model inputs'!H22+'Model inputs'!H30</f>
        <v>150000</v>
      </c>
      <c r="I92" s="9">
        <f>'Model inputs'!I31+'Model inputs'!I22+'Model inputs'!I30</f>
        <v>210000</v>
      </c>
      <c r="J92" s="9">
        <f>'Model inputs'!J31+'Model inputs'!J22+'Model inputs'!J30</f>
        <v>310000</v>
      </c>
      <c r="K92" s="9">
        <f>'Model inputs'!K31+'Model inputs'!K22+'Model inputs'!K30</f>
        <v>310000</v>
      </c>
      <c r="L92" s="9">
        <f>'Model inputs'!L31+'Model inputs'!L22+'Model inputs'!L30</f>
        <v>310000</v>
      </c>
      <c r="M92" s="9">
        <f>'Model inputs'!M31+'Model inputs'!M22+'Model inputs'!M30</f>
        <v>310000</v>
      </c>
      <c r="N92" s="9">
        <f>'Model inputs'!N31+'Model inputs'!N22+'Model inputs'!N30</f>
        <v>310000</v>
      </c>
      <c r="O92" s="9">
        <f>'Model inputs'!O31+'Model inputs'!O22+'Model inputs'!O30</f>
        <v>310000</v>
      </c>
      <c r="P92" s="9">
        <f>'Model inputs'!P31+'Model inputs'!P22+'Model inputs'!P30</f>
        <v>310000</v>
      </c>
      <c r="Q92" s="9">
        <f>'Model inputs'!Q31+'Model inputs'!Q22+'Model inputs'!Q30</f>
        <v>310000</v>
      </c>
      <c r="R92" s="9">
        <f>'Model inputs'!R31+'Model inputs'!R22+'Model inputs'!R30</f>
        <v>310000</v>
      </c>
      <c r="S92" s="9">
        <f>'Model inputs'!S31+'Model inputs'!S22+'Model inputs'!S30</f>
        <v>310000</v>
      </c>
      <c r="T92" s="9">
        <f>'Model inputs'!T31+'Model inputs'!T22+'Model inputs'!T30</f>
        <v>310000</v>
      </c>
      <c r="U92" s="9">
        <f>'Model inputs'!U31+'Model inputs'!U22+'Model inputs'!U30</f>
        <v>310000</v>
      </c>
      <c r="V92" s="9">
        <f>'Model inputs'!V31+'Model inputs'!V22+'Model inputs'!V30</f>
        <v>310000</v>
      </c>
      <c r="W92" s="9">
        <f>'Model inputs'!W31+'Model inputs'!W22+'Model inputs'!W30</f>
        <v>310000</v>
      </c>
      <c r="X92" s="9">
        <f>'Model inputs'!X31+'Model inputs'!X22+'Model inputs'!X30</f>
        <v>310000</v>
      </c>
      <c r="Y92" s="9">
        <f>'Model inputs'!Y31+'Model inputs'!Y22+'Model inputs'!Y30</f>
        <v>310000</v>
      </c>
      <c r="Z92" s="9">
        <f>'Model inputs'!Z31+'Model inputs'!Z22+'Model inputs'!Z30</f>
        <v>310000</v>
      </c>
      <c r="AA92" s="9">
        <f>'Model inputs'!AA31+'Model inputs'!AA22+'Model inputs'!AA30</f>
        <v>310000</v>
      </c>
      <c r="AB92" s="9">
        <f>'Model inputs'!AB31+'Model inputs'!AB22+'Model inputs'!AB30</f>
        <v>0</v>
      </c>
      <c r="AC92" s="9">
        <f>'Model inputs'!AC31+'Model inputs'!AC22+'Model inputs'!AC30</f>
        <v>0</v>
      </c>
      <c r="AD92" s="9">
        <f>'Model inputs'!AD31+'Model inputs'!AD22+'Model inputs'!AD30</f>
        <v>0</v>
      </c>
      <c r="AE92" s="9">
        <f>'Model inputs'!AE31+'Model inputs'!AE22+'Model inputs'!AE30</f>
        <v>0</v>
      </c>
      <c r="AF92" s="9">
        <f>'Model inputs'!AF31+'Model inputs'!AF22+'Model inputs'!AF30</f>
        <v>0</v>
      </c>
      <c r="AG92" s="9">
        <f>'Model inputs'!AG31+'Model inputs'!AG22+'Model inputs'!AG30</f>
        <v>0</v>
      </c>
      <c r="AH92" s="9">
        <f>'Model inputs'!AH31+'Model inputs'!AH22+'Model inputs'!AH30</f>
        <v>0</v>
      </c>
      <c r="AI92" s="9">
        <f>'Model inputs'!AI31+'Model inputs'!AI22+'Model inputs'!AI30</f>
        <v>0</v>
      </c>
    </row>
    <row r="93">
      <c r="A93" t="inlineStr" s="14">
        <is>
          <t xml:space="preserve">Haq Total checks</t>
        </is>
      </c>
      <c r="B93" s="15">
        <f>'Model inputs'!B12+'Model inputs'!B16+'Model inputs'!B24</f>
        <v>0</v>
      </c>
      <c r="C93" s="15">
        <f>'Model inputs'!C12+'Model inputs'!C16+'Model inputs'!C24</f>
        <v>0</v>
      </c>
      <c r="D93" s="15">
        <f>'Model inputs'!D12+'Model inputs'!D16+'Model inputs'!D24</f>
        <v>0</v>
      </c>
      <c r="E93" s="15">
        <f>'Model inputs'!E12+'Model inputs'!E16+'Model inputs'!E24</f>
        <v>0</v>
      </c>
      <c r="F93" s="15">
        <f>'Model inputs'!F12+'Model inputs'!F16+'Model inputs'!F24</f>
        <v>0</v>
      </c>
      <c r="G93" s="15">
        <f>'Model inputs'!G12+'Model inputs'!G16+'Model inputs'!G24</f>
        <v>4000</v>
      </c>
      <c r="H93" s="15">
        <f>'Model inputs'!H12+'Model inputs'!H16+'Model inputs'!H24</f>
        <v>4599.999999999999</v>
      </c>
      <c r="I93" s="15">
        <f>'Model inputs'!I12+'Model inputs'!I16+'Model inputs'!I24</f>
        <v>7373.333333333332</v>
      </c>
      <c r="J93" s="15">
        <f>'Model inputs'!J12+'Model inputs'!J16+'Model inputs'!J24</f>
        <v>8166.833333333331</v>
      </c>
      <c r="K93" s="15">
        <f>'Model inputs'!K12+'Model inputs'!K16+'Model inputs'!K24</f>
        <v>9079.35833333333</v>
      </c>
      <c r="L93" s="15">
        <f>'Model inputs'!L12+'Model inputs'!L16+'Model inputs'!L24</f>
        <v>13045.428749999995</v>
      </c>
      <c r="M93" s="15">
        <f>'Model inputs'!M12+'Model inputs'!M16+'Model inputs'!M24</f>
        <v>14252.243062499994</v>
      </c>
      <c r="N93" s="15">
        <f>'Model inputs'!N12+'Model inputs'!N16+'Model inputs'!N24</f>
        <v>15640.079521874992</v>
      </c>
      <c r="O93" s="15">
        <f>'Model inputs'!O12+'Model inputs'!O16+'Model inputs'!O24</f>
        <v>20152.758116822908</v>
      </c>
      <c r="P93" s="15">
        <f>'Model inputs'!P12+'Model inputs'!P16+'Model inputs'!P24</f>
        <v>21988.171834346344</v>
      </c>
      <c r="Q93" s="15">
        <f>'Model inputs'!Q12+'Model inputs'!Q16+'Model inputs'!Q24</f>
        <v>24098.897609498294</v>
      </c>
      <c r="R93" s="15">
        <f>'Model inputs'!R12+'Model inputs'!R16+'Model inputs'!R24</f>
        <v>28609.565584256372</v>
      </c>
      <c r="S93" s="15">
        <f>'Model inputs'!S12+'Model inputs'!S16+'Model inputs'!S24</f>
        <v>31401.000421894823</v>
      </c>
      <c r="T93" s="15">
        <f>'Model inputs'!T12+'Model inputs'!T16+'Model inputs'!T24</f>
        <v>34611.150485179045</v>
      </c>
      <c r="U93" s="15">
        <f>'Model inputs'!U12+'Model inputs'!U16+'Model inputs'!U24</f>
        <v>41636.15639128923</v>
      </c>
      <c r="V93" s="15">
        <f>'Model inputs'!V12+'Model inputs'!V16+'Model inputs'!V24</f>
        <v>45881.57984998262</v>
      </c>
      <c r="W93" s="15">
        <f>'Model inputs'!W12+'Model inputs'!W16+'Model inputs'!W24</f>
        <v>50763.81682748001</v>
      </c>
      <c r="X93" s="15">
        <f>'Model inputs'!X12+'Model inputs'!X16+'Model inputs'!X24</f>
        <v>58461.72268493533</v>
      </c>
      <c r="Y93" s="15">
        <f>'Model inputs'!Y12+'Model inputs'!Y16+'Model inputs'!Y24</f>
        <v>64918.48108767563</v>
      </c>
      <c r="Z93" s="15">
        <f>'Model inputs'!Z12+'Model inputs'!Z16+'Model inputs'!Z24</f>
        <v>74427.08658416031</v>
      </c>
      <c r="AA93" s="15">
        <f>'Model inputs'!AA12+'Model inputs'!AA16+'Model inputs'!AA24</f>
        <v>86299.48290511768</v>
      </c>
      <c r="AB93" s="15">
        <f>'Model inputs'!AB99+'Model inputs'!AB16+'Model inputs'!AB24</f>
        <v>0</v>
      </c>
      <c r="AC93" s="15">
        <f>'Model inputs'!AC99+'Model inputs'!AC16+'Model inputs'!AC24</f>
        <v>0</v>
      </c>
      <c r="AD93" s="15">
        <f>'Model inputs'!AD99+'Model inputs'!AD16+'Model inputs'!AD24</f>
        <v>0</v>
      </c>
      <c r="AE93" s="15">
        <f>'Model inputs'!AE99+'Model inputs'!AE16+'Model inputs'!AE24</f>
        <v>0</v>
      </c>
      <c r="AF93" s="15">
        <f>'Model inputs'!AF99+'Model inputs'!AF16+'Model inputs'!AF24</f>
        <v>0</v>
      </c>
      <c r="AG93" s="15">
        <f>'Model inputs'!AG99+'Model inputs'!AG16+'Model inputs'!AG24</f>
        <v>0</v>
      </c>
      <c r="AH93" s="15">
        <f>'Model inputs'!AH99+'Model inputs'!AH16+'Model inputs'!AH24</f>
        <v>0</v>
      </c>
      <c r="AI93" s="15">
        <f>'Model inputs'!AI99+'Model inputs'!AI16+'Model inputs'!AI24</f>
        <v>0</v>
      </c>
    </row>
    <row r="94">
      <c r="A94" t="inlineStr" s="14">
        <is>
          <t xml:space="preserve">Haq Acquisition top-up · Haq Ending cash</t>
        </is>
      </c>
      <c r="B94" s="9">
        <f>IF('Model inputs'!B6="","",'Model inputs'!B6)</f>
        <v>0</v>
      </c>
      <c r="C94" s="9">
        <f>IF('Model inputs'!C6="","",'Model inputs'!C6)</f>
        <v>0</v>
      </c>
      <c r="D94" s="9">
        <f>IF('Model inputs'!D6="","",'Model inputs'!D6)</f>
        <v>0</v>
      </c>
      <c r="E94" s="9">
        <f>IF('Model inputs'!E6="","",'Model inputs'!E6)</f>
        <v>0</v>
      </c>
      <c r="F94" s="9">
        <f>IF('Model inputs'!F6="","",'Model inputs'!F6)</f>
        <v>0</v>
      </c>
      <c r="G94" s="9">
        <f>IF('Model inputs'!G6="","",'Model inputs'!G6)</f>
        <v>50000</v>
      </c>
      <c r="H94" s="9">
        <f>IF('Model inputs'!H6="","",'Model inputs'!H6)</f>
        <v>0</v>
      </c>
      <c r="I94" s="9">
        <f>IF('Model inputs'!I6="","",'Model inputs'!I6)</f>
        <v>0</v>
      </c>
      <c r="J94" s="9">
        <f>IF('Model inputs'!J6="","",'Model inputs'!J6)</f>
        <v>0</v>
      </c>
      <c r="K94" s="9">
        <f>IF('Model inputs'!K6="","",'Model inputs'!K6)</f>
        <v>0</v>
      </c>
      <c r="L94" s="9">
        <f>IF('Model inputs'!L6="","",'Model inputs'!L6)</f>
        <v>0</v>
      </c>
      <c r="M94" s="9">
        <f>IF('Model inputs'!M6="","",'Model inputs'!M6)</f>
        <v>0</v>
      </c>
      <c r="N94" s="9">
        <f>IF('Model inputs'!N6="","",'Model inputs'!N6)</f>
        <v>0</v>
      </c>
      <c r="O94" s="9">
        <f>IF('Model inputs'!O6="","",'Model inputs'!O6)</f>
        <v>3200.397609374966</v>
      </c>
      <c r="P94" s="9">
        <f>IF('Model inputs'!P6="","",'Model inputs'!P6)</f>
        <v>11180.457250781212</v>
      </c>
      <c r="Q94" s="9">
        <f>IF('Model inputs'!Q6="","",'Model inputs'!Q6)</f>
        <v>20357.52583839839</v>
      </c>
      <c r="R94" s="9">
        <f>IF('Model inputs'!R6="","",'Model inputs'!R6)</f>
        <v>30911.15471415814</v>
      </c>
      <c r="S94" s="9">
        <f>IF('Model inputs'!S6="","",'Model inputs'!S6)</f>
        <v>43047.827921281845</v>
      </c>
      <c r="T94" s="9">
        <f>IF('Model inputs'!T6="","",'Model inputs'!T6)</f>
        <v>57005.002109474124</v>
      </c>
      <c r="U94" s="9">
        <f>IF('Model inputs'!U6="","",'Model inputs'!U6)</f>
        <v>73055.75242589523</v>
      </c>
      <c r="V94" s="9">
        <f>IF('Model inputs'!V6="","",'Model inputs'!V6)</f>
        <v>91514.1152897795</v>
      </c>
      <c r="W94" s="9">
        <f>IF('Model inputs'!W6="","",'Model inputs'!W6)</f>
        <v>112741.23258324643</v>
      </c>
      <c r="X94" s="9">
        <f>IF('Model inputs'!X6="","",'Model inputs'!X6)</f>
        <v>137152.41747073337</v>
      </c>
      <c r="Y94" s="9">
        <f>IF('Model inputs'!Y6="","",'Model inputs'!Y6)</f>
        <v>165225.28009134336</v>
      </c>
      <c r="Z94" s="9">
        <f>IF('Model inputs'!Z6="","",'Model inputs'!Z6)</f>
        <v>197509.07210504485</v>
      </c>
      <c r="AA94" s="9">
        <f>IF('Model inputs'!AA6="","",'Model inputs'!AA6)</f>
        <v>234635.4329208015</v>
      </c>
      <c r="AB94" s="9">
        <f>MAX('Model inputs'!AB101*'Model inputs'!AJ39-'Model inputs'!AJ79*'Model inputs'!AJ78,0)</f>
        <v>0</v>
      </c>
      <c r="AC94" s="9">
        <f>MAX('Model inputs'!AC101*'Model inputs'!AJ39-'Model inputs'!AJ79*'Model inputs'!AJ78,0)</f>
        <v>0</v>
      </c>
      <c r="AD94" s="9">
        <f>MAX('Model inputs'!AD101*'Model inputs'!AJ39-'Model inputs'!AJ79*'Model inputs'!AJ78,0)</f>
        <v>0</v>
      </c>
      <c r="AE94" s="9">
        <f>MAX('Model inputs'!AE101*'Model inputs'!AJ39-'Model inputs'!AJ79*'Model inputs'!AJ78,0)</f>
        <v>0</v>
      </c>
      <c r="AF94" s="9">
        <f>MAX('Model inputs'!AF101*'Model inputs'!AJ39-'Model inputs'!AJ79*'Model inputs'!AJ78,0)</f>
        <v>0</v>
      </c>
      <c r="AG94" s="9">
        <f>MAX('Model inputs'!AG101*'Model inputs'!AJ39-'Model inputs'!AJ79*'Model inputs'!AJ78,0)</f>
        <v>0</v>
      </c>
      <c r="AH94" s="9">
        <f>MAX('Model inputs'!AH101*'Model inputs'!AJ39-'Model inputs'!AJ79*'Model inputs'!AJ78,0)</f>
        <v>0</v>
      </c>
      <c r="AI94" s="9">
        <f>MAX('Model inputs'!AI101*'Model inputs'!AJ39-'Model inputs'!AJ79*'Model inputs'!AJ78,0)</f>
        <v>0</v>
      </c>
    </row>
    <row r="95">
      <c r="A95" t="inlineStr" s="14">
        <is>
          <t xml:space="preserve">Haq AI cost · Haq Ending cash</t>
        </is>
      </c>
      <c r="B95" s="9">
        <f>IF('Model inputs'!B7="","",'Model inputs'!B7)</f>
        <v>0</v>
      </c>
      <c r="C95" s="9">
        <f>IF('Model inputs'!C7="","",'Model inputs'!C7)</f>
        <v>0</v>
      </c>
      <c r="D95" s="9">
        <f>IF('Model inputs'!D7="","",'Model inputs'!D7)</f>
        <v>0</v>
      </c>
      <c r="E95" s="9">
        <f>IF('Model inputs'!E7="","",'Model inputs'!E7)</f>
        <v>0</v>
      </c>
      <c r="F95" s="9">
        <f>IF('Model inputs'!F7="","",'Model inputs'!F7)</f>
        <v>0</v>
      </c>
      <c r="G95" s="9">
        <f>IF('Model inputs'!G7="","",'Model inputs'!G7)</f>
        <v>40000</v>
      </c>
      <c r="H95" s="9">
        <f>IF('Model inputs'!H7="","",'Model inputs'!H7)</f>
        <v>45999.99999999999</v>
      </c>
      <c r="I95" s="9">
        <f>IF('Model inputs'!I7="","",'Model inputs'!I7)</f>
        <v>73733.33333333331</v>
      </c>
      <c r="J95" s="9">
        <f>IF('Model inputs'!J7="","",'Model inputs'!J7)</f>
        <v>81668.33333333331</v>
      </c>
      <c r="K95" s="9">
        <f>IF('Model inputs'!K7="","",'Model inputs'!K7)</f>
        <v>90793.5833333333</v>
      </c>
      <c r="L95" s="9">
        <f>IF('Model inputs'!L7="","",'Model inputs'!L7)</f>
        <v>130454.28749999995</v>
      </c>
      <c r="M95" s="9">
        <f>IF('Model inputs'!M7="","",'Model inputs'!M7)</f>
        <v>57008.97224999998</v>
      </c>
      <c r="N95" s="9">
        <f>IF('Model inputs'!N7="","",'Model inputs'!N7)</f>
        <v>62560.31808749997</v>
      </c>
      <c r="O95" s="9">
        <f>IF('Model inputs'!O7="","",'Model inputs'!O7)</f>
        <v>80611.03246729163</v>
      </c>
      <c r="P95" s="9">
        <f>IF('Model inputs'!P7="","",'Model inputs'!P7)</f>
        <v>87952.68733738537</v>
      </c>
      <c r="Q95" s="9">
        <f>IF('Model inputs'!Q7="","",'Model inputs'!Q7)</f>
        <v>96395.59043799317</v>
      </c>
      <c r="R95" s="9">
        <f>IF('Model inputs'!R7="","",'Model inputs'!R7)</f>
        <v>114438.26233702549</v>
      </c>
      <c r="S95" s="9">
        <f>IF('Model inputs'!S7="","",'Model inputs'!S7)</f>
        <v>125604.0016875793</v>
      </c>
      <c r="T95" s="9">
        <f>IF('Model inputs'!T7="","",'Model inputs'!T7)</f>
        <v>138444.60194071618</v>
      </c>
      <c r="U95" s="9">
        <f>IF('Model inputs'!U7="","",'Model inputs'!U7)</f>
        <v>166544.62556515692</v>
      </c>
      <c r="V95" s="9">
        <f>IF('Model inputs'!V7="","",'Model inputs'!V7)</f>
        <v>183526.31939993048</v>
      </c>
      <c r="W95" s="9">
        <f>IF('Model inputs'!W7="","",'Model inputs'!W7)</f>
        <v>203055.26730992005</v>
      </c>
      <c r="X95" s="9">
        <f>IF('Model inputs'!X7="","",'Model inputs'!X7)</f>
        <v>233846.89073974133</v>
      </c>
      <c r="Y95" s="9">
        <f>IF('Model inputs'!Y7="","",'Model inputs'!Y7)</f>
        <v>259673.92435070252</v>
      </c>
      <c r="Z95" s="9">
        <f>IF('Model inputs'!Z7="","",'Model inputs'!Z7)</f>
        <v>297708.34633664123</v>
      </c>
      <c r="AA95" s="9">
        <f>IF('Model inputs'!AA7="","",'Model inputs'!AA7)</f>
        <v>345197.9316204707</v>
      </c>
      <c r="AB95" s="9">
        <f>'Model inputs'!AB93*'Model inputs'!AB100</f>
        <v>0</v>
      </c>
      <c r="AC95" s="9">
        <f>'Model inputs'!AC93*'Model inputs'!AC100</f>
        <v>0</v>
      </c>
      <c r="AD95" s="9">
        <f>'Model inputs'!AD93*'Model inputs'!AD100</f>
        <v>0</v>
      </c>
      <c r="AE95" s="9">
        <f>'Model inputs'!AE93*'Model inputs'!AE100</f>
        <v>0</v>
      </c>
      <c r="AF95" s="9">
        <f>'Model inputs'!AF93*'Model inputs'!AF100</f>
        <v>0</v>
      </c>
      <c r="AG95" s="9">
        <f>'Model inputs'!AG93*'Model inputs'!AG100</f>
        <v>0</v>
      </c>
      <c r="AH95" s="9">
        <f>'Model inputs'!AH93*'Model inputs'!AH100</f>
        <v>0</v>
      </c>
      <c r="AI95" s="9">
        <f>'Model inputs'!AI93*'Model inputs'!AI100</f>
        <v>0</v>
      </c>
    </row>
    <row r="96">
      <c r="A96" t="inlineStr" s="14">
        <is>
          <t xml:space="preserve">Haq Cash collection fees · Haq Ending cash</t>
        </is>
      </c>
      <c r="B96" s="9">
        <f>IF('Model inputs'!B8="","",'Model inputs'!B8)</f>
        <v>0</v>
      </c>
      <c r="C96" s="9">
        <f>IF('Model inputs'!C8="","",'Model inputs'!C8)</f>
        <v>0</v>
      </c>
      <c r="D96" s="9">
        <f>IF('Model inputs'!D8="","",'Model inputs'!D8)</f>
        <v>0</v>
      </c>
      <c r="E96" s="9">
        <f>IF('Model inputs'!E8="","",'Model inputs'!E8)</f>
        <v>0</v>
      </c>
      <c r="F96" s="9">
        <f>IF('Model inputs'!F8="","",'Model inputs'!F8)</f>
        <v>0</v>
      </c>
      <c r="G96" s="9">
        <f>IF('Model inputs'!G8="","",'Model inputs'!G8)</f>
        <v>1499</v>
      </c>
      <c r="H96" s="9">
        <f>IF('Model inputs'!H8="","",'Model inputs'!H8)</f>
        <v>1723.8499999999997</v>
      </c>
      <c r="I96" s="9">
        <f>IF('Model inputs'!I8="","",'Model inputs'!I8)</f>
        <v>11982.4275</v>
      </c>
      <c r="J96" s="9">
        <f>IF('Model inputs'!J8="","",'Model inputs'!J8)</f>
        <v>2279.7916249999994</v>
      </c>
      <c r="K96" s="9">
        <f>IF('Model inputs'!K8="","",'Model inputs'!K8)</f>
        <v>2621.7603687499986</v>
      </c>
      <c r="L96" s="9">
        <f>IF('Model inputs'!L8="","",'Model inputs'!L8)</f>
        <v>23015.024424062496</v>
      </c>
      <c r="M96" s="9">
        <f>IF('Model inputs'!M8="","",'Model inputs'!M8)</f>
        <v>3467.278087671873</v>
      </c>
      <c r="N96" s="9">
        <f>IF('Model inputs'!N8="","",'Model inputs'!N8)</f>
        <v>3987.369800822654</v>
      </c>
      <c r="O96" s="9">
        <f>IF('Model inputs'!O8="","",'Model inputs'!O8)</f>
        <v>24585.475270946055</v>
      </c>
      <c r="P96" s="9">
        <f>IF('Model inputs'!P8="","",'Model inputs'!P8)</f>
        <v>5273.296561587959</v>
      </c>
      <c r="Q96" s="9">
        <f>IF('Model inputs'!Q8="","",'Model inputs'!Q8)</f>
        <v>6064.291045826152</v>
      </c>
      <c r="R96" s="9">
        <f>IF('Model inputs'!R8="","",'Model inputs'!R8)</f>
        <v>16973.934702700073</v>
      </c>
      <c r="S96" s="9">
        <f>IF('Model inputs'!S8="","",'Model inputs'!S8)</f>
        <v>8020.024908105085</v>
      </c>
      <c r="T96" s="9">
        <f>IF('Model inputs'!T8="","",'Model inputs'!T8)</f>
        <v>9223.028644320848</v>
      </c>
      <c r="U96" s="9">
        <f>IF('Model inputs'!U8="","",'Model inputs'!U8)</f>
        <v>45606.48294096898</v>
      </c>
      <c r="V96" s="9">
        <f>IF('Model inputs'!V8="","",'Model inputs'!V8)</f>
        <v>12197.455382114318</v>
      </c>
      <c r="W96" s="9">
        <f>IF('Model inputs'!W8="","",'Model inputs'!W8)</f>
        <v>14027.073689431467</v>
      </c>
      <c r="X96" s="9">
        <f>IF('Model inputs'!X8="","",'Model inputs'!X8)</f>
        <v>46131.13474284618</v>
      </c>
      <c r="Y96" s="9">
        <f>IF('Model inputs'!Y8="","",'Model inputs'!Y8)</f>
        <v>18550.80495427311</v>
      </c>
      <c r="Z96" s="9">
        <f>IF('Model inputs'!Z8="","",'Model inputs'!Z8)</f>
        <v>31333.425697414074</v>
      </c>
      <c r="AA96" s="9">
        <f>IF('Model inputs'!AA8="","",'Model inputs'!AA8)</f>
        <v>69533.43955202619</v>
      </c>
      <c r="AB96" s="9">
        <f>'Model inputs'!AB97*'Model inputs'!AJ60</f>
        <v>0</v>
      </c>
      <c r="AC96" s="9">
        <f>'Model inputs'!AC97*'Model inputs'!AJ60</f>
        <v>0</v>
      </c>
      <c r="AD96" s="9">
        <f>'Model inputs'!AD97*'Model inputs'!AJ60</f>
        <v>0</v>
      </c>
      <c r="AE96" s="9">
        <f>'Model inputs'!AE97*'Model inputs'!AJ60</f>
        <v>0</v>
      </c>
      <c r="AF96" s="9">
        <f>'Model inputs'!AF97*'Model inputs'!AJ60</f>
        <v>0</v>
      </c>
      <c r="AG96" s="9">
        <f>'Model inputs'!AG97*'Model inputs'!AJ60</f>
        <v>0</v>
      </c>
      <c r="AH96" s="9">
        <f>'Model inputs'!AH97*'Model inputs'!AJ60</f>
        <v>0</v>
      </c>
      <c r="AI96" s="9">
        <f>'Model inputs'!AI97*'Model inputs'!AJ60</f>
        <v>0</v>
      </c>
    </row>
    <row r="97">
      <c r="A97" t="inlineStr" s="14">
        <is>
          <t xml:space="preserve">Haq Cash receipts · Haq Ending cash</t>
        </is>
      </c>
      <c r="B97" s="9">
        <f>IF('Model inputs'!B9="","",'Model inputs'!B9)</f>
        <v>0</v>
      </c>
      <c r="C97" s="9">
        <f>IF('Model inputs'!C9="","",'Model inputs'!C9)</f>
        <v>0</v>
      </c>
      <c r="D97" s="9">
        <f>IF('Model inputs'!D9="","",'Model inputs'!D9)</f>
        <v>0</v>
      </c>
      <c r="E97" s="9">
        <f>IF('Model inputs'!E9="","",'Model inputs'!E9)</f>
        <v>0</v>
      </c>
      <c r="F97" s="9">
        <f>IF('Model inputs'!F9="","",'Model inputs'!F9)</f>
        <v>0</v>
      </c>
      <c r="G97" s="9">
        <f>IF('Model inputs'!G9="","",'Model inputs'!G9)</f>
        <v>74950</v>
      </c>
      <c r="H97" s="9">
        <f>IF('Model inputs'!H9="","",'Model inputs'!H9)</f>
        <v>86192.49999999999</v>
      </c>
      <c r="I97" s="9">
        <f>IF('Model inputs'!I9="","",'Model inputs'!I9)</f>
        <v>599121.375</v>
      </c>
      <c r="J97" s="9">
        <f>IF('Model inputs'!J9="","",'Model inputs'!J9)</f>
        <v>113989.58124999996</v>
      </c>
      <c r="K97" s="9">
        <f>IF('Model inputs'!K9="","",'Model inputs'!K9)</f>
        <v>131088.01843749994</v>
      </c>
      <c r="L97" s="9">
        <f>IF('Model inputs'!L9="","",'Model inputs'!L9)</f>
        <v>1150751.2212031248</v>
      </c>
      <c r="M97" s="9">
        <f>IF('Model inputs'!M9="","",'Model inputs'!M9)</f>
        <v>173363.90438359365</v>
      </c>
      <c r="N97" s="9">
        <f>IF('Model inputs'!N9="","",'Model inputs'!N9)</f>
        <v>199368.4900411327</v>
      </c>
      <c r="O97" s="9">
        <f>IF('Model inputs'!O9="","",'Model inputs'!O9)</f>
        <v>1229273.7635473027</v>
      </c>
      <c r="P97" s="9">
        <f>IF('Model inputs'!P9="","",'Model inputs'!P9)</f>
        <v>263664.82807939796</v>
      </c>
      <c r="Q97" s="9">
        <f>IF('Model inputs'!Q9="","",'Model inputs'!Q9)</f>
        <v>303214.5522913076</v>
      </c>
      <c r="R97" s="9">
        <f>IF('Model inputs'!R9="","",'Model inputs'!R9)</f>
        <v>848696.7351350037</v>
      </c>
      <c r="S97" s="9">
        <f>IF('Model inputs'!S9="","",'Model inputs'!S9)</f>
        <v>401001.24540525425</v>
      </c>
      <c r="T97" s="9">
        <f>IF('Model inputs'!T9="","",'Model inputs'!T9)</f>
        <v>461151.43221604236</v>
      </c>
      <c r="U97" s="9">
        <f>IF('Model inputs'!U9="","",'Model inputs'!U9)</f>
        <v>2280324.1470484487</v>
      </c>
      <c r="V97" s="9">
        <f>IF('Model inputs'!V9="","",'Model inputs'!V9)</f>
        <v>609872.7691057159</v>
      </c>
      <c r="W97" s="9">
        <f>IF('Model inputs'!W9="","",'Model inputs'!W9)</f>
        <v>701353.6844715733</v>
      </c>
      <c r="X97" s="9">
        <f>IF('Model inputs'!X9="","",'Model inputs'!X9)</f>
        <v>2306556.737142309</v>
      </c>
      <c r="Y97" s="9">
        <f>IF('Model inputs'!Y9="","",'Model inputs'!Y9)</f>
        <v>927540.2477136555</v>
      </c>
      <c r="Z97" s="9">
        <f>IF('Model inputs'!Z9="","",'Model inputs'!Z9)</f>
        <v>1566671.2848707037</v>
      </c>
      <c r="AA97" s="9">
        <f>IF('Model inputs'!AA9="","",'Model inputs'!AA9)</f>
        <v>3476671.9776013093</v>
      </c>
      <c r="AB97" s="9">
        <f>'Model inputs'!AB15+'Model inputs'!AB19+'Model inputs'!AB26</f>
        <v>0</v>
      </c>
      <c r="AC97" s="9">
        <f>'Model inputs'!AC15+'Model inputs'!AC19+'Model inputs'!AC26</f>
        <v>0</v>
      </c>
      <c r="AD97" s="9">
        <f>'Model inputs'!AD15+'Model inputs'!AD19+'Model inputs'!AD26</f>
        <v>0</v>
      </c>
      <c r="AE97" s="9">
        <f>'Model inputs'!AE15+'Model inputs'!AE19+'Model inputs'!AE26</f>
        <v>0</v>
      </c>
      <c r="AF97" s="9">
        <f>'Model inputs'!AF15+'Model inputs'!AF19+'Model inputs'!AF26</f>
        <v>0</v>
      </c>
      <c r="AG97" s="9">
        <f>'Model inputs'!AG15+'Model inputs'!AG19+'Model inputs'!AG26</f>
        <v>0</v>
      </c>
      <c r="AH97" s="9">
        <f>'Model inputs'!AH15+'Model inputs'!AH19+'Model inputs'!AH26</f>
        <v>0</v>
      </c>
      <c r="AI97" s="9">
        <f>'Model inputs'!AI15+'Model inputs'!AI19+'Model inputs'!AI26</f>
        <v>0</v>
      </c>
    </row>
    <row r="98">
      <c r="A98" t="inlineStr" s="14">
        <is>
          <t xml:space="preserve">Haq Cloud and tools · Haq Ending cash</t>
        </is>
      </c>
      <c r="B98" s="9">
        <f>IF('Model inputs'!B11="","",'Model inputs'!B11)</f>
        <v>25000</v>
      </c>
      <c r="C98" s="9">
        <f>IF('Model inputs'!C11="","",'Model inputs'!C11)</f>
        <v>25000</v>
      </c>
      <c r="D98" s="9">
        <f>IF('Model inputs'!D11="","",'Model inputs'!D11)</f>
        <v>25000</v>
      </c>
      <c r="E98" s="9">
        <f>IF('Model inputs'!E11="","",'Model inputs'!E11)</f>
        <v>25000</v>
      </c>
      <c r="F98" s="9">
        <f>IF('Model inputs'!F11="","",'Model inputs'!F11)</f>
        <v>25000</v>
      </c>
      <c r="G98" s="9">
        <f>IF('Model inputs'!G11="","",'Model inputs'!G11)</f>
        <v>25040</v>
      </c>
      <c r="H98" s="9">
        <f>IF('Model inputs'!H11="","",'Model inputs'!H11)</f>
        <v>25046</v>
      </c>
      <c r="I98" s="9">
        <f>IF('Model inputs'!I11="","",'Model inputs'!I11)</f>
        <v>25073.733333333334</v>
      </c>
      <c r="J98" s="9">
        <f>IF('Model inputs'!J11="","",'Model inputs'!J11)</f>
        <v>25081.668333333335</v>
      </c>
      <c r="K98" s="9">
        <f>IF('Model inputs'!K11="","",'Model inputs'!K11)</f>
        <v>25090.793583333332</v>
      </c>
      <c r="L98" s="9">
        <f>IF('Model inputs'!L11="","",'Model inputs'!L11)</f>
        <v>25130.4542875</v>
      </c>
      <c r="M98" s="9">
        <f>IF('Model inputs'!M11="","",'Model inputs'!M11)</f>
        <v>25142.522430625</v>
      </c>
      <c r="N98" s="9">
        <f>IF('Model inputs'!N11="","",'Model inputs'!N11)</f>
        <v>25156.40079521875</v>
      </c>
      <c r="O98" s="9">
        <f>IF('Model inputs'!O11="","",'Model inputs'!O11)</f>
        <v>25201.52758116823</v>
      </c>
      <c r="P98" s="9">
        <f>IF('Model inputs'!P11="","",'Model inputs'!P11)</f>
        <v>25219.881718343462</v>
      </c>
      <c r="Q98" s="9">
        <f>IF('Model inputs'!Q11="","",'Model inputs'!Q11)</f>
        <v>25240.988976094985</v>
      </c>
      <c r="R98" s="9">
        <f>IF('Model inputs'!R11="","",'Model inputs'!R11)</f>
        <v>25286.095655842564</v>
      </c>
      <c r="S98" s="9">
        <f>IF('Model inputs'!S11="","",'Model inputs'!S11)</f>
        <v>25314.010004218948</v>
      </c>
      <c r="T98" s="9">
        <f>IF('Model inputs'!T11="","",'Model inputs'!T11)</f>
        <v>25346.11150485179</v>
      </c>
      <c r="U98" s="9">
        <f>IF('Model inputs'!U11="","",'Model inputs'!U11)</f>
        <v>25416.36156391289</v>
      </c>
      <c r="V98" s="9">
        <f>IF('Model inputs'!V11="","",'Model inputs'!V11)</f>
        <v>25458.815798499825</v>
      </c>
      <c r="W98" s="9">
        <f>IF('Model inputs'!W11="","",'Model inputs'!W11)</f>
        <v>25507.6381682748</v>
      </c>
      <c r="X98" s="9">
        <f>IF('Model inputs'!X11="","",'Model inputs'!X11)</f>
        <v>25584.617226849354</v>
      </c>
      <c r="Y98" s="9">
        <f>IF('Model inputs'!Y11="","",'Model inputs'!Y11)</f>
        <v>25649.184810876755</v>
      </c>
      <c r="Z98" s="9">
        <f>IF('Model inputs'!Z11="","",'Model inputs'!Z11)</f>
        <v>25744.2708658416</v>
      </c>
      <c r="AA98" s="9">
        <f>IF('Model inputs'!AA11="","",'Model inputs'!AA11)</f>
        <v>25862.99482905118</v>
      </c>
      <c r="AB98" s="9">
        <f>'Model inputs'!AJ57+'Model inputs'!AB93/100*'Model inputs'!AJ58</f>
        <v>25000</v>
      </c>
      <c r="AC98" s="9">
        <f>'Model inputs'!AJ57+'Model inputs'!AC93/100*'Model inputs'!AJ58</f>
        <v>25000</v>
      </c>
      <c r="AD98" s="9">
        <f>'Model inputs'!AJ57+'Model inputs'!AD93/100*'Model inputs'!AJ58</f>
        <v>25000</v>
      </c>
      <c r="AE98" s="9">
        <f>'Model inputs'!AJ57+'Model inputs'!AE93/100*'Model inputs'!AJ58</f>
        <v>25000</v>
      </c>
      <c r="AF98" s="9">
        <f>'Model inputs'!AJ57+'Model inputs'!AF93/100*'Model inputs'!AJ58</f>
        <v>25000</v>
      </c>
      <c r="AG98" s="9">
        <f>'Model inputs'!AJ57+'Model inputs'!AG93/100*'Model inputs'!AJ58</f>
        <v>25000</v>
      </c>
      <c r="AH98" s="9">
        <f>'Model inputs'!AJ57+'Model inputs'!AH93/100*'Model inputs'!AJ58</f>
        <v>25000</v>
      </c>
      <c r="AI98" s="9">
        <f>'Model inputs'!AJ57+'Model inputs'!AI93/100*'Model inputs'!AJ58</f>
        <v>25000</v>
      </c>
    </row>
    <row r="99">
      <c r="A99" t="inlineStr" s="14">
        <is>
          <t xml:space="preserve">Haq CSC checks · Haq Ending cash</t>
        </is>
      </c>
      <c r="B99" s="15">
        <f>IF('Model inputs'!B12="","",'Model inputs'!B12)</f>
        <v>0</v>
      </c>
      <c r="C99" s="15">
        <f>IF('Model inputs'!C12="","",'Model inputs'!C12)</f>
        <v>0</v>
      </c>
      <c r="D99" s="15">
        <f>IF('Model inputs'!D12="","",'Model inputs'!D12)</f>
        <v>0</v>
      </c>
      <c r="E99" s="15">
        <f>IF('Model inputs'!E12="","",'Model inputs'!E12)</f>
        <v>0</v>
      </c>
      <c r="F99" s="15">
        <f>IF('Model inputs'!F12="","",'Model inputs'!F12)</f>
        <v>0</v>
      </c>
      <c r="G99" s="15">
        <f>IF('Model inputs'!G12="","",'Model inputs'!G12)</f>
        <v>4000</v>
      </c>
      <c r="H99" s="15">
        <f>IF('Model inputs'!H12="","",'Model inputs'!H12)</f>
        <v>4599.999999999999</v>
      </c>
      <c r="I99" s="15">
        <f>IF('Model inputs'!I12="","",'Model inputs'!I12)</f>
        <v>5289.999999999999</v>
      </c>
      <c r="J99" s="15">
        <f>IF('Model inputs'!J12="","",'Model inputs'!J12)</f>
        <v>6083.499999999998</v>
      </c>
      <c r="K99" s="15">
        <f>IF('Model inputs'!K12="","",'Model inputs'!K12)</f>
        <v>6996.024999999998</v>
      </c>
      <c r="L99" s="15">
        <f>IF('Model inputs'!L12="","",'Model inputs'!L12)</f>
        <v>8045.428749999996</v>
      </c>
      <c r="M99" s="15">
        <f>IF('Model inputs'!M12="","",'Model inputs'!M12)</f>
        <v>9252.243062499994</v>
      </c>
      <c r="N99" s="15">
        <f>IF('Model inputs'!N12="","",'Model inputs'!N12)</f>
        <v>10640.079521874994</v>
      </c>
      <c r="O99" s="15">
        <f>IF('Model inputs'!O12="","",'Model inputs'!O12)</f>
        <v>12236.09145015624</v>
      </c>
      <c r="P99" s="15">
        <f>IF('Model inputs'!P12="","",'Model inputs'!P12)</f>
        <v>14071.505167679677</v>
      </c>
      <c r="Q99" s="15">
        <f>IF('Model inputs'!Q12="","",'Model inputs'!Q12)</f>
        <v>16182.230942831628</v>
      </c>
      <c r="R99" s="15">
        <f>IF('Model inputs'!R12="","",'Model inputs'!R12)</f>
        <v>18609.565584256372</v>
      </c>
      <c r="S99" s="15">
        <f>IF('Model inputs'!S12="","",'Model inputs'!S12)</f>
        <v>21401.000421894823</v>
      </c>
      <c r="T99" s="15">
        <f>IF('Model inputs'!T12="","",'Model inputs'!T12)</f>
        <v>24611.150485179045</v>
      </c>
      <c r="U99" s="15">
        <f>IF('Model inputs'!U12="","",'Model inputs'!U12)</f>
        <v>28302.823057955902</v>
      </c>
      <c r="V99" s="15">
        <f>IF('Model inputs'!V12="","",'Model inputs'!V12)</f>
        <v>32548.246516649284</v>
      </c>
      <c r="W99" s="15">
        <f>IF('Model inputs'!W12="","",'Model inputs'!W12)</f>
        <v>37430.483494146676</v>
      </c>
      <c r="X99" s="15">
        <f>IF('Model inputs'!X12="","",'Model inputs'!X12)</f>
        <v>43045.05601826867</v>
      </c>
      <c r="Y99" s="15">
        <f>IF('Model inputs'!Y12="","",'Model inputs'!Y12)</f>
        <v>49501.81442100897</v>
      </c>
      <c r="Z99" s="15">
        <f>IF('Model inputs'!Z12="","",'Model inputs'!Z12)</f>
        <v>56927.08658416031</v>
      </c>
      <c r="AA99" s="15">
        <f>IF('Model inputs'!AA12="","",'Model inputs'!AA12)</f>
        <v>65466.14957178434</v>
      </c>
      <c r="AB99" s="15">
        <f>'Model inputs'!AB14*'Model inputs'!AJ35</f>
        <v>0</v>
      </c>
      <c r="AC99" s="15">
        <f>'Model inputs'!AC14*'Model inputs'!AJ35</f>
        <v>0</v>
      </c>
      <c r="AD99" s="15">
        <f>'Model inputs'!AD14*'Model inputs'!AJ35</f>
        <v>0</v>
      </c>
      <c r="AE99" s="15">
        <f>'Model inputs'!AE14*'Model inputs'!AJ35</f>
        <v>0</v>
      </c>
      <c r="AF99" s="15">
        <f>'Model inputs'!AF14*'Model inputs'!AJ35</f>
        <v>0</v>
      </c>
      <c r="AG99" s="15">
        <f>'Model inputs'!AG14*'Model inputs'!AJ35</f>
        <v>0</v>
      </c>
      <c r="AH99" s="15">
        <f>'Model inputs'!AH14*'Model inputs'!AJ35</f>
        <v>0</v>
      </c>
      <c r="AI99" s="15">
        <f>'Model inputs'!AI14*'Model inputs'!AJ35</f>
        <v>0</v>
      </c>
    </row>
    <row r="100">
      <c r="A100" t="inlineStr" s="14">
        <is>
          <t xml:space="preserve">Haq check cost · Haq Ending cash</t>
        </is>
      </c>
      <c r="B100" s="9">
        <f>IF('Model inputs'!B10="","",'Model inputs'!B10)</f>
        <v>20</v>
      </c>
      <c r="C100" s="9">
        <f>IF('Model inputs'!C10="","",'Model inputs'!C10)</f>
        <v>20</v>
      </c>
      <c r="D100" s="9">
        <f>IF('Model inputs'!D10="","",'Model inputs'!D10)</f>
        <v>20</v>
      </c>
      <c r="E100" s="9">
        <f>IF('Model inputs'!E10="","",'Model inputs'!E10)</f>
        <v>20</v>
      </c>
      <c r="F100" s="9">
        <f>IF('Model inputs'!F10="","",'Model inputs'!F10)</f>
        <v>20</v>
      </c>
      <c r="G100" s="9">
        <f>IF('Model inputs'!G10="","",'Model inputs'!G10)</f>
        <v>10</v>
      </c>
      <c r="H100" s="9">
        <f>IF('Model inputs'!H10="","",'Model inputs'!H10)</f>
        <v>10</v>
      </c>
      <c r="I100" s="9">
        <f>IF('Model inputs'!I10="","",'Model inputs'!I10)</f>
        <v>10</v>
      </c>
      <c r="J100" s="9">
        <f>IF('Model inputs'!J10="","",'Model inputs'!J10)</f>
        <v>10</v>
      </c>
      <c r="K100" s="9">
        <f>IF('Model inputs'!K10="","",'Model inputs'!K10)</f>
        <v>10</v>
      </c>
      <c r="L100" s="9">
        <f>IF('Model inputs'!L10="","",'Model inputs'!L10)</f>
        <v>10</v>
      </c>
      <c r="M100" s="9">
        <f>IF('Model inputs'!M10="","",'Model inputs'!M10)</f>
        <v>4</v>
      </c>
      <c r="N100" s="9">
        <f>IF('Model inputs'!N10="","",'Model inputs'!N10)</f>
        <v>4</v>
      </c>
      <c r="O100" s="9">
        <f>IF('Model inputs'!O10="","",'Model inputs'!O10)</f>
        <v>4</v>
      </c>
      <c r="P100" s="9">
        <f>IF('Model inputs'!P10="","",'Model inputs'!P10)</f>
        <v>4</v>
      </c>
      <c r="Q100" s="9">
        <f>IF('Model inputs'!Q10="","",'Model inputs'!Q10)</f>
        <v>4</v>
      </c>
      <c r="R100" s="9">
        <f>IF('Model inputs'!R10="","",'Model inputs'!R10)</f>
        <v>4</v>
      </c>
      <c r="S100" s="9">
        <f>IF('Model inputs'!S10="","",'Model inputs'!S10)</f>
        <v>4</v>
      </c>
      <c r="T100" s="9">
        <f>IF('Model inputs'!T10="","",'Model inputs'!T10)</f>
        <v>4</v>
      </c>
      <c r="U100" s="9">
        <f>IF('Model inputs'!U10="","",'Model inputs'!U10)</f>
        <v>4</v>
      </c>
      <c r="V100" s="9">
        <f>IF('Model inputs'!V10="","",'Model inputs'!V10)</f>
        <v>4</v>
      </c>
      <c r="W100" s="9">
        <f>IF('Model inputs'!W10="","",'Model inputs'!W10)</f>
        <v>4</v>
      </c>
      <c r="X100" s="9">
        <f>IF('Model inputs'!X10="","",'Model inputs'!X10)</f>
        <v>4</v>
      </c>
      <c r="Y100" s="9">
        <f>IF('Model inputs'!Y10="","",'Model inputs'!Y10)</f>
        <v>4</v>
      </c>
      <c r="Z100" s="9">
        <f>IF('Model inputs'!Z10="","",'Model inputs'!Z10)</f>
        <v>4</v>
      </c>
      <c r="AA100" s="9">
        <f>IF('Model inputs'!AA10="","",'Model inputs'!AA10)</f>
        <v>4</v>
      </c>
      <c r="AB100" s="9">
        <f>IF(IF(IF(ISERROR('Model inputs'!AB89&lt;'Model inputs'!AJ54),'Model inputs'!AB89&lt;'Model inputs'!AJ54,IF(OR('Model inputs'!AB89="",'Model inputs'!AJ54=""),"",'Model inputs'!AB89&lt;'Model inputs'!AJ54))="",FALSE,IF(ISERROR('Model inputs'!AB89&lt;'Model inputs'!AJ54),'Model inputs'!AB89&lt;'Model inputs'!AJ54,IF(OR('Model inputs'!AB89="",'Model inputs'!AJ54=""),"",'Model inputs'!AB89&lt;'Model inputs'!AJ54))),IF('Model inputs'!AJ87="","",'Model inputs'!AJ87),IF(IF(IF(ISERROR('Model inputs'!AB89&lt;'Model inputs'!AJ84),'Model inputs'!AB89&lt;'Model inputs'!AJ84,IF(OR('Model inputs'!AB89="",'Model inputs'!AJ84=""),"",'Model inputs'!AB89&lt;'Model inputs'!AJ84))="",FALSE,IF(ISERROR('Model inputs'!AB89&lt;'Model inputs'!AJ84),'Model inputs'!AB89&lt;'Model inputs'!AJ84,IF(OR('Model inputs'!AB89="",'Model inputs'!AJ84=""),"",'Model inputs'!AB89&lt;'Model inputs'!AJ84))),IF('Model inputs'!AJ55="","",'Model inputs'!AJ55),IF('Model inputs'!AJ85="","",'Model inputs'!AJ85)))</f>
        <v>20</v>
      </c>
      <c r="AC100" s="9">
        <f>IF(IF(IF(ISERROR('Model inputs'!AC89&lt;'Model inputs'!AJ54),'Model inputs'!AC89&lt;'Model inputs'!AJ54,IF(OR('Model inputs'!AC89="",'Model inputs'!AJ54=""),"",'Model inputs'!AC89&lt;'Model inputs'!AJ54))="",FALSE,IF(ISERROR('Model inputs'!AC89&lt;'Model inputs'!AJ54),'Model inputs'!AC89&lt;'Model inputs'!AJ54,IF(OR('Model inputs'!AC89="",'Model inputs'!AJ54=""),"",'Model inputs'!AC89&lt;'Model inputs'!AJ54))),IF('Model inputs'!AJ87="","",'Model inputs'!AJ87),IF(IF(IF(ISERROR('Model inputs'!AC89&lt;'Model inputs'!AJ84),'Model inputs'!AC89&lt;'Model inputs'!AJ84,IF(OR('Model inputs'!AC89="",'Model inputs'!AJ84=""),"",'Model inputs'!AC89&lt;'Model inputs'!AJ84))="",FALSE,IF(ISERROR('Model inputs'!AC89&lt;'Model inputs'!AJ84),'Model inputs'!AC89&lt;'Model inputs'!AJ84,IF(OR('Model inputs'!AC89="",'Model inputs'!AJ84=""),"",'Model inputs'!AC89&lt;'Model inputs'!AJ84))),IF('Model inputs'!AJ55="","",'Model inputs'!AJ55),IF('Model inputs'!AJ85="","",'Model inputs'!AJ85)))</f>
        <v>20</v>
      </c>
      <c r="AD100" s="9">
        <f>IF(IF(IF(ISERROR('Model inputs'!AD89&lt;'Model inputs'!AJ54),'Model inputs'!AD89&lt;'Model inputs'!AJ54,IF(OR('Model inputs'!AD89="",'Model inputs'!AJ54=""),"",'Model inputs'!AD89&lt;'Model inputs'!AJ54))="",FALSE,IF(ISERROR('Model inputs'!AD89&lt;'Model inputs'!AJ54),'Model inputs'!AD89&lt;'Model inputs'!AJ54,IF(OR('Model inputs'!AD89="",'Model inputs'!AJ54=""),"",'Model inputs'!AD89&lt;'Model inputs'!AJ54))),IF('Model inputs'!AJ87="","",'Model inputs'!AJ87),IF(IF(IF(ISERROR('Model inputs'!AD89&lt;'Model inputs'!AJ84),'Model inputs'!AD89&lt;'Model inputs'!AJ84,IF(OR('Model inputs'!AD89="",'Model inputs'!AJ84=""),"",'Model inputs'!AD89&lt;'Model inputs'!AJ84))="",FALSE,IF(ISERROR('Model inputs'!AD89&lt;'Model inputs'!AJ84),'Model inputs'!AD89&lt;'Model inputs'!AJ84,IF(OR('Model inputs'!AD89="",'Model inputs'!AJ84=""),"",'Model inputs'!AD89&lt;'Model inputs'!AJ84))),IF('Model inputs'!AJ55="","",'Model inputs'!AJ55),IF('Model inputs'!AJ85="","",'Model inputs'!AJ85)))</f>
        <v>20</v>
      </c>
      <c r="AE100" s="9">
        <f>IF(IF(IF(ISERROR('Model inputs'!AE89&lt;'Model inputs'!AJ54),'Model inputs'!AE89&lt;'Model inputs'!AJ54,IF(OR('Model inputs'!AE89="",'Model inputs'!AJ54=""),"",'Model inputs'!AE89&lt;'Model inputs'!AJ54))="",FALSE,IF(ISERROR('Model inputs'!AE89&lt;'Model inputs'!AJ54),'Model inputs'!AE89&lt;'Model inputs'!AJ54,IF(OR('Model inputs'!AE89="",'Model inputs'!AJ54=""),"",'Model inputs'!AE89&lt;'Model inputs'!AJ54))),IF('Model inputs'!AJ87="","",'Model inputs'!AJ87),IF(IF(IF(ISERROR('Model inputs'!AE89&lt;'Model inputs'!AJ84),'Model inputs'!AE89&lt;'Model inputs'!AJ84,IF(OR('Model inputs'!AE89="",'Model inputs'!AJ84=""),"",'Model inputs'!AE89&lt;'Model inputs'!AJ84))="",FALSE,IF(ISERROR('Model inputs'!AE89&lt;'Model inputs'!AJ84),'Model inputs'!AE89&lt;'Model inputs'!AJ84,IF(OR('Model inputs'!AE89="",'Model inputs'!AJ84=""),"",'Model inputs'!AE89&lt;'Model inputs'!AJ84))),IF('Model inputs'!AJ55="","",'Model inputs'!AJ55),IF('Model inputs'!AJ85="","",'Model inputs'!AJ85)))</f>
        <v>20</v>
      </c>
      <c r="AF100" s="9">
        <f>IF(IF(IF(ISERROR('Model inputs'!AF89&lt;'Model inputs'!AJ54),'Model inputs'!AF89&lt;'Model inputs'!AJ54,IF(OR('Model inputs'!AF89="",'Model inputs'!AJ54=""),"",'Model inputs'!AF89&lt;'Model inputs'!AJ54))="",FALSE,IF(ISERROR('Model inputs'!AF89&lt;'Model inputs'!AJ54),'Model inputs'!AF89&lt;'Model inputs'!AJ54,IF(OR('Model inputs'!AF89="",'Model inputs'!AJ54=""),"",'Model inputs'!AF89&lt;'Model inputs'!AJ54))),IF('Model inputs'!AJ87="","",'Model inputs'!AJ87),IF(IF(IF(ISERROR('Model inputs'!AF89&lt;'Model inputs'!AJ84),'Model inputs'!AF89&lt;'Model inputs'!AJ84,IF(OR('Model inputs'!AF89="",'Model inputs'!AJ84=""),"",'Model inputs'!AF89&lt;'Model inputs'!AJ84))="",FALSE,IF(ISERROR('Model inputs'!AF89&lt;'Model inputs'!AJ84),'Model inputs'!AF89&lt;'Model inputs'!AJ84,IF(OR('Model inputs'!AF89="",'Model inputs'!AJ84=""),"",'Model inputs'!AF89&lt;'Model inputs'!AJ84))),IF('Model inputs'!AJ55="","",'Model inputs'!AJ55),IF('Model inputs'!AJ85="","",'Model inputs'!AJ85)))</f>
        <v>20</v>
      </c>
      <c r="AG100" s="9">
        <f>IF(IF(IF(ISERROR('Model inputs'!AG89&lt;'Model inputs'!AJ54),'Model inputs'!AG89&lt;'Model inputs'!AJ54,IF(OR('Model inputs'!AG89="",'Model inputs'!AJ54=""),"",'Model inputs'!AG89&lt;'Model inputs'!AJ54))="",FALSE,IF(ISERROR('Model inputs'!AG89&lt;'Model inputs'!AJ54),'Model inputs'!AG89&lt;'Model inputs'!AJ54,IF(OR('Model inputs'!AG89="",'Model inputs'!AJ54=""),"",'Model inputs'!AG89&lt;'Model inputs'!AJ54))),IF('Model inputs'!AJ87="","",'Model inputs'!AJ87),IF(IF(IF(ISERROR('Model inputs'!AG89&lt;'Model inputs'!AJ84),'Model inputs'!AG89&lt;'Model inputs'!AJ84,IF(OR('Model inputs'!AG89="",'Model inputs'!AJ84=""),"",'Model inputs'!AG89&lt;'Model inputs'!AJ84))="",FALSE,IF(ISERROR('Model inputs'!AG89&lt;'Model inputs'!AJ84),'Model inputs'!AG89&lt;'Model inputs'!AJ84,IF(OR('Model inputs'!AG89="",'Model inputs'!AJ84=""),"",'Model inputs'!AG89&lt;'Model inputs'!AJ84))),IF('Model inputs'!AJ55="","",'Model inputs'!AJ55),IF('Model inputs'!AJ85="","",'Model inputs'!AJ85)))</f>
        <v>20</v>
      </c>
      <c r="AH100" s="9">
        <f>IF(IF(IF(ISERROR('Model inputs'!AH89&lt;'Model inputs'!AJ54),'Model inputs'!AH89&lt;'Model inputs'!AJ54,IF(OR('Model inputs'!AH89="",'Model inputs'!AJ54=""),"",'Model inputs'!AH89&lt;'Model inputs'!AJ54))="",FALSE,IF(ISERROR('Model inputs'!AH89&lt;'Model inputs'!AJ54),'Model inputs'!AH89&lt;'Model inputs'!AJ54,IF(OR('Model inputs'!AH89="",'Model inputs'!AJ54=""),"",'Model inputs'!AH89&lt;'Model inputs'!AJ54))),IF('Model inputs'!AJ87="","",'Model inputs'!AJ87),IF(IF(IF(ISERROR('Model inputs'!AH89&lt;'Model inputs'!AJ84),'Model inputs'!AH89&lt;'Model inputs'!AJ84,IF(OR('Model inputs'!AH89="",'Model inputs'!AJ84=""),"",'Model inputs'!AH89&lt;'Model inputs'!AJ84))="",FALSE,IF(ISERROR('Model inputs'!AH89&lt;'Model inputs'!AJ84),'Model inputs'!AH89&lt;'Model inputs'!AJ84,IF(OR('Model inputs'!AH89="",'Model inputs'!AJ84=""),"",'Model inputs'!AH89&lt;'Model inputs'!AJ84))),IF('Model inputs'!AJ55="","",'Model inputs'!AJ55),IF('Model inputs'!AJ85="","",'Model inputs'!AJ85)))</f>
        <v>20</v>
      </c>
      <c r="AI100" s="9">
        <f>IF(IF(IF(ISERROR('Model inputs'!AI89&lt;'Model inputs'!AJ54),'Model inputs'!AI89&lt;'Model inputs'!AJ54,IF(OR('Model inputs'!AI89="",'Model inputs'!AJ54=""),"",'Model inputs'!AI89&lt;'Model inputs'!AJ54))="",FALSE,IF(ISERROR('Model inputs'!AI89&lt;'Model inputs'!AJ54),'Model inputs'!AI89&lt;'Model inputs'!AJ54,IF(OR('Model inputs'!AI89="",'Model inputs'!AJ54=""),"",'Model inputs'!AI89&lt;'Model inputs'!AJ54))),IF('Model inputs'!AJ87="","",'Model inputs'!AJ87),IF(IF(IF(ISERROR('Model inputs'!AI89&lt;'Model inputs'!AJ84),'Model inputs'!AI89&lt;'Model inputs'!AJ84,IF(OR('Model inputs'!AI89="",'Model inputs'!AJ84=""),"",'Model inputs'!AI89&lt;'Model inputs'!AJ84))="",FALSE,IF(ISERROR('Model inputs'!AI89&lt;'Model inputs'!AJ84),'Model inputs'!AI89&lt;'Model inputs'!AJ84,IF(OR('Model inputs'!AI89="",'Model inputs'!AJ84=""),"",'Model inputs'!AI89&lt;'Model inputs'!AJ84))),IF('Model inputs'!AJ55="","",'Model inputs'!AJ55),IF('Model inputs'!AJ85="","",'Model inputs'!AJ85)))</f>
        <v>20</v>
      </c>
    </row>
    <row r="101">
      <c r="A101" t="inlineStr" s="14">
        <is>
          <t xml:space="preserve">Haq CSC new operators · Haq Ending cash</t>
        </is>
      </c>
      <c r="B101" s="15">
        <f>IF('Model inputs'!B13="","",'Model inputs'!B13)</f>
        <v>0</v>
      </c>
      <c r="C101" s="15">
        <f>IF('Model inputs'!C13="","",'Model inputs'!C13)</f>
        <v>0</v>
      </c>
      <c r="D101" s="15">
        <f>IF('Model inputs'!D13="","",'Model inputs'!D13)</f>
        <v>0</v>
      </c>
      <c r="E101" s="15">
        <f>IF('Model inputs'!E13="","",'Model inputs'!E13)</f>
        <v>0</v>
      </c>
      <c r="F101" s="15">
        <f>IF('Model inputs'!F13="","",'Model inputs'!F13)</f>
        <v>0</v>
      </c>
      <c r="G101" s="15">
        <f>IF('Model inputs'!G13="","",'Model inputs'!G13)</f>
        <v>50</v>
      </c>
      <c r="H101" s="15">
        <f>IF('Model inputs'!H13="","",'Model inputs'!H13)</f>
        <v>10</v>
      </c>
      <c r="I101" s="15">
        <f>IF('Model inputs'!I13="","",'Model inputs'!I13)</f>
        <v>11.5</v>
      </c>
      <c r="J101" s="15">
        <f>IF('Model inputs'!J13="","",'Model inputs'!J13)</f>
        <v>13.224999999999998</v>
      </c>
      <c r="K101" s="15">
        <f>IF('Model inputs'!K13="","",'Model inputs'!K13)</f>
        <v>15.208749999999995</v>
      </c>
      <c r="L101" s="15">
        <f>IF('Model inputs'!L13="","",'Model inputs'!L13)</f>
        <v>17.490062499999993</v>
      </c>
      <c r="M101" s="15">
        <f>IF('Model inputs'!M13="","",'Model inputs'!M13)</f>
        <v>20.11357187499999</v>
      </c>
      <c r="N101" s="15">
        <f>IF('Model inputs'!N13="","",'Model inputs'!N13)</f>
        <v>23.13060765624999</v>
      </c>
      <c r="O101" s="15">
        <f>IF('Model inputs'!O13="","",'Model inputs'!O13)</f>
        <v>26.600198804687484</v>
      </c>
      <c r="P101" s="15">
        <f>IF('Model inputs'!P13="","",'Model inputs'!P13)</f>
        <v>30.590228625390605</v>
      </c>
      <c r="Q101" s="15">
        <f>IF('Model inputs'!Q13="","",'Model inputs'!Q13)</f>
        <v>35.178762919199194</v>
      </c>
      <c r="R101" s="15">
        <f>IF('Model inputs'!R13="","",'Model inputs'!R13)</f>
        <v>40.45557735707907</v>
      </c>
      <c r="S101" s="15">
        <f>IF('Model inputs'!S13="","",'Model inputs'!S13)</f>
        <v>46.523913960640925</v>
      </c>
      <c r="T101" s="15">
        <f>IF('Model inputs'!T13="","",'Model inputs'!T13)</f>
        <v>53.50250105473706</v>
      </c>
      <c r="U101" s="15">
        <f>IF('Model inputs'!U13="","",'Model inputs'!U13)</f>
        <v>61.52787621294762</v>
      </c>
      <c r="V101" s="15">
        <f>IF('Model inputs'!V13="","",'Model inputs'!V13)</f>
        <v>70.75705764488976</v>
      </c>
      <c r="W101" s="15">
        <f>IF('Model inputs'!W13="","",'Model inputs'!W13)</f>
        <v>81.37061629162321</v>
      </c>
      <c r="X101" s="15">
        <f>IF('Model inputs'!X13="","",'Model inputs'!X13)</f>
        <v>93.57620873536669</v>
      </c>
      <c r="Y101" s="15">
        <f>IF('Model inputs'!Y13="","",'Model inputs'!Y13)</f>
        <v>107.61264004567168</v>
      </c>
      <c r="Z101" s="15">
        <f>IF('Model inputs'!Z13="","",'Model inputs'!Z13)</f>
        <v>123.75453605252243</v>
      </c>
      <c r="AA101" s="15">
        <f>IF('Model inputs'!AA13="","",'Model inputs'!AA13)</f>
        <v>142.31771646040076</v>
      </c>
      <c r="AB101" s="15">
        <f>IF(IF(IF(ISERROR('Model inputs'!AB89='Model inputs'!AJ40),'Model inputs'!AB89='Model inputs'!AJ40,IF(OR('Model inputs'!AB89="",'Model inputs'!AJ40=""),"",'Model inputs'!AB89='Model inputs'!AJ40))="",FALSE,IF(ISERROR('Model inputs'!AB89='Model inputs'!AJ40),'Model inputs'!AB89='Model inputs'!AJ40,IF(OR('Model inputs'!AB89="",'Model inputs'!AJ40=""),"",'Model inputs'!AB89='Model inputs'!AJ40))),IF('Model inputs'!AJ41="","",'Model inputs'!AJ41),IF(IF(IF(ISERROR('Model inputs'!AB89&gt;'Model inputs'!AJ40),'Model inputs'!AB89&gt;'Model inputs'!AJ40,IF(OR('Model inputs'!AB89="",'Model inputs'!AJ40=""),"",'Model inputs'!AB89&gt;'Model inputs'!AJ40))="",FALSE,IF(ISERROR('Model inputs'!AB89&gt;'Model inputs'!AJ40),'Model inputs'!AB89&gt;'Model inputs'!AJ40,IF(OR('Model inputs'!AB89="",'Model inputs'!AJ40=""),"",'Model inputs'!AB89&gt;'Model inputs'!AJ40))),0*'Model inputs'!AJ37,0))</f>
        <v>0</v>
      </c>
      <c r="AC101" s="15">
        <f>IF(IF(IF(ISERROR('Model inputs'!AC89='Model inputs'!AJ40),'Model inputs'!AC89='Model inputs'!AJ40,IF(OR('Model inputs'!AC89="",'Model inputs'!AJ40=""),"",'Model inputs'!AC89='Model inputs'!AJ40))="",FALSE,IF(ISERROR('Model inputs'!AC89='Model inputs'!AJ40),'Model inputs'!AC89='Model inputs'!AJ40,IF(OR('Model inputs'!AC89="",'Model inputs'!AJ40=""),"",'Model inputs'!AC89='Model inputs'!AJ40))),IF('Model inputs'!AJ41="","",'Model inputs'!AJ41),IF(IF(IF(ISERROR('Model inputs'!AC89&gt;'Model inputs'!AJ40),'Model inputs'!AC89&gt;'Model inputs'!AJ40,IF(OR('Model inputs'!AC89="",'Model inputs'!AJ40=""),"",'Model inputs'!AC89&gt;'Model inputs'!AJ40))="",FALSE,IF(ISERROR('Model inputs'!AC89&gt;'Model inputs'!AJ40),'Model inputs'!AC89&gt;'Model inputs'!AJ40,IF(OR('Model inputs'!AC89="",'Model inputs'!AJ40=""),"",'Model inputs'!AC89&gt;'Model inputs'!AJ40))),'Model inputs'!AB14*'Model inputs'!AJ37,0))</f>
        <v>0</v>
      </c>
      <c r="AD101" s="15">
        <f>IF(IF(IF(ISERROR('Model inputs'!AD89='Model inputs'!AJ40),'Model inputs'!AD89='Model inputs'!AJ40,IF(OR('Model inputs'!AD89="",'Model inputs'!AJ40=""),"",'Model inputs'!AD89='Model inputs'!AJ40))="",FALSE,IF(ISERROR('Model inputs'!AD89='Model inputs'!AJ40),'Model inputs'!AD89='Model inputs'!AJ40,IF(OR('Model inputs'!AD89="",'Model inputs'!AJ40=""),"",'Model inputs'!AD89='Model inputs'!AJ40))),IF('Model inputs'!AJ41="","",'Model inputs'!AJ41),IF(IF(IF(ISERROR('Model inputs'!AD89&gt;'Model inputs'!AJ40),'Model inputs'!AD89&gt;'Model inputs'!AJ40,IF(OR('Model inputs'!AD89="",'Model inputs'!AJ40=""),"",'Model inputs'!AD89&gt;'Model inputs'!AJ40))="",FALSE,IF(ISERROR('Model inputs'!AD89&gt;'Model inputs'!AJ40),'Model inputs'!AD89&gt;'Model inputs'!AJ40,IF(OR('Model inputs'!AD89="",'Model inputs'!AJ40=""),"",'Model inputs'!AD89&gt;'Model inputs'!AJ40))),'Model inputs'!AC14*'Model inputs'!AJ37,0))</f>
        <v>0</v>
      </c>
      <c r="AE101" s="15">
        <f>IF(IF(IF(ISERROR('Model inputs'!AE89='Model inputs'!AJ40),'Model inputs'!AE89='Model inputs'!AJ40,IF(OR('Model inputs'!AE89="",'Model inputs'!AJ40=""),"",'Model inputs'!AE89='Model inputs'!AJ40))="",FALSE,IF(ISERROR('Model inputs'!AE89='Model inputs'!AJ40),'Model inputs'!AE89='Model inputs'!AJ40,IF(OR('Model inputs'!AE89="",'Model inputs'!AJ40=""),"",'Model inputs'!AE89='Model inputs'!AJ40))),IF('Model inputs'!AJ41="","",'Model inputs'!AJ41),IF(IF(IF(ISERROR('Model inputs'!AE89&gt;'Model inputs'!AJ40),'Model inputs'!AE89&gt;'Model inputs'!AJ40,IF(OR('Model inputs'!AE89="",'Model inputs'!AJ40=""),"",'Model inputs'!AE89&gt;'Model inputs'!AJ40))="",FALSE,IF(ISERROR('Model inputs'!AE89&gt;'Model inputs'!AJ40),'Model inputs'!AE89&gt;'Model inputs'!AJ40,IF(OR('Model inputs'!AE89="",'Model inputs'!AJ40=""),"",'Model inputs'!AE89&gt;'Model inputs'!AJ40))),'Model inputs'!AD14*'Model inputs'!AJ37,0))</f>
        <v>0</v>
      </c>
      <c r="AF101" s="15">
        <f>IF(IF(IF(ISERROR('Model inputs'!AF89='Model inputs'!AJ40),'Model inputs'!AF89='Model inputs'!AJ40,IF(OR('Model inputs'!AF89="",'Model inputs'!AJ40=""),"",'Model inputs'!AF89='Model inputs'!AJ40))="",FALSE,IF(ISERROR('Model inputs'!AF89='Model inputs'!AJ40),'Model inputs'!AF89='Model inputs'!AJ40,IF(OR('Model inputs'!AF89="",'Model inputs'!AJ40=""),"",'Model inputs'!AF89='Model inputs'!AJ40))),IF('Model inputs'!AJ41="","",'Model inputs'!AJ41),IF(IF(IF(ISERROR('Model inputs'!AF89&gt;'Model inputs'!AJ40),'Model inputs'!AF89&gt;'Model inputs'!AJ40,IF(OR('Model inputs'!AF89="",'Model inputs'!AJ40=""),"",'Model inputs'!AF89&gt;'Model inputs'!AJ40))="",FALSE,IF(ISERROR('Model inputs'!AF89&gt;'Model inputs'!AJ40),'Model inputs'!AF89&gt;'Model inputs'!AJ40,IF(OR('Model inputs'!AF89="",'Model inputs'!AJ40=""),"",'Model inputs'!AF89&gt;'Model inputs'!AJ40))),'Model inputs'!AE14*'Model inputs'!AJ37,0))</f>
        <v>0</v>
      </c>
      <c r="AG101" s="15">
        <f>IF(IF(IF(ISERROR('Model inputs'!AG89='Model inputs'!AJ40),'Model inputs'!AG89='Model inputs'!AJ40,IF(OR('Model inputs'!AG89="",'Model inputs'!AJ40=""),"",'Model inputs'!AG89='Model inputs'!AJ40))="",FALSE,IF(ISERROR('Model inputs'!AG89='Model inputs'!AJ40),'Model inputs'!AG89='Model inputs'!AJ40,IF(OR('Model inputs'!AG89="",'Model inputs'!AJ40=""),"",'Model inputs'!AG89='Model inputs'!AJ40))),IF('Model inputs'!AJ41="","",'Model inputs'!AJ41),IF(IF(IF(ISERROR('Model inputs'!AG89&gt;'Model inputs'!AJ40),'Model inputs'!AG89&gt;'Model inputs'!AJ40,IF(OR('Model inputs'!AG89="",'Model inputs'!AJ40=""),"",'Model inputs'!AG89&gt;'Model inputs'!AJ40))="",FALSE,IF(ISERROR('Model inputs'!AG89&gt;'Model inputs'!AJ40),'Model inputs'!AG89&gt;'Model inputs'!AJ40,IF(OR('Model inputs'!AG89="",'Model inputs'!AJ40=""),"",'Model inputs'!AG89&gt;'Model inputs'!AJ40))),'Model inputs'!AF14*'Model inputs'!AJ37,0))</f>
        <v>0</v>
      </c>
      <c r="AH101" s="15">
        <f>IF(IF(IF(ISERROR('Model inputs'!AH89='Model inputs'!AJ40),'Model inputs'!AH89='Model inputs'!AJ40,IF(OR('Model inputs'!AH89="",'Model inputs'!AJ40=""),"",'Model inputs'!AH89='Model inputs'!AJ40))="",FALSE,IF(ISERROR('Model inputs'!AH89='Model inputs'!AJ40),'Model inputs'!AH89='Model inputs'!AJ40,IF(OR('Model inputs'!AH89="",'Model inputs'!AJ40=""),"",'Model inputs'!AH89='Model inputs'!AJ40))),IF('Model inputs'!AJ41="","",'Model inputs'!AJ41),IF(IF(IF(ISERROR('Model inputs'!AH89&gt;'Model inputs'!AJ40),'Model inputs'!AH89&gt;'Model inputs'!AJ40,IF(OR('Model inputs'!AH89="",'Model inputs'!AJ40=""),"",'Model inputs'!AH89&gt;'Model inputs'!AJ40))="",FALSE,IF(ISERROR('Model inputs'!AH89&gt;'Model inputs'!AJ40),'Model inputs'!AH89&gt;'Model inputs'!AJ40,IF(OR('Model inputs'!AH89="",'Model inputs'!AJ40=""),"",'Model inputs'!AH89&gt;'Model inputs'!AJ40))),'Model inputs'!AG14*'Model inputs'!AJ37,0))</f>
        <v>0</v>
      </c>
      <c r="AI101" s="15">
        <f>IF(IF(IF(ISERROR('Model inputs'!AI89='Model inputs'!AJ40),'Model inputs'!AI89='Model inputs'!AJ40,IF(OR('Model inputs'!AI89="",'Model inputs'!AJ40=""),"",'Model inputs'!AI89='Model inputs'!AJ40))="",FALSE,IF(ISERROR('Model inputs'!AI89='Model inputs'!AJ40),'Model inputs'!AI89='Model inputs'!AJ40,IF(OR('Model inputs'!AI89="",'Model inputs'!AJ40=""),"",'Model inputs'!AI89='Model inputs'!AJ40))),IF('Model inputs'!AJ41="","",'Model inputs'!AJ41),IF(IF(IF(ISERROR('Model inputs'!AI89&gt;'Model inputs'!AJ40),'Model inputs'!AI89&gt;'Model inputs'!AJ40,IF(OR('Model inputs'!AI89="",'Model inputs'!AJ40=""),"",'Model inputs'!AI89&gt;'Model inputs'!AJ40))="",FALSE,IF(ISERROR('Model inputs'!AI89&gt;'Model inputs'!AJ40),'Model inputs'!AI89&gt;'Model inputs'!AJ40,IF(OR('Model inputs'!AI89="",'Model inputs'!AJ40=""),"",'Model inputs'!AI89&gt;'Model inputs'!AJ40))),'Model inputs'!AH14*'Model inputs'!AJ37,0))</f>
        <v>0</v>
      </c>
    </row>
    <row r="103">
      <c r="A103" t="inlineStr" s="13">
        <is>
          <t xml:space="preserve">Dimensions</t>
        </is>
      </c>
    </row>
    <row r="104">
      <c r="A104" t="inlineStr" s="14">
        <is>
          <t xml:space="preserve">Haq input</t>
        </is>
      </c>
      <c r="B104" t="inlineStr" s="18">
        <is>
          <t xml:space="preserve">Annual renewal retention</t>
        </is>
      </c>
      <c r="C104" t="inlineStr" s="18">
        <is>
          <t xml:space="preserve">Benefit commission rate</t>
        </is>
      </c>
      <c r="D104" t="inlineStr" s="18">
        <is>
          <t xml:space="preserve">CSC checks per operator</t>
        </is>
      </c>
      <c r="E104" t="inlineStr" s="18">
        <is>
          <t xml:space="preserve">CSC extra check price</t>
        </is>
      </c>
      <c r="F104" t="inlineStr" s="18">
        <is>
          <t xml:space="preserve">CSC gross monthly growth</t>
        </is>
      </c>
      <c r="G104" t="inlineStr" s="18">
        <is>
          <t xml:space="preserve">CSC included checks</t>
        </is>
      </c>
      <c r="H104" t="inlineStr" s="18">
        <is>
          <t xml:space="preserve">CSC incremental CAC</t>
        </is>
      </c>
      <c r="I104" t="inlineStr" s="18">
        <is>
          <t xml:space="preserve">CSC launch month</t>
        </is>
      </c>
      <c r="J104" t="inlineStr" s="18">
        <is>
          <t xml:space="preserve">CSC launch operators</t>
        </is>
      </c>
      <c r="K104" t="inlineStr" s="18">
        <is>
          <t xml:space="preserve">CSC monthly churn</t>
        </is>
      </c>
      <c r="L104" t="inlineStr" s="18">
        <is>
          <t xml:space="preserve">CSC monthly price</t>
        </is>
      </c>
      <c r="M104" t="inlineStr" s="18">
        <is>
          <t xml:space="preserve">CSR annual district price</t>
        </is>
      </c>
      <c r="N104" t="inlineStr" s="18">
        <is>
          <t xml:space="preserve">CSR checks per district year</t>
        </is>
      </c>
      <c r="O104" t="inlineStr" s="18">
        <is>
          <t xml:space="preserve">CSR district equivalents M12</t>
        </is>
      </c>
      <c r="P104" t="inlineStr" s="18">
        <is>
          <t xml:space="preserve">CSR district equivalents M15</t>
        </is>
      </c>
      <c r="Q104" t="inlineStr" s="18">
        <is>
          <t xml:space="preserve">CSR district equivalents M18</t>
        </is>
      </c>
      <c r="R104" t="inlineStr" s="18">
        <is>
          <t xml:space="preserve">CSR district equivalents M21</t>
        </is>
      </c>
      <c r="S104" t="inlineStr" s="18">
        <is>
          <t xml:space="preserve">CSR district equivalents M23</t>
        </is>
      </c>
      <c r="T104" t="inlineStr" s="18">
        <is>
          <t xml:space="preserve">CSR district equivalents M24</t>
        </is>
      </c>
      <c r="U104" t="inlineStr" s="18">
        <is>
          <t xml:space="preserve">CSR district equivalents M6</t>
        </is>
      </c>
      <c r="V104" t="inlineStr" s="18">
        <is>
          <t xml:space="preserve">CSR district equivalents M9</t>
        </is>
      </c>
      <c r="W104" t="inlineStr" s="18">
        <is>
          <t xml:space="preserve">Cache begins month</t>
        </is>
      </c>
      <c r="X104" t="inlineStr" s="18">
        <is>
          <t xml:space="preserve">Cached check cost</t>
        </is>
      </c>
      <c r="Y104" t="inlineStr" s="18">
        <is>
          <t xml:space="preserve">Citizen price</t>
        </is>
      </c>
      <c r="Z104" t="inlineStr" s="18">
        <is>
          <t xml:space="preserve">Cloud fixed monthly</t>
        </is>
      </c>
      <c r="AA104" t="inlineStr" s="18">
        <is>
          <t xml:space="preserve">Cloud per 100 checks</t>
        </is>
      </c>
      <c r="AB104" t="inlineStr" s="18">
        <is>
          <t xml:space="preserve">Collection delay</t>
        </is>
      </c>
      <c r="AC104" t="inlineStr" s="18">
        <is>
          <t xml:space="preserve">Collection fee rate</t>
        </is>
      </c>
      <c r="AD104" t="inlineStr" s="18">
        <is>
          <t xml:space="preserve">Developer count</t>
        </is>
      </c>
      <c r="AE104" t="inlineStr" s="18">
        <is>
          <t xml:space="preserve">Developer monthly salary</t>
        </is>
      </c>
      <c r="AF104" t="inlineStr" s="18">
        <is>
          <t xml:space="preserve">Developer start month</t>
        </is>
      </c>
      <c r="AG104" t="inlineStr" s="18">
        <is>
          <t xml:space="preserve">District launch cost</t>
        </is>
      </c>
      <c r="AH104" t="inlineStr" s="18">
        <is>
          <t xml:space="preserve">Employer annual worker price</t>
        </is>
      </c>
      <c r="AI104" t="inlineStr" s="18">
        <is>
          <t xml:space="preserve">Employer checks per worker year</t>
        </is>
      </c>
      <c r="AJ104" t="inlineStr" s="18">
        <is>
          <t xml:space="preserve">Employer workers M12</t>
        </is>
      </c>
      <c r="AK104" t="inlineStr" s="18">
        <is>
          <t xml:space="preserve">Employer workers M18</t>
        </is>
      </c>
      <c r="AL104" t="inlineStr" s="18">
        <is>
          <t xml:space="preserve">Employer workers M24</t>
        </is>
      </c>
      <c r="AM104" t="inlineStr" s="18">
        <is>
          <t xml:space="preserve">Employer workers M9</t>
        </is>
      </c>
      <c r="AN104" t="inlineStr" s="18">
        <is>
          <t xml:space="preserve">Field lead count</t>
        </is>
      </c>
      <c r="AO104" t="inlineStr" s="18">
        <is>
          <t xml:space="preserve">Field lead monthly salary</t>
        </is>
      </c>
      <c r="AP104" t="inlineStr" s="18">
        <is>
          <t xml:space="preserve">Field lead start month</t>
        </is>
      </c>
      <c r="AQ104" t="inlineStr" s="18">
        <is>
          <t xml:space="preserve">Founder count</t>
        </is>
      </c>
      <c r="AR104" t="inlineStr" s="18">
        <is>
          <t xml:space="preserve">Founder monthly salary</t>
        </is>
      </c>
      <c r="AS104" t="inlineStr" s="18">
        <is>
          <t xml:space="preserve">Founder start month</t>
        </is>
      </c>
      <c r="AT104" t="inlineStr" s="18">
        <is>
          <t xml:space="preserve">Funding safety reserve</t>
        </is>
      </c>
      <c r="AU104" t="inlineStr" s="18">
        <is>
          <t xml:space="preserve">Marketing acquisition allocation</t>
        </is>
      </c>
      <c r="AV104" t="inlineStr" s="18">
        <is>
          <t xml:space="preserve">Marketing monthly</t>
        </is>
      </c>
      <c r="AW104" t="inlineStr" s="18">
        <is>
          <t xml:space="preserve">Preview AI cost multiplier</t>
        </is>
      </c>
      <c r="AX104" t="inlineStr" s="18">
        <is>
          <t xml:space="preserve">Preview additional funding</t>
        </is>
      </c>
      <c r="AY104" t="inlineStr" s="18">
        <is>
          <t xml:space="preserve">Recommended CSC price</t>
        </is>
      </c>
      <c r="AZ104" t="inlineStr" s="18">
        <is>
          <t xml:space="preserve">Recommended extra price</t>
        </is>
      </c>
      <c r="BA104" t="inlineStr" s="18">
        <is>
          <t xml:space="preserve">Scale begins month</t>
        </is>
      </c>
      <c r="BB104" t="inlineStr" s="18">
        <is>
          <t xml:space="preserve">Scale check cost</t>
        </is>
      </c>
      <c r="BC104" t="inlineStr" s="18">
        <is>
          <t xml:space="preserve">Starting cash</t>
        </is>
      </c>
      <c r="BD104" t="inlineStr" s="18">
        <is>
          <t xml:space="preserve">Uncached check cost</t>
        </is>
      </c>
    </row>
  </sheetData>
  <mergeCells count="2">
    <mergeCell ref="A1:AJ1"/>
    <mergeCell ref="A2:AJ2"/>
  </mergeCells>
</worksheet>
</file>