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Haq — All assumptions" sheetId="1" r:id="rId1"/>
  </sheets>
  <calcPr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###;(#,##0.###)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5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E5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</cols>
  <sheetData>
    <row r="1" ht="32" customHeight="1">
      <c r="A1" t="inlineStr" s="1">
        <is>
          <t xml:space="preserve">Haq — All assumptions</t>
        </is>
      </c>
    </row>
    <row r="2" ht="20" customHeight="1">
      <c r="A2" t="inlineStr" s="2">
        <is>
          <t xml:space="preserve">Haq — Assumptions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Haq input value</t>
        </is>
      </c>
      <c r="C4" t="inlineStr" s="4">
        <is>
          <t xml:space="preserve">Haq input basis</t>
        </is>
      </c>
      <c r="D4" t="inlineStr" s="4">
        <is>
          <t xml:space="preserve">Haq input unit</t>
        </is>
      </c>
      <c r="E4" t="inlineStr" s="4">
        <is>
          <t xml:space="preserve">Haq input explanation</t>
        </is>
      </c>
    </row>
    <row r="5">
      <c r="A5" t="inlineStr" s="5">
        <is>
          <t xml:space="preserve">Annual renewal retention</t>
        </is>
      </c>
      <c r="B5" s="6">
        <f>1</f>
        <v>1</v>
      </c>
      <c r="C5" t="str" s="6">
        <f>"ASSUMED"</f>
        <v>ASSUMED</v>
      </c>
      <c r="D5" t="str" s="6">
        <f>"rate"</f>
        <v>rate</v>
      </c>
      <c r="E5" t="str" s="6">
        <f>"100% renewals assumed"</f>
        <v>100% renewals assumed</v>
      </c>
    </row>
    <row r="6">
      <c r="A6" t="inlineStr" s="7">
        <is>
          <t xml:space="preserve">Benefit commission rate</t>
        </is>
      </c>
      <c r="B6" s="8">
        <f>0</f>
        <v>0</v>
      </c>
      <c r="C6" t="str" s="8">
        <f>"ASSUMED"</f>
        <v>ASSUMED</v>
      </c>
      <c r="D6" t="str" s="8">
        <f>"rate"</f>
        <v>rate</v>
      </c>
      <c r="E6" t="str" s="8">
        <f>"Hard business rule"</f>
        <v>Hard business rule</v>
      </c>
    </row>
    <row r="7">
      <c r="A7" t="inlineStr" s="7">
        <is>
          <t xml:space="preserve">CSC checks per operator</t>
        </is>
      </c>
      <c r="B7" s="8">
        <f>80</f>
        <v>80</v>
      </c>
      <c r="C7" t="str" s="8">
        <f>"ASSUMED"</f>
        <v>ASSUMED</v>
      </c>
      <c r="D7" t="str" s="8">
        <f>"checks/month"</f>
        <v>checks/month</v>
      </c>
      <c r="E7" t="str" s="8">
        <f>""</f>
        <v/>
      </c>
    </row>
    <row r="8">
      <c r="A8" t="inlineStr" s="7">
        <is>
          <t xml:space="preserve">CSC extra check price</t>
        </is>
      </c>
      <c r="B8" s="8">
        <f>15</f>
        <v>15</v>
      </c>
      <c r="C8" t="str" s="8">
        <f>"ASSUMED"</f>
        <v>ASSUMED</v>
      </c>
      <c r="D8" t="str" s="8">
        <f>"INR/check"</f>
        <v>INR/check</v>
      </c>
      <c r="E8" t="str" s="8">
        <f>""</f>
        <v/>
      </c>
    </row>
    <row r="9">
      <c r="A9" t="inlineStr" s="7">
        <is>
          <t xml:space="preserve">CSC gross monthly growth</t>
        </is>
      </c>
      <c r="B9" s="8">
        <f>0.2</f>
        <v>0.2</v>
      </c>
      <c r="C9" t="str" s="8">
        <f>"ASSUMED"</f>
        <v>ASSUMED</v>
      </c>
      <c r="D9" t="str" s="8">
        <f>"rate"</f>
        <v>rate</v>
      </c>
      <c r="E9" t="str" s="8">
        <f>"Gross additions before churn"</f>
        <v>Gross additions before churn</v>
      </c>
    </row>
    <row r="10">
      <c r="A10" t="inlineStr" s="7">
        <is>
          <t xml:space="preserve">CSC included checks</t>
        </is>
      </c>
      <c r="B10" s="8">
        <f>100</f>
        <v>100</v>
      </c>
      <c r="C10" t="str" s="8">
        <f>"ASSUMED"</f>
        <v>ASSUMED</v>
      </c>
      <c r="D10" t="str" s="8">
        <f>"checks"</f>
        <v>checks</v>
      </c>
      <c r="E10" t="str" s="8">
        <f>""</f>
        <v/>
      </c>
    </row>
    <row r="11">
      <c r="A11" t="inlineStr" s="7">
        <is>
          <t xml:space="preserve">CSC incremental CAC</t>
        </is>
      </c>
      <c r="B11" s="8">
        <f>2000</f>
        <v>2000</v>
      </c>
      <c r="C11" t="str" s="8">
        <f>"ASSUMED"</f>
        <v>ASSUMED</v>
      </c>
      <c r="D11" t="str" s="8">
        <f>"INR/operator"</f>
        <v>INR/operator</v>
      </c>
      <c r="E11" t="str" s="8">
        <f>"Acquisition-funded test: charged for gross new operators, including launch and replacements of churned operators. Only demand above the allocated existing marketing budget is added to costs."</f>
        <v>Acquisition-funded test: charged for gross new operators, including launch and replacements of churned operators. Only demand above the allocated existing marketing budget is added to costs.</v>
      </c>
    </row>
    <row r="12">
      <c r="A12" t="inlineStr" s="7">
        <is>
          <t xml:space="preserve">CSC launch month</t>
        </is>
      </c>
      <c r="B12" s="8">
        <f>4</f>
        <v>4</v>
      </c>
      <c r="C12" t="str" s="8">
        <f>"ASSUMED"</f>
        <v>ASSUMED</v>
      </c>
      <c r="D12" t="str" s="8">
        <f>"month"</f>
        <v>month</v>
      </c>
      <c r="E12" t="str" s="8">
        <f>""</f>
        <v/>
      </c>
    </row>
    <row r="13">
      <c r="A13" t="inlineStr" s="7">
        <is>
          <t xml:space="preserve">CSC launch operators</t>
        </is>
      </c>
      <c r="B13" s="8">
        <f>50</f>
        <v>50</v>
      </c>
      <c r="C13" t="str" s="8">
        <f>"ASSUMED"</f>
        <v>ASSUMED</v>
      </c>
      <c r="D13" t="str" s="8">
        <f>"operators"</f>
        <v>operators</v>
      </c>
      <c r="E13" t="str" s="8">
        <f>""</f>
        <v/>
      </c>
    </row>
    <row r="14">
      <c r="A14" t="inlineStr" s="7">
        <is>
          <t xml:space="preserve">CSC monthly churn</t>
        </is>
      </c>
      <c r="B14" s="8">
        <f>0.05</f>
        <v>0.05</v>
      </c>
      <c r="C14" t="str" s="8">
        <f>"ASSUMED"</f>
        <v>ASSUMED</v>
      </c>
      <c r="D14" t="str" s="8">
        <f>"rate"</f>
        <v>rate</v>
      </c>
      <c r="E14" t="str" s="8">
        <f>"Base supplied; other cases proposed"</f>
        <v>Base supplied; other cases proposed</v>
      </c>
    </row>
    <row r="15">
      <c r="A15" t="inlineStr" s="7">
        <is>
          <t xml:space="preserve">CSC monthly price</t>
        </is>
      </c>
      <c r="B15" s="8">
        <f>1499</f>
        <v>1499</v>
      </c>
      <c r="C15" t="str" s="8">
        <f>"ASSUMED"</f>
        <v>ASSUMED</v>
      </c>
      <c r="D15" t="str" s="8">
        <f>"INR/month"</f>
        <v>INR/month</v>
      </c>
      <c r="E15" t="str" s="8">
        <f>""</f>
        <v/>
      </c>
    </row>
    <row r="16">
      <c r="A16" t="inlineStr" s="7">
        <is>
          <t xml:space="preserve">CSR annual district price</t>
        </is>
      </c>
      <c r="B16" s="8">
        <f>500000</f>
        <v>500000</v>
      </c>
      <c r="C16" t="str" s="8">
        <f>"ASSUMED"</f>
        <v>ASSUMED</v>
      </c>
      <c r="D16" t="str" s="8">
        <f>"INR"</f>
        <v>INR</v>
      </c>
      <c r="E16" t="str" s="8">
        <f>""</f>
        <v/>
      </c>
    </row>
    <row r="17">
      <c r="A17" t="inlineStr" s="7">
        <is>
          <t xml:space="preserve">CSR checks per district year</t>
        </is>
      </c>
      <c r="B17" s="8">
        <f>25000</f>
        <v>25000</v>
      </c>
      <c r="C17" t="str" s="8">
        <f>"ASSUMED"</f>
        <v>ASSUMED</v>
      </c>
      <c r="D17" t="str" s="8">
        <f>"checks/year"</f>
        <v>checks/year</v>
      </c>
      <c r="E17" t="str" s="8">
        <f>"Full utilisation, evenly spread"</f>
        <v>Full utilisation, evenly spread</v>
      </c>
    </row>
    <row r="18">
      <c r="A18" t="inlineStr" s="7">
        <is>
          <t xml:space="preserve">CSR district equivalents M12</t>
        </is>
      </c>
      <c r="B18" s="8">
        <f>3</f>
        <v>3</v>
      </c>
      <c r="C18" t="str" s="8">
        <f>"ASSUMED"</f>
        <v>ASSUMED</v>
      </c>
      <c r="D18" t="str" s="8">
        <f>"equivalents"</f>
        <v>equivalents</v>
      </c>
      <c r="E18" t="str" s="8">
        <f>"Half-sized contracts in conservative; intermediate dates assumed"</f>
        <v>Half-sized contracts in conservative; intermediate dates assumed</v>
      </c>
    </row>
    <row r="19">
      <c r="A19" t="inlineStr" s="7">
        <is>
          <t xml:space="preserve">CSR district equivalents M15</t>
        </is>
      </c>
      <c r="B19" s="8">
        <f>4</f>
        <v>4</v>
      </c>
      <c r="C19" t="str" s="8">
        <f>"ASSUMED"</f>
        <v>ASSUMED</v>
      </c>
      <c r="D19" t="str" s="8">
        <f>"equivalents"</f>
        <v>equivalents</v>
      </c>
      <c r="E19" t="str" s="8">
        <f>"Half-sized contracts in conservative; intermediate dates assumed"</f>
        <v>Half-sized contracts in conservative; intermediate dates assumed</v>
      </c>
    </row>
    <row r="20">
      <c r="A20" t="inlineStr" s="7">
        <is>
          <t xml:space="preserve">CSR district equivalents M18</t>
        </is>
      </c>
      <c r="B20" s="8">
        <f>5</f>
        <v>5</v>
      </c>
      <c r="C20" t="str" s="8">
        <f>"ASSUMED"</f>
        <v>ASSUMED</v>
      </c>
      <c r="D20" t="str" s="8">
        <f>"equivalents"</f>
        <v>equivalents</v>
      </c>
      <c r="E20" t="str" s="8">
        <f>"Half-sized contracts in conservative; intermediate dates assumed"</f>
        <v>Half-sized contracts in conservative; intermediate dates assumed</v>
      </c>
    </row>
    <row r="21">
      <c r="A21" t="inlineStr" s="7">
        <is>
          <t xml:space="preserve">CSR district equivalents M21</t>
        </is>
      </c>
      <c r="B21" s="8">
        <f>6</f>
        <v>6</v>
      </c>
      <c r="C21" t="str" s="8">
        <f>"ASSUMED"</f>
        <v>ASSUMED</v>
      </c>
      <c r="D21" t="str" s="8">
        <f>"equivalents"</f>
        <v>equivalents</v>
      </c>
      <c r="E21" t="str" s="8">
        <f>"Half-sized contracts in conservative; intermediate dates assumed"</f>
        <v>Half-sized contracts in conservative; intermediate dates assumed</v>
      </c>
    </row>
    <row r="22">
      <c r="A22" t="inlineStr" s="7">
        <is>
          <t xml:space="preserve">CSR district equivalents M23</t>
        </is>
      </c>
      <c r="B22" s="8">
        <f>7</f>
        <v>7</v>
      </c>
      <c r="C22" t="str" s="8">
        <f>"ASSUMED"</f>
        <v>ASSUMED</v>
      </c>
      <c r="D22" t="str" s="8">
        <f>"equivalents"</f>
        <v>equivalents</v>
      </c>
      <c r="E22" t="str" s="8">
        <f>"Half-sized contracts in conservative; intermediate dates assumed"</f>
        <v>Half-sized contracts in conservative; intermediate dates assumed</v>
      </c>
    </row>
    <row r="23">
      <c r="A23" t="inlineStr" s="7">
        <is>
          <t xml:space="preserve">CSR district equivalents M24</t>
        </is>
      </c>
      <c r="B23" s="8">
        <f>8</f>
        <v>8</v>
      </c>
      <c r="C23" t="str" s="8">
        <f>"ASSUMED"</f>
        <v>ASSUMED</v>
      </c>
      <c r="D23" t="str" s="8">
        <f>"equivalents"</f>
        <v>equivalents</v>
      </c>
      <c r="E23" t="str" s="8">
        <f>"Half-sized contracts in conservative; intermediate dates assumed"</f>
        <v>Half-sized contracts in conservative; intermediate dates assumed</v>
      </c>
    </row>
    <row r="24">
      <c r="A24" t="inlineStr" s="7">
        <is>
          <t xml:space="preserve">CSR district equivalents M6</t>
        </is>
      </c>
      <c r="B24" s="8">
        <f>1</f>
        <v>1</v>
      </c>
      <c r="C24" t="str" s="8">
        <f>"ASSUMED"</f>
        <v>ASSUMED</v>
      </c>
      <c r="D24" t="str" s="8">
        <f>"equivalents"</f>
        <v>equivalents</v>
      </c>
      <c r="E24" t="str" s="8">
        <f>"Half-sized contracts in conservative; intermediate dates assumed"</f>
        <v>Half-sized contracts in conservative; intermediate dates assumed</v>
      </c>
    </row>
    <row r="25">
      <c r="A25" t="inlineStr" s="7">
        <is>
          <t xml:space="preserve">CSR district equivalents M9</t>
        </is>
      </c>
      <c r="B25" s="8">
        <f>2</f>
        <v>2</v>
      </c>
      <c r="C25" t="str" s="8">
        <f>"ASSUMED"</f>
        <v>ASSUMED</v>
      </c>
      <c r="D25" t="str" s="8">
        <f>"equivalents"</f>
        <v>equivalents</v>
      </c>
      <c r="E25" t="str" s="8">
        <f>"Half-sized contracts in conservative; intermediate dates assumed"</f>
        <v>Half-sized contracts in conservative; intermediate dates assumed</v>
      </c>
    </row>
    <row r="26">
      <c r="A26" t="inlineStr" s="7">
        <is>
          <t xml:space="preserve">Cache begins month</t>
        </is>
      </c>
      <c r="B26" s="8">
        <f>4</f>
        <v>4</v>
      </c>
      <c r="C26" t="str" s="8">
        <f>"ASSUMED"</f>
        <v>ASSUMED</v>
      </c>
      <c r="D26" t="str" s="8">
        <f>"month"</f>
        <v>month</v>
      </c>
      <c r="E26" t="str" s="8">
        <f>""</f>
        <v/>
      </c>
    </row>
    <row r="27">
      <c r="A27" t="inlineStr" s="7">
        <is>
          <t xml:space="preserve">Cached check cost</t>
        </is>
      </c>
      <c r="B27" s="8">
        <f>10</f>
        <v>10</v>
      </c>
      <c r="C27" t="str" s="8">
        <f>"MEASURED"</f>
        <v>MEASURED</v>
      </c>
      <c r="D27" t="str" s="8">
        <f>"INR"</f>
        <v>INR</v>
      </c>
      <c r="E27" t="str" s="8">
        <f>"User-reported repeat household"</f>
        <v>User-reported repeat household</v>
      </c>
    </row>
    <row r="28">
      <c r="A28" t="inlineStr" s="7">
        <is>
          <t xml:space="preserve">Citizen price</t>
        </is>
      </c>
      <c r="B28" s="8">
        <f>0</f>
        <v>0</v>
      </c>
      <c r="C28" t="str" s="8">
        <f>"ASSUMED"</f>
        <v>ASSUMED</v>
      </c>
      <c r="D28" t="str" s="8">
        <f>"INR"</f>
        <v>INR</v>
      </c>
      <c r="E28" t="str" s="8">
        <f>"Planning input"</f>
        <v>Planning input</v>
      </c>
    </row>
    <row r="29">
      <c r="A29" t="inlineStr" s="7">
        <is>
          <t xml:space="preserve">Cloud fixed monthly</t>
        </is>
      </c>
      <c r="B29" s="8">
        <f>25000</f>
        <v>25000</v>
      </c>
      <c r="C29" t="str" s="8">
        <f>"ASSUMED"</f>
        <v>ASSUMED</v>
      </c>
      <c r="D29" t="str" s="8">
        <f>"INR"</f>
        <v>INR</v>
      </c>
      <c r="E29" t="str" s="8">
        <f>"Planning input"</f>
        <v>Planning input</v>
      </c>
    </row>
    <row r="30">
      <c r="A30" t="inlineStr" s="7">
        <is>
          <t xml:space="preserve">Cloud per 100 checks</t>
        </is>
      </c>
      <c r="B30" s="8">
        <f>1</f>
        <v>1</v>
      </c>
      <c r="C30" t="str" s="8">
        <f>"ASSUMED"</f>
        <v>ASSUMED</v>
      </c>
      <c r="D30" t="str" s="8">
        <f>"INR"</f>
        <v>INR</v>
      </c>
      <c r="E30" t="str" s="8">
        <f>"Planning input"</f>
        <v>Planning input</v>
      </c>
    </row>
    <row r="31">
      <c r="A31" t="inlineStr" s="7">
        <is>
          <t xml:space="preserve">Collection delay</t>
        </is>
      </c>
      <c r="B31" s="8">
        <f>0</f>
        <v>0</v>
      </c>
      <c r="C31" t="str" s="8">
        <f>"ASSUMED"</f>
        <v>ASSUMED</v>
      </c>
      <c r="D31" t="str" s="8">
        <f>"months"</f>
        <v>months</v>
      </c>
      <c r="E31" t="str" s="8">
        <f>"Immediate upfront payment assumed"</f>
        <v>Immediate upfront payment assumed</v>
      </c>
    </row>
    <row r="32">
      <c r="A32" t="inlineStr" s="7">
        <is>
          <t xml:space="preserve">Collection fee rate</t>
        </is>
      </c>
      <c r="B32" s="8">
        <f>0.02</f>
        <v>0.02</v>
      </c>
      <c r="C32" t="str" s="8">
        <f>"ASSUMED"</f>
        <v>ASSUMED</v>
      </c>
      <c r="D32" t="str" s="8">
        <f>"rate"</f>
        <v>rate</v>
      </c>
      <c r="E32" t="str" s="8">
        <f>""</f>
        <v/>
      </c>
    </row>
    <row r="33">
      <c r="A33" t="inlineStr" s="7">
        <is>
          <t xml:space="preserve">Developer count</t>
        </is>
      </c>
      <c r="B33" s="8">
        <f>1</f>
        <v>1</v>
      </c>
      <c r="C33" t="str" s="8">
        <f>"ASSUMED"</f>
        <v>ASSUMED</v>
      </c>
      <c r="D33" t="str" s="8">
        <f>"people"</f>
        <v>people</v>
      </c>
      <c r="E33" t="str" s="8">
        <f>""</f>
        <v/>
      </c>
    </row>
    <row r="34">
      <c r="A34" t="inlineStr" s="7">
        <is>
          <t xml:space="preserve">Developer monthly salary</t>
        </is>
      </c>
      <c r="B34" s="8">
        <f>150000</f>
        <v>150000</v>
      </c>
      <c r="C34" t="str" s="8">
        <f>"ASSUMED"</f>
        <v>ASSUMED</v>
      </c>
      <c r="D34" t="str" s="8">
        <f>"INR"</f>
        <v>INR</v>
      </c>
      <c r="E34" t="str" s="8">
        <f>""</f>
        <v/>
      </c>
    </row>
    <row r="35">
      <c r="A35" t="inlineStr" s="7">
        <is>
          <t xml:space="preserve">Developer start month</t>
        </is>
      </c>
      <c r="B35" s="8">
        <f>1</f>
        <v>1</v>
      </c>
      <c r="C35" t="str" s="8">
        <f>"ASSUMED"</f>
        <v>ASSUMED</v>
      </c>
      <c r="D35" t="str" s="8">
        <f>"month"</f>
        <v>month</v>
      </c>
      <c r="E35" t="str" s="8">
        <f>""</f>
        <v/>
      </c>
    </row>
    <row r="36">
      <c r="A36" t="inlineStr" s="7">
        <is>
          <t xml:space="preserve">District launch cost</t>
        </is>
      </c>
      <c r="B36" s="8">
        <f>100000</f>
        <v>100000</v>
      </c>
      <c r="C36" t="str" s="8">
        <f>"ASSUMED"</f>
        <v>ASSUMED</v>
      </c>
      <c r="D36" t="str" s="8">
        <f>"INR"</f>
        <v>INR</v>
      </c>
      <c r="E36" t="str" s="8">
        <f>"Planning input"</f>
        <v>Planning input</v>
      </c>
    </row>
    <row r="37">
      <c r="A37" t="inlineStr" s="7">
        <is>
          <t xml:space="preserve">Employer annual worker price</t>
        </is>
      </c>
      <c r="B37" s="8">
        <f>50</f>
        <v>50</v>
      </c>
      <c r="C37" t="str" s="8">
        <f>"ASSUMED"</f>
        <v>ASSUMED</v>
      </c>
      <c r="D37" t="str" s="8">
        <f>"INR"</f>
        <v>INR</v>
      </c>
      <c r="E37" t="str" s="8">
        <f>""</f>
        <v/>
      </c>
    </row>
    <row r="38">
      <c r="A38" t="inlineStr" s="7">
        <is>
          <t xml:space="preserve">Employer checks per worker year</t>
        </is>
      </c>
      <c r="B38" s="8">
        <f>1</f>
        <v>1</v>
      </c>
      <c r="C38" t="str" s="8">
        <f>"ASSUMED"</f>
        <v>ASSUMED</v>
      </c>
      <c r="D38" t="str" s="8">
        <f>"checks/year"</f>
        <v>checks/year</v>
      </c>
      <c r="E38" t="str" s="8">
        <f>""</f>
        <v/>
      </c>
    </row>
    <row r="39">
      <c r="A39" t="inlineStr" s="7">
        <is>
          <t xml:space="preserve">Employer workers M12</t>
        </is>
      </c>
      <c r="B39" s="8">
        <f>20000</f>
        <v>20000</v>
      </c>
      <c r="C39" t="str" s="8">
        <f>"ASSUMED"</f>
        <v>ASSUMED</v>
      </c>
      <c r="D39" t="str" s="8">
        <f>"workers"</f>
        <v>workers</v>
      </c>
      <c r="E39" t="str" s="8">
        <f>"Intermediate dates and scenario multipliers proposed"</f>
        <v>Intermediate dates and scenario multipliers proposed</v>
      </c>
    </row>
    <row r="40">
      <c r="A40" t="inlineStr" s="7">
        <is>
          <t xml:space="preserve">Employer workers M18</t>
        </is>
      </c>
      <c r="B40" s="8">
        <f>35000</f>
        <v>35000</v>
      </c>
      <c r="C40" t="str" s="8">
        <f>"ASSUMED"</f>
        <v>ASSUMED</v>
      </c>
      <c r="D40" t="str" s="8">
        <f>"workers"</f>
        <v>workers</v>
      </c>
      <c r="E40" t="str" s="8">
        <f>"Intermediate dates and scenario multipliers proposed"</f>
        <v>Intermediate dates and scenario multipliers proposed</v>
      </c>
    </row>
    <row r="41">
      <c r="A41" t="inlineStr" s="7">
        <is>
          <t xml:space="preserve">Employer workers M24</t>
        </is>
      </c>
      <c r="B41" s="8">
        <f>50000</f>
        <v>50000</v>
      </c>
      <c r="C41" t="str" s="8">
        <f>"ASSUMED"</f>
        <v>ASSUMED</v>
      </c>
      <c r="D41" t="str" s="8">
        <f>"workers"</f>
        <v>workers</v>
      </c>
      <c r="E41" t="str" s="8">
        <f>"Intermediate dates and scenario multipliers proposed"</f>
        <v>Intermediate dates and scenario multipliers proposed</v>
      </c>
    </row>
    <row r="42">
      <c r="A42" t="inlineStr" s="7">
        <is>
          <t xml:space="preserve">Employer workers M9</t>
        </is>
      </c>
      <c r="B42" s="8">
        <f>10000</f>
        <v>10000</v>
      </c>
      <c r="C42" t="str" s="8">
        <f>"ASSUMED"</f>
        <v>ASSUMED</v>
      </c>
      <c r="D42" t="str" s="8">
        <f>"workers"</f>
        <v>workers</v>
      </c>
      <c r="E42" t="str" s="8">
        <f>"Intermediate dates and scenario multipliers proposed"</f>
        <v>Intermediate dates and scenario multipliers proposed</v>
      </c>
    </row>
    <row r="43">
      <c r="A43" t="inlineStr" s="7">
        <is>
          <t xml:space="preserve">Field lead count</t>
        </is>
      </c>
      <c r="B43" s="8">
        <f>1</f>
        <v>1</v>
      </c>
      <c r="C43" t="str" s="8">
        <f>"ASSUMED"</f>
        <v>ASSUMED</v>
      </c>
      <c r="D43" t="str" s="8">
        <f>"people"</f>
        <v>people</v>
      </c>
      <c r="E43" t="str" s="8">
        <f>""</f>
        <v/>
      </c>
    </row>
    <row r="44">
      <c r="A44" t="inlineStr" s="7">
        <is>
          <t xml:space="preserve">Field lead monthly salary</t>
        </is>
      </c>
      <c r="B44" s="8">
        <f>60000</f>
        <v>60000</v>
      </c>
      <c r="C44" t="str" s="8">
        <f>"ASSUMED"</f>
        <v>ASSUMED</v>
      </c>
      <c r="D44" t="str" s="8">
        <f>"INR"</f>
        <v>INR</v>
      </c>
      <c r="E44" t="str" s="8">
        <f>""</f>
        <v/>
      </c>
    </row>
    <row r="45">
      <c r="A45" t="inlineStr" s="7">
        <is>
          <t xml:space="preserve">Field lead start month</t>
        </is>
      </c>
      <c r="B45" s="8">
        <f>6</f>
        <v>6</v>
      </c>
      <c r="C45" t="str" s="8">
        <f>"ASSUMED"</f>
        <v>ASSUMED</v>
      </c>
      <c r="D45" t="str" s="8">
        <f>"month"</f>
        <v>month</v>
      </c>
      <c r="E45" t="str" s="8">
        <f>""</f>
        <v/>
      </c>
    </row>
    <row r="46">
      <c r="A46" t="inlineStr" s="7">
        <is>
          <t xml:space="preserve">Founder count</t>
        </is>
      </c>
      <c r="B46" s="8">
        <f>1</f>
        <v>1</v>
      </c>
      <c r="C46" t="str" s="8">
        <f>"ASSUMED"</f>
        <v>ASSUMED</v>
      </c>
      <c r="D46" t="str" s="8">
        <f>"people"</f>
        <v>people</v>
      </c>
      <c r="E46" t="str" s="8">
        <f>""</f>
        <v/>
      </c>
    </row>
    <row r="47">
      <c r="A47" t="inlineStr" s="7">
        <is>
          <t xml:space="preserve">Founder monthly salary</t>
        </is>
      </c>
      <c r="B47" s="8">
        <f>100000</f>
        <v>100000</v>
      </c>
      <c r="C47" t="str" s="8">
        <f>"ASSUMED"</f>
        <v>ASSUMED</v>
      </c>
      <c r="D47" t="str" s="8">
        <f>"INR"</f>
        <v>INR</v>
      </c>
      <c r="E47" t="str" s="8">
        <f>""</f>
        <v/>
      </c>
    </row>
    <row r="48">
      <c r="A48" t="inlineStr" s="7">
        <is>
          <t xml:space="preserve">Founder start month</t>
        </is>
      </c>
      <c r="B48" s="8">
        <f>7</f>
        <v>7</v>
      </c>
      <c r="C48" t="str" s="8">
        <f>"ASSUMED"</f>
        <v>ASSUMED</v>
      </c>
      <c r="D48" t="str" s="8">
        <f>"month"</f>
        <v>month</v>
      </c>
      <c r="E48" t="str" s="8">
        <f>""</f>
        <v/>
      </c>
    </row>
    <row r="49">
      <c r="A49" t="inlineStr" s="7">
        <is>
          <t xml:space="preserve">Funding safety reserve</t>
        </is>
      </c>
      <c r="B49" s="8">
        <f>1000000</f>
        <v>1000000</v>
      </c>
      <c r="C49" t="str" s="8">
        <f>"ASSUMED"</f>
        <v>ASSUMED</v>
      </c>
      <c r="D49" t="str" s="8">
        <f>"INR"</f>
        <v>INR</v>
      </c>
      <c r="E49" t="str" s="8">
        <f>"Planning input"</f>
        <v>Planning input</v>
      </c>
    </row>
    <row r="50">
      <c r="A50" t="inlineStr" s="7">
        <is>
          <t xml:space="preserve">Marketing acquisition allocation</t>
        </is>
      </c>
      <c r="B50" s="8">
        <f>1</f>
        <v>1</v>
      </c>
      <c r="C50" t="str" s="8">
        <f>"ASSUMED"</f>
        <v>ASSUMED</v>
      </c>
      <c r="D50" t="str" s="8">
        <f>"rate"</f>
        <v>rate</v>
      </c>
      <c r="E50" t="str" s="8">
        <f>"100% of the ₹50,000 field/marketing budget offsets CSC CAC. Monthly spend is not banked across months. Optimistic: no separate training reserve; reduce this share to ring-fence training."</f>
        <v>100% of the ₹50,000 field/marketing budget offsets CSC CAC. Monthly spend is not banked across months. Optimistic: no separate training reserve; reduce this share to ring-fence training.</v>
      </c>
    </row>
    <row r="51">
      <c r="A51" t="inlineStr" s="7">
        <is>
          <t xml:space="preserve">Marketing monthly</t>
        </is>
      </c>
      <c r="B51" s="8">
        <f>50000</f>
        <v>50000</v>
      </c>
      <c r="C51" t="str" s="8">
        <f>"ASSUMED"</f>
        <v>ASSUMED</v>
      </c>
      <c r="D51" t="str" s="8">
        <f>"INR"</f>
        <v>INR</v>
      </c>
      <c r="E51" t="str" s="8">
        <f>"Planning input"</f>
        <v>Planning input</v>
      </c>
    </row>
    <row r="52">
      <c r="A52" t="inlineStr" s="7">
        <is>
          <t xml:space="preserve">Preview AI cost multiplier</t>
        </is>
      </c>
      <c r="B52" s="8">
        <f>1</f>
        <v>1</v>
      </c>
      <c r="C52" t="str" s="8">
        <f>"ASSUMED"</f>
        <v>ASSUMED</v>
      </c>
      <c r="D52" t="str" s="8">
        <f>"multiple"</f>
        <v>multiple</v>
      </c>
      <c r="E52" t="str" s="8">
        <f>"Local simulator baseline; does not change saved forecast"</f>
        <v>Local simulator baseline; does not change saved forecast</v>
      </c>
    </row>
    <row r="53">
      <c r="A53" t="inlineStr" s="7">
        <is>
          <t xml:space="preserve">Preview additional funding</t>
        </is>
      </c>
      <c r="B53" s="8">
        <f>0</f>
        <v>0</v>
      </c>
      <c r="C53" t="str" s="8">
        <f>"ASSUMED"</f>
        <v>ASSUMED</v>
      </c>
      <c r="D53" t="str" s="8">
        <f>"INR"</f>
        <v>INR</v>
      </c>
      <c r="E53" t="str" s="8">
        <f>"Local simulator baseline; no raise assumed in saved forecast"</f>
        <v>Local simulator baseline; no raise assumed in saved forecast</v>
      </c>
    </row>
    <row r="54">
      <c r="A54" t="inlineStr" s="7">
        <is>
          <t xml:space="preserve">Recommended CSC price</t>
        </is>
      </c>
      <c r="B54" s="8">
        <f>1499</f>
        <v>1499</v>
      </c>
      <c r="C54" t="str" s="8">
        <f>"ASSUMED"</f>
        <v>ASSUMED</v>
      </c>
      <c r="D54" t="str" s="8">
        <f>"INR"</f>
        <v>INR</v>
      </c>
      <c r="E54" t="str" s="8">
        <f>"Recommendation only; not in forecast"</f>
        <v>Recommendation only; not in forecast</v>
      </c>
    </row>
    <row r="55">
      <c r="A55" t="inlineStr" s="7">
        <is>
          <t xml:space="preserve">Recommended extra price</t>
        </is>
      </c>
      <c r="B55" s="8">
        <f>15</f>
        <v>15</v>
      </c>
      <c r="C55" t="str" s="8">
        <f>"ASSUMED"</f>
        <v>ASSUMED</v>
      </c>
      <c r="D55" t="str" s="8">
        <f>"INR"</f>
        <v>INR</v>
      </c>
      <c r="E55" t="str" s="8">
        <f>"Recommendation only; not in forecast"</f>
        <v>Recommendation only; not in forecast</v>
      </c>
    </row>
    <row r="56">
      <c r="A56" t="inlineStr" s="7">
        <is>
          <t xml:space="preserve">Scale begins month</t>
        </is>
      </c>
      <c r="B56" s="8">
        <f>10</f>
        <v>10</v>
      </c>
      <c r="C56" t="str" s="8">
        <f>"ASSUMED"</f>
        <v>ASSUMED</v>
      </c>
      <c r="D56" t="str" s="8">
        <f>"month"</f>
        <v>month</v>
      </c>
      <c r="E56" t="str" s="8">
        <f>"25 = beyond forecast"</f>
        <v>25 = beyond forecast</v>
      </c>
    </row>
    <row r="57">
      <c r="A57" t="inlineStr" s="7">
        <is>
          <t xml:space="preserve">Scale check cost</t>
        </is>
      </c>
      <c r="B57" s="8">
        <f>4</f>
        <v>4</v>
      </c>
      <c r="C57" t="str" s="8">
        <f>"ASSUMED"</f>
        <v>ASSUMED</v>
      </c>
      <c r="D57" t="str" s="8">
        <f>"INR"</f>
        <v>INR</v>
      </c>
      <c r="E57" t="str" s="8">
        <f>"Target, not yet measured"</f>
        <v>Target, not yet measured</v>
      </c>
    </row>
    <row r="58">
      <c r="A58" t="inlineStr" s="7">
        <is>
          <t xml:space="preserve">Starting cash</t>
        </is>
      </c>
      <c r="B58" s="8">
        <f>2500000</f>
        <v>2500000</v>
      </c>
      <c r="C58" t="str" s="8">
        <f>"ASSUMED"</f>
        <v>ASSUMED</v>
      </c>
      <c r="D58" t="str" s="8">
        <f>"INR"</f>
        <v>INR</v>
      </c>
      <c r="E58" t="str" s="8">
        <f>"Planning input"</f>
        <v>Planning input</v>
      </c>
    </row>
    <row r="59">
      <c r="A59" t="inlineStr" s="5">
        <is>
          <t xml:space="preserve">Uncached check cost</t>
        </is>
      </c>
      <c r="B59" s="6">
        <f>20</f>
        <v>20</v>
      </c>
      <c r="C59" t="str" s="6">
        <f>"MEASURED"</f>
        <v>MEASURED</v>
      </c>
      <c r="D59" t="str" s="6">
        <f>"INR"</f>
        <v>INR</v>
      </c>
      <c r="E59" t="str" s="6">
        <f>"User-reported neatlogs runs; not independently audited"</f>
        <v>User-reported neatlogs runs; not independently audited</v>
      </c>
    </row>
  </sheetData>
  <mergeCells count="1">
    <mergeCell ref="A1:E1"/>
  </mergeCells>
</worksheet>
</file>